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967a3f83af43d3" /></Relationships>
</file>

<file path=xl/workbook.xml><?xml version="1.0" encoding="utf-8"?>
<x:workbook xmlns:x="http://schemas.openxmlformats.org/spreadsheetml/2006/main">
  <x:sheets>
    <x:sheet xmlns:r="http://schemas.openxmlformats.org/officeDocument/2006/relationships" name="Start" sheetId="1" r:id="Ra49471fb333e4bfa"/>
    <x:sheet xmlns:r="http://schemas.openxmlformats.org/officeDocument/2006/relationships" name="Offene Vorgänge" sheetId="2" r:id="R38d3f8a5222e487f"/>
    <x:sheet xmlns:r="http://schemas.openxmlformats.org/officeDocument/2006/relationships" name="Agenda" sheetId="3" r:id="R8122a3d0f4f44342"/>
    <x:sheet xmlns:r="http://schemas.openxmlformats.org/officeDocument/2006/relationships" name="Erledigt" sheetId="4" r:id="R843ee93a66a24be0"/>
    <x:sheet xmlns:r="http://schemas.openxmlformats.org/officeDocument/2006/relationships" name="Klasse" sheetId="5" r:id="Rc5b0008a59ca49ed"/>
    <x:sheet xmlns:r="http://schemas.openxmlformats.org/officeDocument/2006/relationships" name="Klassenteam" sheetId="6" r:id="R66b232ab1b0049ef"/>
    <x:sheet xmlns:r="http://schemas.openxmlformats.org/officeDocument/2006/relationships" name="Routinen" sheetId="7" r:id="R6cf1e5ed82244754"/>
    <x:sheet xmlns:r="http://schemas.openxmlformats.org/officeDocument/2006/relationships" name="Fehlzeiten" sheetId="8" r:id="Rad47c2c65d5f4549"/>
    <x:sheet xmlns:r="http://schemas.openxmlformats.org/officeDocument/2006/relationships" name="Gespräche" sheetId="9" r:id="Rf3e0e27aec5c4b83"/>
    <x:sheet xmlns:r="http://schemas.openxmlformats.org/officeDocument/2006/relationships" name="Klassenrat" sheetId="10" r:id="Rf4d7b1a7c31140a9"/>
    <x:sheet xmlns:r="http://schemas.openxmlformats.org/officeDocument/2006/relationships" name="Konferenzen" sheetId="11" r:id="R76386be43244474d"/>
    <x:sheet xmlns:r="http://schemas.openxmlformats.org/officeDocument/2006/relationships" name="Veranstaltungen" sheetId="12" r:id="R7f25c3ef2499414d"/>
    <x:sheet xmlns:r="http://schemas.openxmlformats.org/officeDocument/2006/relationships" name="Organisation" sheetId="13" r:id="Ra1be704041a44292"/>
    <x:sheet xmlns:r="http://schemas.openxmlformats.org/officeDocument/2006/relationships" name="Übergabe" sheetId="14" r:id="Rd1a8eb4d0ea444cb"/>
    <x:sheet xmlns:r="http://schemas.openxmlformats.org/officeDocument/2006/relationships" name="Schulinterne Systeme" sheetId="15" r:id="Rd5dedec2a9504de4"/>
    <x:sheet xmlns:r="http://schemas.openxmlformats.org/officeDocument/2006/relationships" name="Einstellungen" sheetId="16" r:id="R95639f5dea5749d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yyyy"/>
    <x:numFmt numFmtId="201" formatCode=";;;"/>
    <x:numFmt numFmtId="202" formatCode="mmmm yyyy"/>
  </x:numFmts>
  <x:fonts count="7">
    <x:font>
      <x:sz val="11"/>
      <x:name val="Carlito"/>
    </x:font>
    <x:font>
      <x:sz val="10"/>
      <x:color rgb="FF1F2933"/>
      <x:name val="Calibri"/>
    </x:font>
    <x:font>
      <x:b/>
      <x:sz val="16"/>
      <x:color rgb="FF1F2933"/>
      <x:name val="Calibri"/>
    </x:font>
    <x:font>
      <x:i/>
      <x:sz val="10"/>
      <x:color rgb="FF6B7280"/>
      <x:name val="Calibri"/>
    </x:font>
    <x:font>
      <x:b/>
      <x:sz val="10"/>
      <x:color rgb="FF1F2933"/>
      <x:name val="Calibri"/>
    </x:font>
    <x:font>
      <x:sz val="10"/>
      <x:color rgb="FF6B7280"/>
      <x:name val="Calibri"/>
    </x:font>
    <x:font>
      <x:b/>
      <x:sz val="12"/>
      <x:color rgb="FF1F2933"/>
      <x:name val="Calibri"/>
    </x:font>
  </x:fonts>
  <x:fills count="11">
    <x:fill>
      <x:patternFill patternType="none"/>
    </x:fill>
    <x:fill>
      <x:patternFill patternType="gray125"/>
    </x:fill>
    <x:fill>
      <x:patternFill patternType="solid">
        <x:fgColor rgb="FFB8D2EE"/>
      </x:patternFill>
    </x:fill>
    <x:fill>
      <x:patternFill patternType="solid">
        <x:fgColor rgb="FFE7F0FA"/>
      </x:patternFill>
    </x:fill>
    <x:fill>
      <x:patternFill patternType="solid">
        <x:fgColor rgb="FFFFC000"/>
      </x:patternFill>
    </x:fill>
    <x:fill>
      <x:patternFill patternType="solid">
        <x:fgColor rgb="FFF5F7F8"/>
      </x:patternFill>
    </x:fill>
    <x:fill>
      <x:patternFill patternType="solid">
        <x:fgColor rgb="FFFFFFFF"/>
      </x:patternFill>
    </x:fill>
    <x:fill>
      <x:patternFill patternType="solid">
        <x:fgColor rgb="FFEAF3B0"/>
      </x:patternFill>
    </x:fill>
    <x:fill>
      <x:patternFill patternType="solid">
        <x:fgColor rgb="FFAED18D"/>
      </x:patternFill>
    </x:fill>
    <x:fill>
      <x:patternFill patternType="solid">
        <x:fgColor rgb="FFE6E8EA"/>
      </x:patternFill>
    </x:fill>
    <x:fill>
      <x:patternFill patternType="solid">
        <x:fgColor rgb="FFFFE6A1"/>
      </x:patternFill>
    </x:fill>
  </x:fills>
  <x:borders count="4">
    <x:border/>
    <x:border>
      <x:bottom style="medium">
        <x:color rgb="FF3F6B00"/>
      </x:bottom>
    </x:border>
    <x:border>
      <x:left style="thin">
        <x:color rgb="FFBFC6CC"/>
      </x:left>
      <x:right style="thin">
        <x:color rgb="FFBFC6CC"/>
      </x:right>
      <x:top style="thin">
        <x:color rgb="FFBFC6CC"/>
      </x:top>
      <x:bottom style="thin">
        <x:color rgb="FFBFC6CC"/>
      </x:bottom>
    </x:border>
    <x:border>
      <x:bottom style="thin">
        <x:color rgb="FF3F6B00"/>
      </x:bottom>
    </x:border>
  </x:borders>
  <x:cellStyleXfs count="1">
    <x:xf numFmtId="0" fontId="0" fillId="0" borderId="0"/>
  </x:cellStyleXfs>
  <x:cellXfs count="8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wrapText="1"/>
    </x:xf>
    <x:xf numFmtId="0" fontId="4" fillId="4" borderId="2" xfId="0" applyNumberFormat="1" applyFont="1" applyFill="1" applyBorder="1" applyAlignment="1">
      <x:alignment horizontal="center" wrapText="1"/>
    </x:xf>
    <x:xf numFmtId="0" fontId="4" fillId="4" borderId="2" xfId="0" applyNumberFormat="1" applyFont="1" applyFill="1" applyBorder="1" applyAlignment="1">
      <x:alignment horizontal="center" vertical="center" wrapText="1"/>
    </x:xf>
    <x:xf numFmtId="0" fontId="1"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2" xfId="0" applyNumberFormat="1" applyFont="1" applyFill="1" applyBorder="1" applyAlignment="1">
      <x:alignment horizontal="center"/>
    </x:xf>
    <x:xf numFmtId="0" fontId="5" fillId="5" borderId="2" xfId="0" applyNumberFormat="1" applyFont="1" applyFill="1" applyBorder="1" applyAlignment="1">
      <x:alignment horizontal="center" vertical="center"/>
    </x:xf>
    <x:xf numFmtId="0" fontId="1" fillId="3" borderId="2" xfId="0" applyNumberFormat="1" applyFont="1" applyFill="1" applyBorder="1"/>
    <x:xf numFmtId="0" fontId="1" fillId="3" borderId="2" xfId="0" applyNumberFormat="1" applyFont="1" applyFill="1" applyBorder="1" applyAlignment="1">
      <x:alignment wrapText="1"/>
    </x:xf>
    <x:xf numFmtId="0" fontId="1" fillId="3" borderId="2" xfId="0" applyNumberFormat="1" applyFont="1" applyFill="1" applyBorder="1" applyAlignment="1">
      <x:alignment vertical="center" wrapText="1"/>
    </x:xf>
    <x:xf numFmtId="200" fontId="1" fillId="3" borderId="2" xfId="0" applyNumberFormat="1" applyFont="1" applyFill="1" applyBorder="1" applyAlignment="1">
      <x:alignment vertical="center" wrapText="1"/>
    </x:xf>
    <x:xf numFmtId="0" fontId="1" fillId="6" borderId="0" xfId="0" applyNumberFormat="1" applyFont="1" applyFill="1" applyBorder="1"/>
    <x:xf numFmtId="0" fontId="1" fillId="6" borderId="2" xfId="0" applyNumberFormat="1" applyFont="1" applyFill="1" applyBorder="1"/>
    <x:xf numFmtId="0" fontId="1" fillId="6" borderId="2" xfId="0" applyNumberFormat="1" applyFont="1" applyFill="1" applyBorder="1" applyAlignment="1">
      <x:alignment wrapText="1"/>
    </x:xf>
    <x:xf numFmtId="0" fontId="1" fillId="6" borderId="2" xfId="0" applyNumberFormat="1" applyFont="1" applyFill="1" applyBorder="1" applyAlignment="1">
      <x:alignment vertical="center" wrapText="1"/>
    </x:xf>
    <x:xf numFmtId="0" fontId="1" fillId="7" borderId="0" xfId="0" applyNumberFormat="1" applyFont="1" applyFill="1" applyBorder="1"/>
    <x:xf numFmtId="0" fontId="1" fillId="7" borderId="2" xfId="0" applyNumberFormat="1" applyFont="1" applyFill="1" applyBorder="1"/>
    <x:xf numFmtId="0" fontId="1" fillId="7" borderId="2" xfId="0" applyNumberFormat="1" applyFont="1" applyFill="1" applyBorder="1" applyAlignment="1">
      <x:alignment wrapText="1"/>
    </x:xf>
    <x:xf numFmtId="0" fontId="1" fillId="7" borderId="2" xfId="0" applyNumberFormat="1" applyFont="1" applyFill="1" applyBorder="1" applyAlignment="1">
      <x:alignment vertical="center" wrapText="1"/>
    </x:xf>
    <x:xf numFmtId="200" fontId="1" fillId="3" borderId="2" xfId="0" applyNumberFormat="1" applyFont="1" applyFill="1" applyBorder="1" applyAlignment="1">
      <x:alignment horizontal="center" vertical="center" wrapText="1"/>
    </x:xf>
    <x:xf numFmtId="0" fontId="1" fillId="3" borderId="2" xfId="0" applyNumberFormat="1" applyFont="1" applyFill="1" applyBorder="1" applyAlignment="1">
      <x:alignment horizontal="center" vertical="center" wrapText="1"/>
    </x:xf>
    <x:xf numFmtId="0" fontId="1" fillId="7" borderId="2" xfId="0" applyNumberFormat="1" applyFont="1" applyFill="1" applyBorder="1" applyAlignment="1">
      <x:alignment horizontal="center" vertical="center" wrapText="1"/>
    </x:xf>
    <x:xf numFmtId="0" fontId="1" fillId="8" borderId="0" xfId="0" applyNumberFormat="1" applyFont="1" applyFill="1" applyBorder="1"/>
    <x:xf numFmtId="0" fontId="4" fillId="8" borderId="0" xfId="0" applyNumberFormat="1" applyFont="1" applyFill="1" applyBorder="1"/>
    <x:xf numFmtId="0" fontId="4" fillId="8" borderId="2" xfId="0" applyNumberFormat="1" applyFont="1" applyFill="1" applyBorder="1"/>
    <x:xf numFmtId="0" fontId="4" fillId="8" borderId="2" xfId="0" applyNumberFormat="1" applyFont="1" applyFill="1" applyBorder="1" applyAlignment="1">
      <x:alignment wrapText="1"/>
    </x:xf>
    <x:xf numFmtId="0" fontId="4" fillId="8" borderId="2" xfId="0" applyNumberFormat="1" applyFont="1" applyFill="1" applyBorder="1" applyAlignment="1">
      <x:alignment horizontal="center" wrapText="1"/>
    </x:xf>
    <x:xf numFmtId="0" fontId="4" fillId="8" borderId="2" xfId="0" applyNumberFormat="1" applyFont="1" applyFill="1" applyBorder="1" applyAlignment="1">
      <x:alignment horizontal="center" vertical="center" wrapText="1"/>
    </x:xf>
    <x:xf numFmtId="0" fontId="1" fillId="9" borderId="0" xfId="0" applyNumberFormat="1" applyFont="1" applyFill="1" applyBorder="1"/>
    <x:xf numFmtId="0" fontId="1" fillId="9" borderId="2" xfId="0" applyNumberFormat="1" applyFont="1" applyFill="1" applyBorder="1"/>
    <x:xf numFmtId="0" fontId="1" fillId="9" borderId="2" xfId="0" applyNumberFormat="1" applyFont="1" applyFill="1" applyBorder="1" applyAlignment="1">
      <x:alignment wrapText="1"/>
    </x:xf>
    <x:xf numFmtId="0" fontId="1" fillId="9" borderId="2" xfId="0" applyNumberFormat="1" applyFont="1" applyFill="1" applyBorder="1" applyAlignment="1">
      <x:alignment vertical="center" wrapText="1"/>
    </x:xf>
    <x:xf numFmtId="0" fontId="1" fillId="5" borderId="2" xfId="0" applyNumberFormat="1" applyFont="1" applyFill="1" applyBorder="1" applyAlignment="1">
      <x:alignment vertical="center" wrapText="1"/>
    </x:xf>
    <x:xf numFmtId="0" fontId="5" fillId="5" borderId="2" xfId="0" applyNumberFormat="1" applyFont="1" applyFill="1" applyBorder="1" applyAlignment="1">
      <x:alignment vertical="center" wrapText="1"/>
    </x:xf>
    <x:xf numFmtId="0" fontId="5" fillId="5" borderId="2" xfId="0" applyNumberFormat="1" applyFont="1" applyFill="1" applyBorder="1" applyAlignment="1">
      <x:alignment horizontal="center" vertical="center" wrapText="1"/>
    </x:xf>
    <x:xf numFmtId="200" fontId="1" fillId="9" borderId="2" xfId="0" applyNumberFormat="1" applyFont="1" applyFill="1" applyBorder="1" applyAlignment="1">
      <x:alignment vertical="center" wrapText="1"/>
    </x:xf>
    <x:xf numFmtId="200" fontId="1" fillId="9" borderId="2" xfId="0" applyNumberFormat="1" applyFont="1" applyFill="1" applyBorder="1" applyAlignment="1">
      <x:alignment horizontal="center" vertical="center" wrapText="1"/>
    </x:xf>
    <x:xf numFmtId="0" fontId="1" fillId="9" borderId="2" xfId="0" applyNumberFormat="1" applyFont="1" applyFill="1" applyBorder="1" applyAlignment="1">
      <x:alignment horizontal="center" vertical="center" wrapText="1"/>
    </x:xf>
    <x:xf numFmtId="201" fontId="1" fillId="0" borderId="0" xfId="0" applyNumberFormat="1" applyFont="1" applyFill="1" applyBorder="1"/>
    <x:xf numFmtId="0" fontId="1" fillId="10" borderId="0" xfId="0" applyNumberFormat="1" applyFont="1" applyFill="1" applyBorder="1"/>
    <x:xf numFmtId="0" fontId="1" fillId="10" borderId="2" xfId="0" applyNumberFormat="1" applyFont="1" applyFill="1" applyBorder="1"/>
    <x:xf numFmtId="0" fontId="1" fillId="10" borderId="2" xfId="0" applyNumberFormat="1" applyFont="1" applyFill="1" applyBorder="1" applyAlignment="1">
      <x:alignment wrapText="1"/>
    </x:xf>
    <x:xf numFmtId="0" fontId="1" fillId="10" borderId="2" xfId="0" applyNumberFormat="1" applyFont="1" applyFill="1" applyBorder="1" applyAlignment="1">
      <x:alignment vertical="center" wrapText="1"/>
    </x:xf>
    <x:xf numFmtId="200" fontId="1" fillId="6" borderId="2" xfId="0" applyNumberFormat="1" applyFont="1" applyFill="1" applyBorder="1" applyAlignment="1">
      <x:alignment vertical="center" wrapText="1"/>
    </x:xf>
    <x:xf numFmtId="200" fontId="1" fillId="6" borderId="2" xfId="0" applyNumberFormat="1" applyFont="1" applyFill="1" applyBorder="1" applyAlignment="1">
      <x:alignment horizontal="center" vertical="center" wrapText="1"/>
    </x:xf>
    <x:xf numFmtId="0" fontId="1" fillId="6" borderId="2" xfId="0" applyNumberFormat="1" applyFont="1" applyFill="1" applyBorder="1" applyAlignment="1">
      <x:alignment horizontal="center" vertical="center" wrapText="1"/>
    </x:xf>
    <x:xf numFmtId="0" fontId="1" fillId="10" borderId="2"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1" fillId="6" borderId="2" xfId="0" applyNumberFormat="1" applyFont="1" applyFill="1" applyBorder="1" applyAlignment="1">
      <x:alignment vertical="top" wrapText="1"/>
    </x:xf>
    <x:xf numFmtId="0" fontId="4" fillId="8" borderId="3" xfId="0" applyNumberFormat="1" applyFont="1" applyFill="1" applyBorder="1"/>
    <x:xf numFmtId="0" fontId="4" fillId="4" borderId="2" xfId="0" applyNumberFormat="1" applyFont="1" applyFill="1" applyBorder="1" applyAlignment="1">
      <x:alignment horizontal="center"/>
    </x:xf>
    <x:xf numFmtId="0" fontId="4" fillId="4" borderId="2" xfId="0" applyNumberFormat="1" applyFont="1" applyFill="1" applyBorder="1" applyAlignment="1">
      <x:alignment horizontal="center" vertical="center"/>
    </x:xf>
    <x:xf numFmtId="0" fontId="1" fillId="6" borderId="2" xfId="0" applyNumberFormat="1" applyFont="1" applyFill="1" applyBorder="1" applyAlignment="1">
      <x:alignment horizontal="left"/>
    </x:xf>
    <x:xf numFmtId="0" fontId="1" fillId="6" borderId="2" xfId="0" applyNumberFormat="1" applyFont="1" applyFill="1" applyBorder="1" applyAlignment="1">
      <x:alignment horizontal="left" vertical="center"/>
    </x:xf>
    <x:xf numFmtId="0" fontId="1" fillId="10" borderId="2" xfId="0" applyNumberFormat="1" applyFont="1" applyFill="1" applyBorder="1" applyAlignment="1">
      <x:alignment horizontal="left" vertical="center"/>
    </x:xf>
    <x:xf numFmtId="202" fontId="1" fillId="10" borderId="2" xfId="0" applyNumberFormat="1" applyFont="1" applyFill="1" applyBorder="1" applyAlignment="1">
      <x:alignment horizontal="left" vertical="center"/>
    </x:xf>
    <x:xf numFmtId="0" fontId="6" fillId="7" borderId="0" xfId="0" applyNumberFormat="1" applyFont="1" applyFill="1" applyBorder="1"/>
    <x:xf numFmtId="0" fontId="6" fillId="7" borderId="2" xfId="0" applyNumberFormat="1" applyFont="1" applyFill="1" applyBorder="1"/>
    <x:xf numFmtId="0" fontId="6" fillId="7" borderId="2" xfId="0" applyNumberFormat="1" applyFont="1" applyFill="1" applyBorder="1" applyAlignment="1">
      <x:alignment wrapText="1"/>
    </x:xf>
    <x:xf numFmtId="0" fontId="6" fillId="7" borderId="2" xfId="0" applyNumberFormat="1" applyFont="1" applyFill="1" applyBorder="1" applyAlignment="1">
      <x:alignment horizontal="center" wrapText="1"/>
    </x:xf>
    <x:xf numFmtId="0" fontId="6" fillId="7" borderId="2" xfId="0" applyNumberFormat="1" applyFont="1" applyFill="1" applyBorder="1" applyAlignment="1">
      <x:alignment horizontal="center" vertical="center" wrapText="1"/>
    </x:xf>
    <x:xf numFmtId="0" fontId="6" fillId="10" borderId="0" xfId="0" applyNumberFormat="1" applyFont="1" applyFill="1" applyBorder="1"/>
    <x:xf numFmtId="0" fontId="6" fillId="10" borderId="2" xfId="0" applyNumberFormat="1" applyFont="1" applyFill="1" applyBorder="1"/>
    <x:xf numFmtId="0" fontId="6" fillId="10" borderId="2" xfId="0" applyNumberFormat="1" applyFont="1" applyFill="1" applyBorder="1" applyAlignment="1">
      <x:alignment wrapText="1"/>
    </x:xf>
    <x:xf numFmtId="0" fontId="6" fillId="10" borderId="2" xfId="0" applyNumberFormat="1" applyFont="1" applyFill="1" applyBorder="1" applyAlignment="1">
      <x:alignment horizontal="center" wrapText="1"/>
    </x:xf>
    <x:xf numFmtId="0" fontId="6" fillId="10" borderId="2" xfId="0" applyNumberFormat="1" applyFont="1" applyFill="1" applyBorder="1" applyAlignment="1">
      <x:alignment horizontal="center" vertical="center" wrapText="1"/>
    </x:xf>
    <x:xf numFmtId="0" fontId="6" fillId="3" borderId="0" xfId="0" applyNumberFormat="1" applyFont="1" applyFill="1" applyBorder="1"/>
    <x:xf numFmtId="0" fontId="6" fillId="3" borderId="2" xfId="0" applyNumberFormat="1" applyFont="1" applyFill="1" applyBorder="1"/>
    <x:xf numFmtId="0" fontId="6" fillId="3" borderId="2" xfId="0" applyNumberFormat="1" applyFont="1" applyFill="1" applyBorder="1" applyAlignment="1">
      <x:alignment wrapText="1"/>
    </x:xf>
    <x:xf numFmtId="0" fontId="6" fillId="3" borderId="2" xfId="0" applyNumberFormat="1" applyFont="1" applyFill="1" applyBorder="1" applyAlignment="1">
      <x:alignment horizontal="center" wrapText="1"/>
    </x:xf>
    <x:xf numFmtId="0" fontId="6" fillId="3" borderId="2" xfId="0" applyNumberFormat="1" applyFont="1" applyFill="1" applyBorder="1" applyAlignment="1">
      <x:alignment horizontal="center" vertical="center" wrapText="1"/>
    </x:xf>
  </x:cellXfs>
  <x:cellStyles count="1">
    <x:cellStyle name="Normal" xfId="0"/>
  </x:cellStyles>
  <x:dxfs count="4">
    <x:dxf>
      <x:font>
        <x:color rgb="FF6B7280"/>
      </x:font>
      <x:fill>
        <x:patternFill patternType="solid">
          <x:bgColor rgb="FFE6E8EA"/>
        </x:patternFill>
      </x:fill>
    </x:dxf>
    <x:dxf>
      <x:fill>
        <x:patternFill patternType="solid">
          <x:bgColor rgb="FFFFE6A1"/>
        </x:patternFill>
      </x:fill>
    </x:dxf>
    <x:dxf>
      <x:fill>
        <x:patternFill patternType="solid">
          <x:bgColor rgb="FFFFE6A1"/>
        </x:patternFill>
      </x:fill>
    </x:dxf>
    <x:dxf>
      <x:fill>
        <x:patternFill patternType="solid">
          <x:bgColor rgb="FFEAF3B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bc6bc4919941f1" /><Relationship Type="http://schemas.openxmlformats.org/officeDocument/2006/relationships/theme" Target="/xl/theme/theme1.xml" Id="R4c8f847df55b4885" /><Relationship Type="http://schemas.openxmlformats.org/officeDocument/2006/relationships/sharedStrings" Target="/xl/sharedStrings.xml" Id="Raa226aa3e30e4c89" /><Relationship Type="http://schemas.openxmlformats.org/officeDocument/2006/relationships/worksheet" Target="/xl/worksheets/sheet1.xml" Id="Ra49471fb333e4bfa" /><Relationship Type="http://schemas.openxmlformats.org/officeDocument/2006/relationships/worksheet" Target="/xl/worksheets/sheet2.xml" Id="R38d3f8a5222e487f" /><Relationship Type="http://schemas.openxmlformats.org/officeDocument/2006/relationships/worksheet" Target="/xl/worksheets/sheet3.xml" Id="R8122a3d0f4f44342" /><Relationship Type="http://schemas.openxmlformats.org/officeDocument/2006/relationships/worksheet" Target="/xl/worksheets/sheet4.xml" Id="R843ee93a66a24be0" /><Relationship Type="http://schemas.openxmlformats.org/officeDocument/2006/relationships/worksheet" Target="/xl/worksheets/sheet5.xml" Id="Rc5b0008a59ca49ed" /><Relationship Type="http://schemas.openxmlformats.org/officeDocument/2006/relationships/worksheet" Target="/xl/worksheets/sheet6.xml" Id="R66b232ab1b0049ef" /><Relationship Type="http://schemas.openxmlformats.org/officeDocument/2006/relationships/worksheet" Target="/xl/worksheets/sheet7.xml" Id="R6cf1e5ed82244754" /><Relationship Type="http://schemas.openxmlformats.org/officeDocument/2006/relationships/worksheet" Target="/xl/worksheets/sheet8.xml" Id="Rad47c2c65d5f4549" /><Relationship Type="http://schemas.openxmlformats.org/officeDocument/2006/relationships/worksheet" Target="/xl/worksheets/sheet9.xml" Id="Rf3e0e27aec5c4b83" /><Relationship Type="http://schemas.openxmlformats.org/officeDocument/2006/relationships/worksheet" Target="/xl/worksheets/sheet10.xml" Id="Rf4d7b1a7c31140a9" /><Relationship Type="http://schemas.openxmlformats.org/officeDocument/2006/relationships/worksheet" Target="/xl/worksheets/sheet11.xml" Id="R76386be43244474d" /><Relationship Type="http://schemas.openxmlformats.org/officeDocument/2006/relationships/worksheet" Target="/xl/worksheets/sheet12.xml" Id="R7f25c3ef2499414d" /><Relationship Type="http://schemas.openxmlformats.org/officeDocument/2006/relationships/worksheet" Target="/xl/worksheets/sheet13.xml" Id="Ra1be704041a44292" /><Relationship Type="http://schemas.openxmlformats.org/officeDocument/2006/relationships/worksheet" Target="/xl/worksheets/sheet14.xml" Id="Rd1a8eb4d0ea444cb" /><Relationship Type="http://schemas.openxmlformats.org/officeDocument/2006/relationships/worksheet" Target="/xl/worksheets/sheet15.xml" Id="Rd5dedec2a9504de4" /><Relationship Type="http://schemas.openxmlformats.org/officeDocument/2006/relationships/worksheet" Target="/xl/worksheets/sheet16.xml" Id="R95639f5dea5749d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1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Klassenleitung</x:v>
      </x:c>
      <x:c r="C3" s="5"/>
      <x:c r="D3" s="5"/>
      <x:c r="E3" s="5"/>
      <x:c r="F3" s="5"/>
      <x:c r="G3" s="5"/>
      <x:c r="H3" s="5"/>
      <x:c r="I3" s="5"/>
      <x:c r="J3" s="5"/>
      <x:c r="K3" s="1"/>
      <x:c r="L3" s="1"/>
      <x:c r="M3" s="1"/>
      <x:c r="N3" s="1"/>
      <x:c r="O3" s="1"/>
      <x:c r="P3" s="1"/>
      <x:c r="Q3" s="1"/>
      <x:c r="R3" s="1"/>
      <x:c r="S3" s="1"/>
      <x:c r="T3" s="1"/>
    </x:row>
    <x:row r="4" ht="20.017499923706055" customHeight="1">
      <x:c r="A4" s="1"/>
      <x:c r="B4" s="8" t="str">
        <x:v>Arbeitsübersicht · Standalone-Grundversion 0.3.1</x:v>
      </x:c>
      <x:c r="C4" s="8"/>
      <x:c r="D4" s="8"/>
      <x:c r="E4" s="8"/>
      <x:c r="F4" s="8"/>
      <x:c r="G4" s="8"/>
      <x:c r="H4" s="8"/>
      <x:c r="I4" s="8"/>
      <x:c r="J4" s="8"/>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22.987499237060547" customHeight="1">
      <x:c r="A6" s="1"/>
      <x:c r="B6" s="63" t="str">
        <x:v>Arbeitsstand</x:v>
      </x:c>
      <x:c r="C6" s="63"/>
      <x:c r="D6" s="63"/>
      <x:c r="E6" s="63"/>
      <x:c r="F6" s="63"/>
      <x:c r="G6" s="63"/>
      <x:c r="H6" s="63"/>
      <x:c r="I6" s="63"/>
      <x:c r="J6" s="63"/>
      <x:c r="K6" s="1"/>
      <x:c r="L6" s="1"/>
      <x:c r="M6" s="1"/>
      <x:c r="N6" s="1"/>
      <x:c r="O6" s="1"/>
      <x:c r="P6" s="1"/>
      <x:c r="Q6" s="1"/>
      <x:c r="R6" s="1"/>
      <x:c r="S6" s="1"/>
      <x:c r="T6" s="1"/>
    </x:row>
    <x:row r="7" ht="18" customHeight="1">
      <x:c r="A7" s="1"/>
      <x:c r="B7" s="1"/>
      <x:c r="C7" s="1"/>
      <x:c r="D7" s="1"/>
      <x:c r="E7" s="1"/>
      <x:c r="F7" s="1"/>
      <x:c r="G7" s="1"/>
      <x:c r="H7" s="1"/>
      <x:c r="I7" s="1"/>
      <x:c r="J7" s="1"/>
      <x:c r="K7" s="1"/>
      <x:c r="L7" s="1"/>
      <x:c r="M7" s="1"/>
      <x:c r="N7" s="1"/>
      <x:c r="O7" s="1"/>
      <x:c r="P7" s="1"/>
      <x:c r="Q7" s="1"/>
      <x:c r="R7" s="1"/>
      <x:c r="S7" s="1"/>
      <x:c r="T7" s="1"/>
    </x:row>
    <x:row r="8" ht="18" customHeight="1">
      <x:c r="A8" s="1"/>
      <x:c r="B8" s="74" t="str">
        <x:f>COUNTIFS('Offene Vorgänge'!$E$8:$E$207,"&lt;&gt;",'Offene Vorgänge'!$G$8:$G$207,"&lt;&gt;x")&amp;" offene Vorgänge"</x:f>
        <x:v>2 offene Vorgänge</x:v>
      </x:c>
      <x:c r="C8" s="74"/>
      <x:c r="D8" s="79" t="str">
        <x:f>COUNTIFS('Offene Vorgänge'!$E$8:$E$207,"&lt;&gt;",'Offene Vorgänge'!$C$8:$C$207,"&lt;"&amp;TODAY(),'Offene Vorgänge'!$G$8:$G$207,"&lt;&gt;x")&amp;" überfällig"</x:f>
        <x:v>1 überfällig</x:v>
      </x:c>
      <x:c r="E8" s="79"/>
      <x:c r="F8" s="74" t="str">
        <x:f>COUNTIFS('Offene Vorgänge'!$E$8:$E$207,"&lt;&gt;",'Offene Vorgänge'!$C$8:$C$207,"&gt;="&amp;TODAY(),'Offene Vorgänge'!$C$8:$C$207,"&lt;="&amp;TODAY()+7,'Offene Vorgänge'!$G$8:$G$207,"&lt;&gt;x")&amp;" in 7 Tagen"</x:f>
        <x:v>1 in 7 Tagen</x:v>
      </x:c>
      <x:c r="G8" s="74"/>
      <x:c r="H8" s="84" t="str">
        <x:f>COUNTIF('Schulinterne Systeme'!$G$8:$G$19,"offen")&amp;" Systemklärungen"</x:f>
        <x:v>10 Systemklärungen</x:v>
      </x:c>
      <x:c r="I8" s="84"/>
      <x:c r="J8" s="84"/>
      <x:c r="K8" s="1"/>
      <x:c r="L8" s="1"/>
      <x:c r="M8" s="1"/>
      <x:c r="N8" s="1"/>
      <x:c r="O8" s="1"/>
      <x:c r="P8" s="1"/>
      <x:c r="Q8" s="1"/>
      <x:c r="R8" s="1"/>
      <x:c r="S8" s="1"/>
      <x:c r="T8" s="1"/>
    </x:row>
    <x:row r="9" ht="18" customHeight="1">
      <x:c r="A9" s="1"/>
      <x:c r="B9" s="74"/>
      <x:c r="C9" s="74"/>
      <x:c r="D9" s="79"/>
      <x:c r="E9" s="79"/>
      <x:c r="F9" s="74"/>
      <x:c r="G9" s="74"/>
      <x:c r="H9" s="84"/>
      <x:c r="I9" s="84"/>
      <x:c r="J9" s="84"/>
      <x:c r="K9" s="1"/>
      <x:c r="L9" s="1"/>
      <x:c r="M9" s="1"/>
      <x:c r="N9" s="1"/>
      <x:c r="O9" s="1"/>
      <x:c r="P9" s="1"/>
      <x:c r="Q9" s="1"/>
      <x:c r="R9" s="1"/>
      <x:c r="S9" s="1"/>
      <x:c r="T9" s="1"/>
    </x:row>
    <x:row r="10" ht="18" customHeight="1">
      <x:c r="A10" s="1"/>
      <x:c r="B10" s="1"/>
      <x:c r="C10" s="1"/>
      <x:c r="D10" s="1"/>
      <x:c r="E10" s="1"/>
      <x:c r="F10" s="1"/>
      <x:c r="G10" s="1"/>
      <x:c r="H10" s="1"/>
      <x:c r="I10" s="1"/>
      <x:c r="J10" s="1"/>
      <x:c r="K10" s="1"/>
      <x:c r="L10" s="1"/>
      <x:c r="M10" s="1"/>
      <x:c r="N10" s="1"/>
      <x:c r="O10" s="1"/>
      <x:c r="P10" s="1"/>
      <x:c r="Q10" s="1"/>
      <x:c r="R10" s="1"/>
      <x:c r="S10" s="1"/>
      <x:c r="T10" s="1"/>
    </x:row>
    <x:row r="11" ht="18" customHeight="1">
      <x:c r="A11" s="1"/>
      <x:c r="B11" s="1"/>
      <x:c r="C11" s="1"/>
      <x:c r="D11" s="1"/>
      <x:c r="E11" s="1"/>
      <x:c r="F11" s="1"/>
      <x:c r="G11" s="1"/>
      <x:c r="H11" s="1"/>
      <x:c r="I11" s="1"/>
      <x:c r="J11" s="1"/>
      <x:c r="K11" s="1"/>
      <x:c r="L11" s="1"/>
      <x:c r="M11" s="1"/>
      <x:c r="N11" s="1"/>
      <x:c r="O11" s="1"/>
      <x:c r="P11" s="1"/>
      <x:c r="Q11" s="1"/>
      <x:c r="R11" s="1"/>
      <x:c r="S11" s="1"/>
      <x:c r="T11" s="1"/>
    </x:row>
    <x:row r="12" ht="22.987499237060547" customHeight="1">
      <x:c r="A12" s="1"/>
      <x:c r="B12" s="63" t="str">
        <x:v>Arbeitsweise</x:v>
      </x:c>
      <x:c r="C12" s="63"/>
      <x:c r="D12" s="63"/>
      <x:c r="E12" s="63"/>
      <x:c r="F12" s="63"/>
      <x:c r="G12" s="63"/>
      <x:c r="H12" s="63"/>
      <x:c r="I12" s="63"/>
      <x:c r="J12" s="63"/>
      <x:c r="K12" s="1"/>
      <x:c r="L12" s="1"/>
      <x:c r="M12" s="1"/>
      <x:c r="N12" s="1"/>
      <x:c r="O12" s="1"/>
      <x:c r="P12" s="1"/>
      <x:c r="Q12" s="1"/>
      <x:c r="R12" s="1"/>
      <x:c r="S12" s="1"/>
      <x:c r="T12" s="1"/>
    </x:row>
    <x:row r="13" ht="18" customHeight="1">
      <x:c r="A13" s="1"/>
      <x:c r="B13" s="1"/>
      <x:c r="C13" s="1"/>
      <x:c r="D13" s="1"/>
      <x:c r="E13" s="1"/>
      <x:c r="F13" s="1"/>
      <x:c r="G13" s="1"/>
      <x:c r="H13" s="1"/>
      <x:c r="I13" s="1"/>
      <x:c r="J13" s="1"/>
      <x:c r="K13" s="1"/>
      <x:c r="L13" s="1"/>
      <x:c r="M13" s="1"/>
      <x:c r="N13" s="1"/>
      <x:c r="O13" s="1"/>
      <x:c r="P13" s="1"/>
      <x:c r="Q13" s="1"/>
      <x:c r="R13" s="1"/>
      <x:c r="S13" s="1"/>
      <x:c r="T13" s="1"/>
    </x:row>
    <x:row r="14" ht="18" customHeight="1">
      <x:c r="A14" s="1"/>
      <x:c r="B14" s="62" t="str">
        <x:v>1. Alle Aufgaben, Fristen und Nachfasspunkte ausschließlich im Blatt „Offene Vorgänge“ eintragen.
2. Fachblätter dienen nur als Register oder Ablageübersicht; daraus entstehende Aufgaben wieder unter „Offene Vorgänge“ notieren.
3. Routinen regelmäßig prüfen. Aus einer Routine wird nur dann ein offener Vorgang, wenn tatsächlich etwas zu erledigen ist.
4. Fehlzeiten bei Bedarf lokal kontrollieren; verbindlicher Nachweis bleibt im Klassenbuch oder Schulsystem.
5. Beispielzeilen nach dem Ausprobieren löschen.</x:v>
      </x:c>
      <x:c r="C14" s="62"/>
      <x:c r="D14" s="62"/>
      <x:c r="E14" s="62"/>
      <x:c r="F14" s="62"/>
      <x:c r="G14" s="62"/>
      <x:c r="H14" s="62"/>
      <x:c r="I14" s="62"/>
      <x:c r="J14" s="62"/>
      <x:c r="K14" s="1"/>
      <x:c r="L14" s="1"/>
      <x:c r="M14" s="1"/>
      <x:c r="N14" s="1"/>
      <x:c r="O14" s="1"/>
      <x:c r="P14" s="1"/>
      <x:c r="Q14" s="1"/>
      <x:c r="R14" s="1"/>
      <x:c r="S14" s="1"/>
      <x:c r="T14" s="1"/>
    </x:row>
    <x:row r="15" ht="18" customHeight="1">
      <x:c r="A15" s="1"/>
      <x:c r="B15" s="62"/>
      <x:c r="C15" s="62"/>
      <x:c r="D15" s="62"/>
      <x:c r="E15" s="62"/>
      <x:c r="F15" s="62"/>
      <x:c r="G15" s="62"/>
      <x:c r="H15" s="62"/>
      <x:c r="I15" s="62"/>
      <x:c r="J15" s="62"/>
      <x:c r="K15" s="1"/>
      <x:c r="L15" s="1"/>
      <x:c r="M15" s="1"/>
      <x:c r="N15" s="1"/>
      <x:c r="O15" s="1"/>
      <x:c r="P15" s="1"/>
      <x:c r="Q15" s="1"/>
      <x:c r="R15" s="1"/>
      <x:c r="S15" s="1"/>
      <x:c r="T15" s="1"/>
    </x:row>
    <x:row r="16" ht="18" customHeight="1">
      <x:c r="A16" s="1"/>
      <x:c r="B16" s="62"/>
      <x:c r="C16" s="62"/>
      <x:c r="D16" s="62"/>
      <x:c r="E16" s="62"/>
      <x:c r="F16" s="62"/>
      <x:c r="G16" s="62"/>
      <x:c r="H16" s="62"/>
      <x:c r="I16" s="62"/>
      <x:c r="J16" s="62"/>
      <x:c r="K16" s="1"/>
      <x:c r="L16" s="1"/>
      <x:c r="M16" s="1"/>
      <x:c r="N16" s="1"/>
      <x:c r="O16" s="1"/>
      <x:c r="P16" s="1"/>
      <x:c r="Q16" s="1"/>
      <x:c r="R16" s="1"/>
      <x:c r="S16" s="1"/>
      <x:c r="T16" s="1"/>
    </x:row>
    <x:row r="17" ht="18" customHeight="1">
      <x:c r="A17" s="1"/>
      <x:c r="B17" s="62"/>
      <x:c r="C17" s="62"/>
      <x:c r="D17" s="62"/>
      <x:c r="E17" s="62"/>
      <x:c r="F17" s="62"/>
      <x:c r="G17" s="62"/>
      <x:c r="H17" s="62"/>
      <x:c r="I17" s="62"/>
      <x:c r="J17" s="62"/>
      <x:c r="K17" s="1"/>
      <x:c r="L17" s="1"/>
      <x:c r="M17" s="1"/>
      <x:c r="N17" s="1"/>
      <x:c r="O17" s="1"/>
      <x:c r="P17" s="1"/>
      <x:c r="Q17" s="1"/>
      <x:c r="R17" s="1"/>
      <x:c r="S17" s="1"/>
      <x:c r="T17" s="1"/>
    </x:row>
    <x:row r="18" ht="18" customHeight="1">
      <x:c r="A18" s="1"/>
      <x:c r="B18" s="1"/>
      <x:c r="C18" s="1"/>
      <x:c r="D18" s="1"/>
      <x:c r="E18" s="1"/>
      <x:c r="F18" s="1"/>
      <x:c r="G18" s="1"/>
      <x:c r="H18" s="1"/>
      <x:c r="I18" s="1"/>
      <x:c r="J18" s="1"/>
      <x:c r="K18" s="1"/>
      <x:c r="L18" s="1"/>
      <x:c r="M18" s="1"/>
      <x:c r="N18" s="1"/>
      <x:c r="O18" s="1"/>
      <x:c r="P18" s="1"/>
      <x:c r="Q18" s="1"/>
      <x:c r="R18" s="1"/>
      <x:c r="S18" s="1"/>
      <x:c r="T18" s="1"/>
    </x:row>
    <x:row r="19" ht="18" customHeight="1">
      <x:c r="A19" s="1"/>
      <x:c r="B19" s="1"/>
      <x:c r="C19" s="1"/>
      <x:c r="D19" s="1"/>
      <x:c r="E19" s="1"/>
      <x:c r="F19" s="1"/>
      <x:c r="G19" s="1"/>
      <x:c r="H19" s="1"/>
      <x:c r="I19" s="1"/>
      <x:c r="J19" s="1"/>
      <x:c r="K19" s="1"/>
      <x:c r="L19" s="1"/>
      <x:c r="M19" s="1"/>
      <x:c r="N19" s="1"/>
      <x:c r="O19" s="1"/>
      <x:c r="P19" s="1"/>
      <x:c r="Q19" s="1"/>
      <x:c r="R19" s="1"/>
      <x:c r="S19" s="1"/>
      <x:c r="T19" s="1"/>
    </x:row>
    <x:row r="20" ht="18" customHeight="1">
      <x:c r="A20" s="1"/>
      <x:c r="B20" s="1"/>
      <x:c r="C20" s="1"/>
      <x:c r="D20" s="1"/>
      <x:c r="E20" s="1"/>
      <x:c r="F20" s="1"/>
      <x:c r="G20" s="1"/>
      <x:c r="H20" s="1"/>
      <x:c r="I20" s="1"/>
      <x:c r="J20" s="1"/>
      <x:c r="K20" s="1"/>
      <x:c r="L20" s="1"/>
      <x:c r="M20" s="1"/>
      <x:c r="N20" s="1"/>
      <x:c r="O20" s="1"/>
      <x:c r="P20" s="1"/>
      <x:c r="Q20" s="1"/>
      <x:c r="R20" s="1"/>
      <x:c r="S20" s="1"/>
      <x:c r="T20" s="1"/>
    </x:row>
    <x:row r="21" ht="18" customHeight="1">
      <x:c r="A21" s="1"/>
      <x:c r="B21" s="1"/>
      <x:c r="C21" s="1"/>
      <x:c r="D21" s="1"/>
      <x:c r="E21" s="1"/>
      <x:c r="F21" s="1"/>
      <x:c r="G21" s="1"/>
      <x:c r="H21" s="1"/>
      <x:c r="I21" s="1"/>
      <x:c r="J21" s="1"/>
      <x:c r="K21" s="1"/>
      <x:c r="L21" s="1"/>
      <x:c r="M21" s="1"/>
      <x:c r="N21" s="1"/>
      <x:c r="O21" s="1"/>
      <x:c r="P21" s="1"/>
      <x:c r="Q21" s="1"/>
      <x:c r="R21" s="1"/>
      <x:c r="S21" s="1"/>
      <x:c r="T21" s="1"/>
    </x:row>
    <x:row r="22" ht="18" customHeight="1">
      <x:c r="A22" s="1"/>
      <x:c r="B22" s="1"/>
      <x:c r="C22" s="1"/>
      <x:c r="D22" s="1"/>
      <x:c r="E22" s="1"/>
      <x:c r="F22" s="1"/>
      <x:c r="G22" s="1"/>
      <x:c r="H22" s="1"/>
      <x:c r="I22" s="1"/>
      <x:c r="J22" s="1"/>
      <x:c r="K22" s="1"/>
      <x:c r="L22" s="1"/>
      <x:c r="M22" s="1"/>
      <x:c r="N22" s="1"/>
      <x:c r="O22" s="1"/>
      <x:c r="P22" s="1"/>
      <x:c r="Q22" s="1"/>
      <x:c r="R22" s="1"/>
      <x:c r="S22" s="1"/>
      <x:c r="T22" s="1"/>
    </x:row>
    <x:row r="23" ht="18" customHeight="1">
      <x:c r="A23" s="1"/>
      <x:c r="B23" s="1"/>
      <x:c r="C23" s="1"/>
      <x:c r="D23" s="1"/>
      <x:c r="E23" s="1"/>
      <x:c r="F23" s="1"/>
      <x:c r="G23" s="1"/>
      <x:c r="H23" s="1"/>
      <x:c r="I23" s="1"/>
      <x:c r="J23" s="1"/>
      <x:c r="K23" s="1"/>
      <x:c r="L23" s="1"/>
      <x:c r="M23" s="1"/>
      <x:c r="N23" s="1"/>
      <x:c r="O23" s="1"/>
      <x:c r="P23" s="1"/>
      <x:c r="Q23" s="1"/>
      <x:c r="R23" s="1"/>
      <x:c r="S23" s="1"/>
      <x:c r="T23" s="1"/>
    </x:row>
    <x:row r="24" ht="18" customHeight="1">
      <x:c r="A24" s="1"/>
      <x:c r="B24" s="1"/>
      <x:c r="C24" s="1"/>
      <x:c r="D24" s="1"/>
      <x:c r="E24" s="1"/>
      <x:c r="F24" s="1"/>
      <x:c r="G24" s="1"/>
      <x:c r="H24" s="1"/>
      <x:c r="I24" s="1"/>
      <x:c r="J24" s="1"/>
      <x:c r="K24" s="1"/>
      <x:c r="L24" s="1"/>
      <x:c r="M24" s="1"/>
      <x:c r="N24" s="1"/>
      <x:c r="O24" s="1"/>
      <x:c r="P24" s="1"/>
      <x:c r="Q24" s="1"/>
      <x:c r="R24" s="1"/>
      <x:c r="S24" s="1"/>
      <x:c r="T24" s="1"/>
    </x:row>
    <x:row r="25" ht="18" customHeight="1">
      <x:c r="A25" s="1"/>
      <x:c r="B25" s="1"/>
      <x:c r="C25" s="1"/>
      <x:c r="D25" s="1"/>
      <x:c r="E25" s="1"/>
      <x:c r="F25" s="1"/>
      <x:c r="G25" s="1"/>
      <x:c r="H25" s="1"/>
      <x:c r="I25" s="1"/>
      <x:c r="J25" s="1"/>
      <x:c r="K25" s="1"/>
      <x:c r="L25" s="1"/>
      <x:c r="M25" s="1"/>
      <x:c r="N25" s="1"/>
      <x:c r="O25" s="1"/>
      <x:c r="P25" s="1"/>
      <x:c r="Q25" s="1"/>
      <x:c r="R25" s="1"/>
      <x:c r="S25" s="1"/>
      <x:c r="T25" s="1"/>
    </x:row>
    <x:row r="26" ht="18" customHeight="1">
      <x:c r="A26" s="1"/>
      <x:c r="B26" s="1"/>
      <x:c r="C26" s="1"/>
      <x:c r="D26" s="1"/>
      <x:c r="E26" s="1"/>
      <x:c r="F26" s="1"/>
      <x:c r="G26" s="1"/>
      <x:c r="H26" s="1"/>
      <x:c r="I26" s="1"/>
      <x:c r="J26" s="1"/>
      <x:c r="K26" s="1"/>
      <x:c r="L26" s="1"/>
      <x:c r="M26" s="1"/>
      <x:c r="N26" s="1"/>
      <x:c r="O26" s="1"/>
      <x:c r="P26" s="1"/>
      <x:c r="Q26" s="1"/>
      <x:c r="R26" s="1"/>
      <x:c r="S26" s="1"/>
      <x:c r="T26" s="1"/>
    </x:row>
    <x:row r="27" ht="18" customHeight="1">
      <x:c r="A27" s="1"/>
      <x:c r="B27" s="1"/>
      <x:c r="C27" s="1"/>
      <x:c r="D27" s="1"/>
      <x:c r="E27" s="1"/>
      <x:c r="F27" s="1"/>
      <x:c r="G27" s="1"/>
      <x:c r="H27" s="1"/>
      <x:c r="I27" s="1"/>
      <x:c r="J27" s="1"/>
      <x:c r="K27" s="1"/>
      <x:c r="L27" s="1"/>
      <x:c r="M27" s="1"/>
      <x:c r="N27" s="1"/>
      <x:c r="O27" s="1"/>
      <x:c r="P27" s="1"/>
      <x:c r="Q27" s="1"/>
      <x:c r="R27" s="1"/>
      <x:c r="S27" s="1"/>
      <x:c r="T27" s="1"/>
    </x:row>
    <x:row r="28" ht="18" customHeight="1">
      <x:c r="A28" s="1"/>
      <x:c r="B28" s="1"/>
      <x:c r="C28" s="1"/>
      <x:c r="D28" s="1"/>
      <x:c r="E28" s="1"/>
      <x:c r="F28" s="1"/>
      <x:c r="G28" s="1"/>
      <x:c r="H28" s="1"/>
      <x:c r="I28" s="1"/>
      <x:c r="J28" s="1"/>
      <x:c r="K28" s="1"/>
      <x:c r="L28" s="1"/>
      <x:c r="M28" s="1"/>
      <x:c r="N28" s="1"/>
      <x:c r="O28" s="1"/>
      <x:c r="P28" s="1"/>
      <x:c r="Q28" s="1"/>
      <x:c r="R28" s="1"/>
      <x:c r="S28" s="1"/>
      <x:c r="T28" s="1"/>
    </x:row>
    <x:row r="29" ht="18" customHeight="1">
      <x:c r="A29" s="1"/>
      <x:c r="B29" s="1"/>
      <x:c r="C29" s="1"/>
      <x:c r="D29" s="1"/>
      <x:c r="E29" s="1"/>
      <x:c r="F29" s="1"/>
      <x:c r="G29" s="1"/>
      <x:c r="H29" s="1"/>
      <x:c r="I29" s="1"/>
      <x:c r="J29" s="1"/>
      <x:c r="K29" s="1"/>
      <x:c r="L29" s="1"/>
      <x:c r="M29" s="1"/>
      <x:c r="N29" s="1"/>
      <x:c r="O29" s="1"/>
      <x:c r="P29" s="1"/>
      <x:c r="Q29" s="1"/>
      <x:c r="R29" s="1"/>
      <x:c r="S29" s="1"/>
      <x:c r="T29" s="1"/>
    </x:row>
    <x:row r="30" ht="18" customHeight="1">
      <x:c r="A30" s="1"/>
      <x:c r="B30" s="1"/>
      <x:c r="C30" s="1"/>
      <x:c r="D30" s="1"/>
      <x:c r="E30" s="1"/>
      <x:c r="F30" s="1"/>
      <x:c r="G30" s="1"/>
      <x:c r="H30" s="1"/>
      <x:c r="I30" s="1"/>
      <x:c r="J30" s="1"/>
      <x:c r="K30" s="1"/>
      <x:c r="L30" s="1"/>
      <x:c r="M30" s="1"/>
      <x:c r="N30" s="1"/>
      <x:c r="O30" s="1"/>
      <x:c r="P30" s="1"/>
      <x:c r="Q30" s="1"/>
      <x:c r="R30" s="1"/>
      <x:c r="S30" s="1"/>
      <x:c r="T30" s="1"/>
    </x:row>
    <x:row r="31" ht="18" customHeight="1">
      <x:c r="A31" s="1"/>
      <x:c r="B31" s="1"/>
      <x:c r="C31" s="1"/>
      <x:c r="D31" s="1"/>
      <x:c r="E31" s="1"/>
      <x:c r="F31" s="1"/>
      <x:c r="G31" s="1"/>
      <x:c r="H31" s="1"/>
      <x:c r="I31" s="1"/>
      <x:c r="J31" s="1"/>
      <x:c r="K31" s="1"/>
      <x:c r="L31" s="1"/>
      <x:c r="M31" s="1"/>
      <x:c r="N31" s="1"/>
      <x:c r="O31" s="1"/>
      <x:c r="P31" s="1"/>
      <x:c r="Q31" s="1"/>
      <x:c r="R31" s="1"/>
      <x:c r="S31" s="1"/>
      <x:c r="T31" s="1"/>
    </x:row>
    <x:row r="32" ht="18" customHeight="1">
      <x:c r="A32" s="1"/>
      <x:c r="B32" s="1"/>
      <x:c r="C32" s="1"/>
      <x:c r="D32" s="1"/>
      <x:c r="E32" s="1"/>
      <x:c r="F32" s="1"/>
      <x:c r="G32" s="1"/>
      <x:c r="H32" s="1"/>
      <x:c r="I32" s="1"/>
      <x:c r="J32" s="1"/>
      <x:c r="K32" s="1"/>
      <x:c r="L32" s="1"/>
      <x:c r="M32" s="1"/>
      <x:c r="N32" s="1"/>
      <x:c r="O32" s="1"/>
      <x:c r="P32" s="1"/>
      <x:c r="Q32" s="1"/>
      <x:c r="R32" s="1"/>
      <x:c r="S32" s="1"/>
      <x:c r="T32" s="1"/>
    </x:row>
    <x:row r="33" ht="18" customHeight="1">
      <x:c r="A33" s="1"/>
      <x:c r="B33" s="1"/>
      <x:c r="C33" s="1"/>
      <x:c r="D33" s="1"/>
      <x:c r="E33" s="1"/>
      <x:c r="F33" s="1"/>
      <x:c r="G33" s="1"/>
      <x:c r="H33" s="1"/>
      <x:c r="I33" s="1"/>
      <x:c r="J33" s="1"/>
      <x:c r="K33" s="1"/>
      <x:c r="L33" s="1"/>
      <x:c r="M33" s="1"/>
      <x:c r="N33" s="1"/>
      <x:c r="O33" s="1"/>
      <x:c r="P33" s="1"/>
      <x:c r="Q33" s="1"/>
      <x:c r="R33" s="1"/>
      <x:c r="S33" s="1"/>
      <x:c r="T33" s="1"/>
    </x:row>
    <x:row r="34" ht="18" customHeight="1">
      <x:c r="A34" s="1"/>
      <x:c r="B34" s="1"/>
      <x:c r="C34" s="1"/>
      <x:c r="D34" s="1"/>
      <x:c r="E34" s="1"/>
      <x:c r="F34" s="1"/>
      <x:c r="G34" s="1"/>
      <x:c r="H34" s="1"/>
      <x:c r="I34" s="1"/>
      <x:c r="J34" s="1"/>
      <x:c r="K34" s="1"/>
      <x:c r="L34" s="1"/>
      <x:c r="M34" s="1"/>
      <x:c r="N34" s="1"/>
      <x:c r="O34" s="1"/>
      <x:c r="P34" s="1"/>
      <x:c r="Q34" s="1"/>
      <x:c r="R34" s="1"/>
      <x:c r="S34" s="1"/>
      <x:c r="T34" s="1"/>
    </x:row>
    <x:row r="35" ht="18" customHeight="1">
      <x:c r="A35" s="1"/>
      <x:c r="B35" s="1"/>
      <x:c r="C35" s="1"/>
      <x:c r="D35" s="1"/>
      <x:c r="E35" s="1"/>
      <x:c r="F35" s="1"/>
      <x:c r="G35" s="1"/>
      <x:c r="H35" s="1"/>
      <x:c r="I35" s="1"/>
      <x:c r="J35" s="1"/>
      <x:c r="K35" s="1"/>
      <x:c r="L35" s="1"/>
      <x:c r="M35" s="1"/>
      <x:c r="N35" s="1"/>
      <x:c r="O35" s="1"/>
      <x:c r="P35" s="1"/>
      <x:c r="Q35" s="1"/>
      <x:c r="R35" s="1"/>
      <x:c r="S35" s="1"/>
      <x:c r="T35" s="1"/>
    </x:row>
    <x:row r="36" ht="18" customHeight="1">
      <x:c r="A36" s="1"/>
      <x:c r="B36" s="1"/>
      <x:c r="C36" s="1"/>
      <x:c r="D36" s="1"/>
      <x:c r="E36" s="1"/>
      <x:c r="F36" s="1"/>
      <x:c r="G36" s="1"/>
      <x:c r="H36" s="1"/>
      <x:c r="I36" s="1"/>
      <x:c r="J36" s="1"/>
      <x:c r="K36" s="1"/>
      <x:c r="L36" s="1"/>
      <x:c r="M36" s="1"/>
      <x:c r="N36" s="1"/>
      <x:c r="O36" s="1"/>
      <x:c r="P36" s="1"/>
      <x:c r="Q36" s="1"/>
      <x:c r="R36" s="1"/>
      <x:c r="S36" s="1"/>
      <x:c r="T36" s="1"/>
    </x:row>
    <x:row r="37" ht="18" customHeight="1">
      <x:c r="A37" s="1"/>
      <x:c r="B37" s="1"/>
      <x:c r="C37" s="1"/>
      <x:c r="D37" s="1"/>
      <x:c r="E37" s="1"/>
      <x:c r="F37" s="1"/>
      <x:c r="G37" s="1"/>
      <x:c r="H37" s="1"/>
      <x:c r="I37" s="1"/>
      <x:c r="J37" s="1"/>
      <x:c r="K37" s="1"/>
      <x:c r="L37" s="1"/>
      <x:c r="M37" s="1"/>
      <x:c r="N37" s="1"/>
      <x:c r="O37" s="1"/>
      <x:c r="P37" s="1"/>
      <x:c r="Q37" s="1"/>
      <x:c r="R37" s="1"/>
      <x:c r="S37" s="1"/>
      <x:c r="T37" s="1"/>
    </x:row>
    <x:row r="38" ht="18" customHeight="1">
      <x:c r="A38" s="1"/>
      <x:c r="B38" s="1"/>
      <x:c r="C38" s="1"/>
      <x:c r="D38" s="1"/>
      <x:c r="E38" s="1"/>
      <x:c r="F38" s="1"/>
      <x:c r="G38" s="1"/>
      <x:c r="H38" s="1"/>
      <x:c r="I38" s="1"/>
      <x:c r="J38" s="1"/>
      <x:c r="K38" s="1"/>
      <x:c r="L38" s="1"/>
      <x:c r="M38" s="1"/>
      <x:c r="N38" s="1"/>
      <x:c r="O38" s="1"/>
      <x:c r="P38" s="1"/>
      <x:c r="Q38" s="1"/>
      <x:c r="R38" s="1"/>
      <x:c r="S38" s="1"/>
      <x:c r="T38" s="1"/>
    </x:row>
    <x:row r="39" ht="18" customHeight="1">
      <x:c r="A39" s="1"/>
      <x:c r="B39" s="1"/>
      <x:c r="C39" s="1"/>
      <x:c r="D39" s="1"/>
      <x:c r="E39" s="1"/>
      <x:c r="F39" s="1"/>
      <x:c r="G39" s="1"/>
      <x:c r="H39" s="1"/>
      <x:c r="I39" s="1"/>
      <x:c r="J39" s="1"/>
      <x:c r="K39" s="1"/>
      <x:c r="L39" s="1"/>
      <x:c r="M39" s="1"/>
      <x:c r="N39" s="1"/>
      <x:c r="O39" s="1"/>
      <x:c r="P39" s="1"/>
      <x:c r="Q39" s="1"/>
      <x:c r="R39" s="1"/>
      <x:c r="S39" s="1"/>
      <x:c r="T39" s="1"/>
    </x:row>
    <x:row r="40" ht="18" customHeight="1">
      <x:c r="A40" s="1"/>
      <x:c r="B40" s="1"/>
      <x:c r="C40" s="1"/>
      <x:c r="D40" s="1"/>
      <x:c r="E40" s="1"/>
      <x:c r="F40" s="1"/>
      <x:c r="G40" s="1"/>
      <x:c r="H40" s="1"/>
      <x:c r="I40" s="1"/>
      <x:c r="J40" s="1"/>
      <x:c r="K40" s="1"/>
      <x:c r="L40" s="1"/>
      <x:c r="M40" s="1"/>
      <x:c r="N40" s="1"/>
      <x:c r="O40" s="1"/>
      <x:c r="P40" s="1"/>
      <x:c r="Q40" s="1"/>
      <x:c r="R40" s="1"/>
      <x:c r="S40" s="1"/>
      <x:c r="T40" s="1"/>
    </x:row>
    <x:row r="41" ht="18" customHeight="1">
      <x:c r="A41" s="1"/>
      <x:c r="B41" s="1"/>
      <x:c r="C41" s="1"/>
      <x:c r="D41" s="1"/>
      <x:c r="E41" s="1"/>
      <x:c r="F41" s="1"/>
      <x:c r="G41" s="1"/>
      <x:c r="H41" s="1"/>
      <x:c r="I41" s="1"/>
      <x:c r="J41" s="1"/>
      <x:c r="K41" s="1"/>
      <x:c r="L41" s="1"/>
      <x:c r="M41" s="1"/>
      <x:c r="N41" s="1"/>
      <x:c r="O41" s="1"/>
      <x:c r="P41" s="1"/>
      <x:c r="Q41" s="1"/>
      <x:c r="R41" s="1"/>
      <x:c r="S41" s="1"/>
      <x:c r="T41" s="1"/>
    </x:row>
    <x:row r="42" ht="18" customHeight="1">
      <x:c r="A42" s="1"/>
      <x:c r="B42" s="1"/>
      <x:c r="C42" s="1"/>
      <x:c r="D42" s="1"/>
      <x:c r="E42" s="1"/>
      <x:c r="F42" s="1"/>
      <x:c r="G42" s="1"/>
      <x:c r="H42" s="1"/>
      <x:c r="I42" s="1"/>
      <x:c r="J42" s="1"/>
      <x:c r="K42" s="1"/>
      <x:c r="L42" s="1"/>
      <x:c r="M42" s="1"/>
      <x:c r="N42" s="1"/>
      <x:c r="O42" s="1"/>
      <x:c r="P42" s="1"/>
      <x:c r="Q42" s="1"/>
      <x:c r="R42" s="1"/>
      <x:c r="S42" s="1"/>
      <x:c r="T42" s="1"/>
    </x:row>
    <x:row r="43" ht="18" customHeight="1">
      <x:c r="A43" s="1"/>
      <x:c r="B43" s="1"/>
      <x:c r="C43" s="1"/>
      <x:c r="D43" s="1"/>
      <x:c r="E43" s="1"/>
      <x:c r="F43" s="1"/>
      <x:c r="G43" s="1"/>
      <x:c r="H43" s="1"/>
      <x:c r="I43" s="1"/>
      <x:c r="J43" s="1"/>
      <x:c r="K43" s="1"/>
      <x:c r="L43" s="1"/>
      <x:c r="M43" s="1"/>
      <x:c r="N43" s="1"/>
      <x:c r="O43" s="1"/>
      <x:c r="P43" s="1"/>
      <x:c r="Q43" s="1"/>
      <x:c r="R43" s="1"/>
      <x:c r="S43" s="1"/>
      <x:c r="T43" s="1"/>
    </x:row>
    <x:row r="44" ht="18" customHeight="1">
      <x:c r="A44" s="1"/>
      <x:c r="B44" s="1"/>
      <x:c r="C44" s="1"/>
      <x:c r="D44" s="1"/>
      <x:c r="E44" s="1"/>
      <x:c r="F44" s="1"/>
      <x:c r="G44" s="1"/>
      <x:c r="H44" s="1"/>
      <x:c r="I44" s="1"/>
      <x:c r="J44" s="1"/>
      <x:c r="K44" s="1"/>
      <x:c r="L44" s="1"/>
      <x:c r="M44" s="1"/>
      <x:c r="N44" s="1"/>
      <x:c r="O44" s="1"/>
      <x:c r="P44" s="1"/>
      <x:c r="Q44" s="1"/>
      <x:c r="R44" s="1"/>
      <x:c r="S44" s="1"/>
      <x:c r="T44" s="1"/>
    </x:row>
    <x:row r="45" ht="18" customHeight="1">
      <x:c r="A45" s="1"/>
      <x:c r="B45" s="1"/>
      <x:c r="C45" s="1"/>
      <x:c r="D45" s="1"/>
      <x:c r="E45" s="1"/>
      <x:c r="F45" s="1"/>
      <x:c r="G45" s="1"/>
      <x:c r="H45" s="1"/>
      <x:c r="I45" s="1"/>
      <x:c r="J45" s="1"/>
      <x:c r="K45" s="1"/>
      <x:c r="L45" s="1"/>
      <x:c r="M45" s="1"/>
      <x:c r="N45" s="1"/>
      <x:c r="O45" s="1"/>
      <x:c r="P45" s="1"/>
      <x:c r="Q45" s="1"/>
      <x:c r="R45" s="1"/>
      <x:c r="S45" s="1"/>
      <x:c r="T45" s="1"/>
    </x:row>
    <x:row r="46" ht="18" customHeight="1">
      <x:c r="A46" s="1"/>
      <x:c r="B46" s="1"/>
      <x:c r="C46" s="1"/>
      <x:c r="D46" s="1"/>
      <x:c r="E46" s="1"/>
      <x:c r="F46" s="1"/>
      <x:c r="G46" s="1"/>
      <x:c r="H46" s="1"/>
      <x:c r="I46" s="1"/>
      <x:c r="J46" s="1"/>
      <x:c r="K46" s="1"/>
      <x:c r="L46" s="1"/>
      <x:c r="M46" s="1"/>
      <x:c r="N46" s="1"/>
      <x:c r="O46" s="1"/>
      <x:c r="P46" s="1"/>
      <x:c r="Q46" s="1"/>
      <x:c r="R46" s="1"/>
      <x:c r="S46" s="1"/>
      <x:c r="T46" s="1"/>
    </x:row>
    <x:row r="47" ht="18" customHeight="1">
      <x:c r="A47" s="1"/>
      <x:c r="B47" s="1"/>
      <x:c r="C47" s="1"/>
      <x:c r="D47" s="1"/>
      <x:c r="E47" s="1"/>
      <x:c r="F47" s="1"/>
      <x:c r="G47" s="1"/>
      <x:c r="H47" s="1"/>
      <x:c r="I47" s="1"/>
      <x:c r="J47" s="1"/>
      <x:c r="K47" s="1"/>
      <x:c r="L47" s="1"/>
      <x:c r="M47" s="1"/>
      <x:c r="N47" s="1"/>
      <x:c r="O47" s="1"/>
      <x:c r="P47" s="1"/>
      <x:c r="Q47" s="1"/>
      <x:c r="R47" s="1"/>
      <x:c r="S47" s="1"/>
      <x:c r="T47" s="1"/>
    </x:row>
    <x:row r="48" ht="18" customHeight="1">
      <x:c r="A48" s="1"/>
      <x:c r="B48" s="1"/>
      <x:c r="C48" s="1"/>
      <x:c r="D48" s="1"/>
      <x:c r="E48" s="1"/>
      <x:c r="F48" s="1"/>
      <x:c r="G48" s="1"/>
      <x:c r="H48" s="1"/>
      <x:c r="I48" s="1"/>
      <x:c r="J48" s="1"/>
      <x:c r="K48" s="1"/>
      <x:c r="L48" s="1"/>
      <x:c r="M48" s="1"/>
      <x:c r="N48" s="1"/>
      <x:c r="O48" s="1"/>
      <x:c r="P48" s="1"/>
      <x:c r="Q48" s="1"/>
      <x:c r="R48" s="1"/>
      <x:c r="S48" s="1"/>
      <x:c r="T48" s="1"/>
    </x:row>
    <x:row r="49" ht="18" customHeight="1">
      <x:c r="A49" s="1"/>
      <x:c r="B49" s="1"/>
      <x:c r="C49" s="1"/>
      <x:c r="D49" s="1"/>
      <x:c r="E49" s="1"/>
      <x:c r="F49" s="1"/>
      <x:c r="G49" s="1"/>
      <x:c r="H49" s="1"/>
      <x:c r="I49" s="1"/>
      <x:c r="J49" s="1"/>
      <x:c r="K49" s="1"/>
      <x:c r="L49" s="1"/>
      <x:c r="M49" s="1"/>
      <x:c r="N49" s="1"/>
      <x:c r="O49" s="1"/>
      <x:c r="P49" s="1"/>
      <x:c r="Q49" s="1"/>
      <x:c r="R49" s="1"/>
      <x:c r="S49" s="1"/>
      <x:c r="T49" s="1"/>
    </x:row>
    <x:row r="50" ht="18" customHeight="1">
      <x:c r="A50" s="1"/>
      <x:c r="B50" s="1"/>
      <x:c r="C50" s="1"/>
      <x:c r="D50" s="1"/>
      <x:c r="E50" s="1"/>
      <x:c r="F50" s="1"/>
      <x:c r="G50" s="1"/>
      <x:c r="H50" s="1"/>
      <x:c r="I50" s="1"/>
      <x:c r="J50" s="1"/>
      <x:c r="K50" s="1"/>
      <x:c r="L50" s="1"/>
      <x:c r="M50" s="1"/>
      <x:c r="N50" s="1"/>
      <x:c r="O50" s="1"/>
      <x:c r="P50" s="1"/>
      <x:c r="Q50" s="1"/>
      <x:c r="R50" s="1"/>
      <x:c r="S50" s="1"/>
      <x:c r="T50" s="1"/>
    </x:row>
    <x:row r="51" ht="18" customHeight="1">
      <x:c r="A51" s="1"/>
      <x:c r="B51" s="1"/>
      <x:c r="C51" s="1"/>
      <x:c r="D51" s="1"/>
      <x:c r="E51" s="1"/>
      <x:c r="F51" s="1"/>
      <x:c r="G51" s="1"/>
      <x:c r="H51" s="1"/>
      <x:c r="I51" s="1"/>
      <x:c r="J51" s="1"/>
      <x:c r="K51" s="1"/>
      <x:c r="L51" s="1"/>
      <x:c r="M51" s="1"/>
      <x:c r="N51" s="1"/>
      <x:c r="O51" s="1"/>
      <x:c r="P51" s="1"/>
      <x:c r="Q51" s="1"/>
      <x:c r="R51" s="1"/>
      <x:c r="S51" s="1"/>
      <x:c r="T51" s="1"/>
    </x:row>
    <x:row r="52" ht="18" customHeight="1">
      <x:c r="A52" s="1"/>
      <x:c r="B52" s="1"/>
      <x:c r="C52" s="1"/>
      <x:c r="D52" s="1"/>
      <x:c r="E52" s="1"/>
      <x:c r="F52" s="1"/>
      <x:c r="G52" s="1"/>
      <x:c r="H52" s="1"/>
      <x:c r="I52" s="1"/>
      <x:c r="J52" s="1"/>
      <x:c r="K52" s="1"/>
      <x:c r="L52" s="1"/>
      <x:c r="M52" s="1"/>
      <x:c r="N52" s="1"/>
      <x:c r="O52" s="1"/>
      <x:c r="P52" s="1"/>
      <x:c r="Q52" s="1"/>
      <x:c r="R52" s="1"/>
      <x:c r="S52" s="1"/>
      <x:c r="T52" s="1"/>
    </x:row>
    <x:row r="53" ht="18" customHeight="1">
      <x:c r="A53" s="1"/>
      <x:c r="B53" s="1"/>
      <x:c r="C53" s="1"/>
      <x:c r="D53" s="1"/>
      <x:c r="E53" s="1"/>
      <x:c r="F53" s="1"/>
      <x:c r="G53" s="1"/>
      <x:c r="H53" s="1"/>
      <x:c r="I53" s="1"/>
      <x:c r="J53" s="1"/>
      <x:c r="K53" s="1"/>
      <x:c r="L53" s="1"/>
      <x:c r="M53" s="1"/>
      <x:c r="N53" s="1"/>
      <x:c r="O53" s="1"/>
      <x:c r="P53" s="1"/>
      <x:c r="Q53" s="1"/>
      <x:c r="R53" s="1"/>
      <x:c r="S53" s="1"/>
      <x:c r="T53" s="1"/>
    </x:row>
    <x:row r="54" ht="18" customHeight="1">
      <x:c r="A54" s="1"/>
      <x:c r="B54" s="1"/>
      <x:c r="C54" s="1"/>
      <x:c r="D54" s="1"/>
      <x:c r="E54" s="1"/>
      <x:c r="F54" s="1"/>
      <x:c r="G54" s="1"/>
      <x:c r="H54" s="1"/>
      <x:c r="I54" s="1"/>
      <x:c r="J54" s="1"/>
      <x:c r="K54" s="1"/>
      <x:c r="L54" s="1"/>
      <x:c r="M54" s="1"/>
      <x:c r="N54" s="1"/>
      <x:c r="O54" s="1"/>
      <x:c r="P54" s="1"/>
      <x:c r="Q54" s="1"/>
      <x:c r="R54" s="1"/>
      <x:c r="S54" s="1"/>
      <x:c r="T54" s="1"/>
    </x:row>
    <x:row r="55" ht="18" customHeight="1">
      <x:c r="A55" s="1"/>
      <x:c r="B55" s="1"/>
      <x:c r="C55" s="1"/>
      <x:c r="D55" s="1"/>
      <x:c r="E55" s="1"/>
      <x:c r="F55" s="1"/>
      <x:c r="G55" s="1"/>
      <x:c r="H55" s="1"/>
      <x:c r="I55" s="1"/>
      <x:c r="J55" s="1"/>
      <x:c r="K55" s="1"/>
      <x:c r="L55" s="1"/>
      <x:c r="M55" s="1"/>
      <x:c r="N55" s="1"/>
      <x:c r="O55" s="1"/>
      <x:c r="P55" s="1"/>
      <x:c r="Q55" s="1"/>
      <x:c r="R55" s="1"/>
      <x:c r="S55" s="1"/>
      <x:c r="T55" s="1"/>
    </x:row>
    <x:row r="56" ht="18" customHeight="1">
      <x:c r="A56" s="1"/>
      <x:c r="B56" s="1"/>
      <x:c r="C56" s="1"/>
      <x:c r="D56" s="1"/>
      <x:c r="E56" s="1"/>
      <x:c r="F56" s="1"/>
      <x:c r="G56" s="1"/>
      <x:c r="H56" s="1"/>
      <x:c r="I56" s="1"/>
      <x:c r="J56" s="1"/>
      <x:c r="K56" s="1"/>
      <x:c r="L56" s="1"/>
      <x:c r="M56" s="1"/>
      <x:c r="N56" s="1"/>
      <x:c r="O56" s="1"/>
      <x:c r="P56" s="1"/>
      <x:c r="Q56" s="1"/>
      <x:c r="R56" s="1"/>
      <x:c r="S56" s="1"/>
      <x:c r="T56" s="1"/>
    </x:row>
    <x:row r="57" ht="18" customHeight="1">
      <x:c r="A57" s="1"/>
      <x:c r="B57" s="1"/>
      <x:c r="C57" s="1"/>
      <x:c r="D57" s="1"/>
      <x:c r="E57" s="1"/>
      <x:c r="F57" s="1"/>
      <x:c r="G57" s="1"/>
      <x:c r="H57" s="1"/>
      <x:c r="I57" s="1"/>
      <x:c r="J57" s="1"/>
      <x:c r="K57" s="1"/>
      <x:c r="L57" s="1"/>
      <x:c r="M57" s="1"/>
      <x:c r="N57" s="1"/>
      <x:c r="O57" s="1"/>
      <x:c r="P57" s="1"/>
      <x:c r="Q57" s="1"/>
      <x:c r="R57" s="1"/>
      <x:c r="S57" s="1"/>
      <x:c r="T57" s="1"/>
    </x:row>
    <x:row r="58" ht="18" customHeight="1">
      <x:c r="A58" s="1"/>
      <x:c r="B58" s="1"/>
      <x:c r="C58" s="1"/>
      <x:c r="D58" s="1"/>
      <x:c r="E58" s="1"/>
      <x:c r="F58" s="1"/>
      <x:c r="G58" s="1"/>
      <x:c r="H58" s="1"/>
      <x:c r="I58" s="1"/>
      <x:c r="J58" s="1"/>
      <x:c r="K58" s="1"/>
      <x:c r="L58" s="1"/>
      <x:c r="M58" s="1"/>
      <x:c r="N58" s="1"/>
      <x:c r="O58" s="1"/>
      <x:c r="P58" s="1"/>
      <x:c r="Q58" s="1"/>
      <x:c r="R58" s="1"/>
      <x:c r="S58" s="1"/>
      <x:c r="T58" s="1"/>
    </x:row>
    <x:row r="59" ht="18" customHeight="1">
      <x:c r="A59" s="1"/>
      <x:c r="B59" s="1"/>
      <x:c r="C59" s="1"/>
      <x:c r="D59" s="1"/>
      <x:c r="E59" s="1"/>
      <x:c r="F59" s="1"/>
      <x:c r="G59" s="1"/>
      <x:c r="H59" s="1"/>
      <x:c r="I59" s="1"/>
      <x:c r="J59" s="1"/>
      <x:c r="K59" s="1"/>
      <x:c r="L59" s="1"/>
      <x:c r="M59" s="1"/>
      <x:c r="N59" s="1"/>
      <x:c r="O59" s="1"/>
      <x:c r="P59" s="1"/>
      <x:c r="Q59" s="1"/>
      <x:c r="R59" s="1"/>
      <x:c r="S59" s="1"/>
      <x:c r="T59" s="1"/>
    </x:row>
    <x:row r="60" ht="18" customHeight="1">
      <x:c r="A60" s="1"/>
      <x:c r="B60" s="1"/>
      <x:c r="C60" s="1"/>
      <x:c r="D60" s="1"/>
      <x:c r="E60" s="1"/>
      <x:c r="F60" s="1"/>
      <x:c r="G60" s="1"/>
      <x:c r="H60" s="1"/>
      <x:c r="I60" s="1"/>
      <x:c r="J60" s="1"/>
      <x:c r="K60" s="1"/>
      <x:c r="L60" s="1"/>
      <x:c r="M60" s="1"/>
      <x:c r="N60" s="1"/>
      <x:c r="O60" s="1"/>
      <x:c r="P60" s="1"/>
      <x:c r="Q60" s="1"/>
      <x:c r="R60" s="1"/>
      <x:c r="S60" s="1"/>
      <x:c r="T60" s="1"/>
    </x:row>
    <x:row r="61" ht="18" customHeight="1">
      <x:c r="A61" s="1"/>
      <x:c r="B61" s="1"/>
      <x:c r="C61" s="1"/>
      <x:c r="D61" s="1"/>
      <x:c r="E61" s="1"/>
      <x:c r="F61" s="1"/>
      <x:c r="G61" s="1"/>
      <x:c r="H61" s="1"/>
      <x:c r="I61" s="1"/>
      <x:c r="J61" s="1"/>
      <x:c r="K61" s="1"/>
      <x:c r="L61" s="1"/>
      <x:c r="M61" s="1"/>
      <x:c r="N61" s="1"/>
      <x:c r="O61" s="1"/>
      <x:c r="P61" s="1"/>
      <x:c r="Q61" s="1"/>
      <x:c r="R61" s="1"/>
      <x:c r="S61" s="1"/>
      <x:c r="T61" s="1"/>
    </x:row>
    <x:row r="62" ht="18" customHeight="1">
      <x:c r="A62" s="1"/>
      <x:c r="B62" s="1"/>
      <x:c r="C62" s="1"/>
      <x:c r="D62" s="1"/>
      <x:c r="E62" s="1"/>
      <x:c r="F62" s="1"/>
      <x:c r="G62" s="1"/>
      <x:c r="H62" s="1"/>
      <x:c r="I62" s="1"/>
      <x:c r="J62" s="1"/>
      <x:c r="K62" s="1"/>
      <x:c r="L62" s="1"/>
      <x:c r="M62" s="1"/>
      <x:c r="N62" s="1"/>
      <x:c r="O62" s="1"/>
      <x:c r="P62" s="1"/>
      <x:c r="Q62" s="1"/>
      <x:c r="R62" s="1"/>
      <x:c r="S62" s="1"/>
      <x:c r="T62" s="1"/>
    </x:row>
    <x:row r="63" ht="18" customHeight="1">
      <x:c r="A63" s="1"/>
      <x:c r="B63" s="1"/>
      <x:c r="C63" s="1"/>
      <x:c r="D63" s="1"/>
      <x:c r="E63" s="1"/>
      <x:c r="F63" s="1"/>
      <x:c r="G63" s="1"/>
      <x:c r="H63" s="1"/>
      <x:c r="I63" s="1"/>
      <x:c r="J63" s="1"/>
      <x:c r="K63" s="1"/>
      <x:c r="L63" s="1"/>
      <x:c r="M63" s="1"/>
      <x:c r="N63" s="1"/>
      <x:c r="O63" s="1"/>
      <x:c r="P63" s="1"/>
      <x:c r="Q63" s="1"/>
      <x:c r="R63" s="1"/>
      <x:c r="S63" s="1"/>
      <x:c r="T63" s="1"/>
    </x:row>
    <x:row r="64" ht="18" customHeight="1">
      <x:c r="A64" s="1"/>
      <x:c r="B64" s="1"/>
      <x:c r="C64" s="1"/>
      <x:c r="D64" s="1"/>
      <x:c r="E64" s="1"/>
      <x:c r="F64" s="1"/>
      <x:c r="G64" s="1"/>
      <x:c r="H64" s="1"/>
      <x:c r="I64" s="1"/>
      <x:c r="J64" s="1"/>
      <x:c r="K64" s="1"/>
      <x:c r="L64" s="1"/>
      <x:c r="M64" s="1"/>
      <x:c r="N64" s="1"/>
      <x:c r="O64" s="1"/>
      <x:c r="P64" s="1"/>
      <x:c r="Q64" s="1"/>
      <x:c r="R64" s="1"/>
      <x:c r="S64" s="1"/>
      <x:c r="T64" s="1"/>
    </x:row>
    <x:row r="65" ht="18" customHeight="1">
      <x:c r="A65" s="1"/>
      <x:c r="B65" s="1"/>
      <x:c r="C65" s="1"/>
      <x:c r="D65" s="1"/>
      <x:c r="E65" s="1"/>
      <x:c r="F65" s="1"/>
      <x:c r="G65" s="1"/>
      <x:c r="H65" s="1"/>
      <x:c r="I65" s="1"/>
      <x:c r="J65" s="1"/>
      <x:c r="K65" s="1"/>
      <x:c r="L65" s="1"/>
      <x:c r="M65" s="1"/>
      <x:c r="N65" s="1"/>
      <x:c r="O65" s="1"/>
      <x:c r="P65" s="1"/>
      <x:c r="Q65" s="1"/>
      <x:c r="R65" s="1"/>
      <x:c r="S65" s="1"/>
      <x:c r="T65" s="1"/>
    </x:row>
    <x:row r="66" ht="18" customHeight="1">
      <x:c r="A66" s="1"/>
      <x:c r="B66" s="1"/>
      <x:c r="C66" s="1"/>
      <x:c r="D66" s="1"/>
      <x:c r="E66" s="1"/>
      <x:c r="F66" s="1"/>
      <x:c r="G66" s="1"/>
      <x:c r="H66" s="1"/>
      <x:c r="I66" s="1"/>
      <x:c r="J66" s="1"/>
      <x:c r="K66" s="1"/>
      <x:c r="L66" s="1"/>
      <x:c r="M66" s="1"/>
      <x:c r="N66" s="1"/>
      <x:c r="O66" s="1"/>
      <x:c r="P66" s="1"/>
      <x:c r="Q66" s="1"/>
      <x:c r="R66" s="1"/>
      <x:c r="S66" s="1"/>
      <x:c r="T66" s="1"/>
    </x:row>
    <x:row r="67" ht="18" customHeight="1">
      <x:c r="A67" s="1"/>
      <x:c r="B67" s="1"/>
      <x:c r="C67" s="1"/>
      <x:c r="D67" s="1"/>
      <x:c r="E67" s="1"/>
      <x:c r="F67" s="1"/>
      <x:c r="G67" s="1"/>
      <x:c r="H67" s="1"/>
      <x:c r="I67" s="1"/>
      <x:c r="J67" s="1"/>
      <x:c r="K67" s="1"/>
      <x:c r="L67" s="1"/>
      <x:c r="M67" s="1"/>
      <x:c r="N67" s="1"/>
      <x:c r="O67" s="1"/>
      <x:c r="P67" s="1"/>
      <x:c r="Q67" s="1"/>
      <x:c r="R67" s="1"/>
      <x:c r="S67" s="1"/>
      <x:c r="T67" s="1"/>
    </x:row>
    <x:row r="68" ht="18" customHeight="1">
      <x:c r="A68" s="1"/>
      <x:c r="B68" s="1"/>
      <x:c r="C68" s="1"/>
      <x:c r="D68" s="1"/>
      <x:c r="E68" s="1"/>
      <x:c r="F68" s="1"/>
      <x:c r="G68" s="1"/>
      <x:c r="H68" s="1"/>
      <x:c r="I68" s="1"/>
      <x:c r="J68" s="1"/>
      <x:c r="K68" s="1"/>
      <x:c r="L68" s="1"/>
      <x:c r="M68" s="1"/>
      <x:c r="N68" s="1"/>
      <x:c r="O68" s="1"/>
      <x:c r="P68" s="1"/>
      <x:c r="Q68" s="1"/>
      <x:c r="R68" s="1"/>
      <x:c r="S68" s="1"/>
      <x:c r="T68" s="1"/>
    </x:row>
    <x:row r="69" ht="18" customHeight="1">
      <x:c r="A69" s="1"/>
      <x:c r="B69" s="1"/>
      <x:c r="C69" s="1"/>
      <x:c r="D69" s="1"/>
      <x:c r="E69" s="1"/>
      <x:c r="F69" s="1"/>
      <x:c r="G69" s="1"/>
      <x:c r="H69" s="1"/>
      <x:c r="I69" s="1"/>
      <x:c r="J69" s="1"/>
      <x:c r="K69" s="1"/>
      <x:c r="L69" s="1"/>
      <x:c r="M69" s="1"/>
      <x:c r="N69" s="1"/>
      <x:c r="O69" s="1"/>
      <x:c r="P69" s="1"/>
      <x:c r="Q69" s="1"/>
      <x:c r="R69" s="1"/>
      <x:c r="S69" s="1"/>
      <x:c r="T69" s="1"/>
    </x:row>
    <x:row r="70" ht="18" customHeight="1">
      <x:c r="A70" s="1"/>
      <x:c r="B70" s="1"/>
      <x:c r="C70" s="1"/>
      <x:c r="D70" s="1"/>
      <x:c r="E70" s="1"/>
      <x:c r="F70" s="1"/>
      <x:c r="G70" s="1"/>
      <x:c r="H70" s="1"/>
      <x:c r="I70" s="1"/>
      <x:c r="J70" s="1"/>
      <x:c r="K70" s="1"/>
      <x:c r="L70" s="1"/>
      <x:c r="M70" s="1"/>
      <x:c r="N70" s="1"/>
      <x:c r="O70" s="1"/>
      <x:c r="P70" s="1"/>
      <x:c r="Q70" s="1"/>
      <x:c r="R70" s="1"/>
      <x:c r="S70" s="1"/>
      <x:c r="T70" s="1"/>
    </x:row>
    <x:row r="71" ht="18" customHeight="1">
      <x:c r="A71" s="1"/>
      <x:c r="B71" s="1"/>
      <x:c r="C71" s="1"/>
      <x:c r="D71" s="1"/>
      <x:c r="E71" s="1"/>
      <x:c r="F71" s="1"/>
      <x:c r="G71" s="1"/>
      <x:c r="H71" s="1"/>
      <x:c r="I71" s="1"/>
      <x:c r="J71" s="1"/>
      <x:c r="K71" s="1"/>
      <x:c r="L71" s="1"/>
      <x:c r="M71" s="1"/>
      <x:c r="N71" s="1"/>
      <x:c r="O71" s="1"/>
      <x:c r="P71" s="1"/>
      <x:c r="Q71" s="1"/>
      <x:c r="R71" s="1"/>
      <x:c r="S71" s="1"/>
      <x:c r="T71" s="1"/>
    </x:row>
    <x:row r="72" ht="18" customHeight="1">
      <x:c r="A72" s="1"/>
      <x:c r="B72" s="1"/>
      <x:c r="C72" s="1"/>
      <x:c r="D72" s="1"/>
      <x:c r="E72" s="1"/>
      <x:c r="F72" s="1"/>
      <x:c r="G72" s="1"/>
      <x:c r="H72" s="1"/>
      <x:c r="I72" s="1"/>
      <x:c r="J72" s="1"/>
      <x:c r="K72" s="1"/>
      <x:c r="L72" s="1"/>
      <x:c r="M72" s="1"/>
      <x:c r="N72" s="1"/>
      <x:c r="O72" s="1"/>
      <x:c r="P72" s="1"/>
      <x:c r="Q72" s="1"/>
      <x:c r="R72" s="1"/>
      <x:c r="S72" s="1"/>
      <x:c r="T72" s="1"/>
    </x:row>
    <x:row r="73" ht="18" customHeight="1">
      <x:c r="A73" s="1"/>
      <x:c r="B73" s="1"/>
      <x:c r="C73" s="1"/>
      <x:c r="D73" s="1"/>
      <x:c r="E73" s="1"/>
      <x:c r="F73" s="1"/>
      <x:c r="G73" s="1"/>
      <x:c r="H73" s="1"/>
      <x:c r="I73" s="1"/>
      <x:c r="J73" s="1"/>
      <x:c r="K73" s="1"/>
      <x:c r="L73" s="1"/>
      <x:c r="M73" s="1"/>
      <x:c r="N73" s="1"/>
      <x:c r="O73" s="1"/>
      <x:c r="P73" s="1"/>
      <x:c r="Q73" s="1"/>
      <x:c r="R73" s="1"/>
      <x:c r="S73" s="1"/>
      <x:c r="T73" s="1"/>
    </x:row>
    <x:row r="74" ht="18" customHeight="1">
      <x:c r="A74" s="1"/>
      <x:c r="B74" s="1"/>
      <x:c r="C74" s="1"/>
      <x:c r="D74" s="1"/>
      <x:c r="E74" s="1"/>
      <x:c r="F74" s="1"/>
      <x:c r="G74" s="1"/>
      <x:c r="H74" s="1"/>
      <x:c r="I74" s="1"/>
      <x:c r="J74" s="1"/>
      <x:c r="K74" s="1"/>
      <x:c r="L74" s="1"/>
      <x:c r="M74" s="1"/>
      <x:c r="N74" s="1"/>
      <x:c r="O74" s="1"/>
      <x:c r="P74" s="1"/>
      <x:c r="Q74" s="1"/>
      <x:c r="R74" s="1"/>
      <x:c r="S74" s="1"/>
      <x:c r="T74" s="1"/>
    </x:row>
    <x:row r="75" ht="18" customHeight="1">
      <x:c r="A75" s="1"/>
      <x:c r="B75" s="1"/>
      <x:c r="C75" s="1"/>
      <x:c r="D75" s="1"/>
      <x:c r="E75" s="1"/>
      <x:c r="F75" s="1"/>
      <x:c r="G75" s="1"/>
      <x:c r="H75" s="1"/>
      <x:c r="I75" s="1"/>
      <x:c r="J75" s="1"/>
      <x:c r="K75" s="1"/>
      <x:c r="L75" s="1"/>
      <x:c r="M75" s="1"/>
      <x:c r="N75" s="1"/>
      <x:c r="O75" s="1"/>
      <x:c r="P75" s="1"/>
      <x:c r="Q75" s="1"/>
      <x:c r="R75" s="1"/>
      <x:c r="S75" s="1"/>
      <x:c r="T75" s="1"/>
    </x:row>
    <x:row r="76" ht="18" customHeight="1">
      <x:c r="A76" s="1"/>
      <x:c r="B76" s="1"/>
      <x:c r="C76" s="1"/>
      <x:c r="D76" s="1"/>
      <x:c r="E76" s="1"/>
      <x:c r="F76" s="1"/>
      <x:c r="G76" s="1"/>
      <x:c r="H76" s="1"/>
      <x:c r="I76" s="1"/>
      <x:c r="J76" s="1"/>
      <x:c r="K76" s="1"/>
      <x:c r="L76" s="1"/>
      <x:c r="M76" s="1"/>
      <x:c r="N76" s="1"/>
      <x:c r="O76" s="1"/>
      <x:c r="P76" s="1"/>
      <x:c r="Q76" s="1"/>
      <x:c r="R76" s="1"/>
      <x:c r="S76" s="1"/>
      <x:c r="T76" s="1"/>
    </x:row>
    <x:row r="77" ht="18" customHeight="1">
      <x:c r="A77" s="1"/>
      <x:c r="B77" s="1"/>
      <x:c r="C77" s="1"/>
      <x:c r="D77" s="1"/>
      <x:c r="E77" s="1"/>
      <x:c r="F77" s="1"/>
      <x:c r="G77" s="1"/>
      <x:c r="H77" s="1"/>
      <x:c r="I77" s="1"/>
      <x:c r="J77" s="1"/>
      <x:c r="K77" s="1"/>
      <x:c r="L77" s="1"/>
      <x:c r="M77" s="1"/>
      <x:c r="N77" s="1"/>
      <x:c r="O77" s="1"/>
      <x:c r="P77" s="1"/>
      <x:c r="Q77" s="1"/>
      <x:c r="R77" s="1"/>
      <x:c r="S77" s="1"/>
      <x:c r="T77" s="1"/>
    </x:row>
    <x:row r="78" ht="18" customHeight="1">
      <x:c r="A78" s="1"/>
      <x:c r="B78" s="1"/>
      <x:c r="C78" s="1"/>
      <x:c r="D78" s="1"/>
      <x:c r="E78" s="1"/>
      <x:c r="F78" s="1"/>
      <x:c r="G78" s="1"/>
      <x:c r="H78" s="1"/>
      <x:c r="I78" s="1"/>
      <x:c r="J78" s="1"/>
      <x:c r="K78" s="1"/>
      <x:c r="L78" s="1"/>
      <x:c r="M78" s="1"/>
      <x:c r="N78" s="1"/>
      <x:c r="O78" s="1"/>
      <x:c r="P78" s="1"/>
      <x:c r="Q78" s="1"/>
      <x:c r="R78" s="1"/>
      <x:c r="S78" s="1"/>
      <x:c r="T78" s="1"/>
    </x:row>
    <x:row r="79" ht="18" customHeight="1">
      <x:c r="A79" s="1"/>
      <x:c r="B79" s="1"/>
      <x:c r="C79" s="1"/>
      <x:c r="D79" s="1"/>
      <x:c r="E79" s="1"/>
      <x:c r="F79" s="1"/>
      <x:c r="G79" s="1"/>
      <x:c r="H79" s="1"/>
      <x:c r="I79" s="1"/>
      <x:c r="J79" s="1"/>
      <x:c r="K79" s="1"/>
      <x:c r="L79" s="1"/>
      <x:c r="M79" s="1"/>
      <x:c r="N79" s="1"/>
      <x:c r="O79" s="1"/>
      <x:c r="P79" s="1"/>
      <x:c r="Q79" s="1"/>
      <x:c r="R79" s="1"/>
      <x:c r="S79" s="1"/>
      <x:c r="T79" s="1"/>
    </x:row>
    <x:row r="80" ht="18" customHeight="1">
      <x:c r="A80" s="1"/>
      <x:c r="B80" s="1"/>
      <x:c r="C80" s="1"/>
      <x:c r="D80" s="1"/>
      <x:c r="E80" s="1"/>
      <x:c r="F80" s="1"/>
      <x:c r="G80" s="1"/>
      <x:c r="H80" s="1"/>
      <x:c r="I80" s="1"/>
      <x:c r="J80" s="1"/>
      <x:c r="K80" s="1"/>
      <x:c r="L80" s="1"/>
      <x:c r="M80" s="1"/>
      <x:c r="N80" s="1"/>
      <x:c r="O80" s="1"/>
      <x:c r="P80" s="1"/>
      <x:c r="Q80" s="1"/>
      <x:c r="R80" s="1"/>
      <x:c r="S80" s="1"/>
      <x:c r="T80" s="1"/>
    </x:row>
    <x:row r="81" ht="18" customHeight="1">
      <x:c r="A81" s="1"/>
      <x:c r="B81" s="1"/>
      <x:c r="C81" s="1"/>
      <x:c r="D81" s="1"/>
      <x:c r="E81" s="1"/>
      <x:c r="F81" s="1"/>
      <x:c r="G81" s="1"/>
      <x:c r="H81" s="1"/>
      <x:c r="I81" s="1"/>
      <x:c r="J81" s="1"/>
      <x:c r="K81" s="1"/>
      <x:c r="L81" s="1"/>
      <x:c r="M81" s="1"/>
      <x:c r="N81" s="1"/>
      <x:c r="O81" s="1"/>
      <x:c r="P81" s="1"/>
      <x:c r="Q81" s="1"/>
      <x:c r="R81" s="1"/>
      <x:c r="S81" s="1"/>
      <x:c r="T81" s="1"/>
    </x:row>
    <x:row r="82" ht="18" customHeight="1">
      <x:c r="A82" s="1"/>
      <x:c r="B82" s="1"/>
      <x:c r="C82" s="1"/>
      <x:c r="D82" s="1"/>
      <x:c r="E82" s="1"/>
      <x:c r="F82" s="1"/>
      <x:c r="G82" s="1"/>
      <x:c r="H82" s="1"/>
      <x:c r="I82" s="1"/>
      <x:c r="J82" s="1"/>
      <x:c r="K82" s="1"/>
      <x:c r="L82" s="1"/>
      <x:c r="M82" s="1"/>
      <x:c r="N82" s="1"/>
      <x:c r="O82" s="1"/>
      <x:c r="P82" s="1"/>
      <x:c r="Q82" s="1"/>
      <x:c r="R82" s="1"/>
      <x:c r="S82" s="1"/>
      <x:c r="T82" s="1"/>
    </x:row>
    <x:row r="83" ht="18" customHeight="1">
      <x:c r="A83" s="1"/>
      <x:c r="B83" s="1"/>
      <x:c r="C83" s="1"/>
      <x:c r="D83" s="1"/>
      <x:c r="E83" s="1"/>
      <x:c r="F83" s="1"/>
      <x:c r="G83" s="1"/>
      <x:c r="H83" s="1"/>
      <x:c r="I83" s="1"/>
      <x:c r="J83" s="1"/>
      <x:c r="K83" s="1"/>
      <x:c r="L83" s="1"/>
      <x:c r="M83" s="1"/>
      <x:c r="N83" s="1"/>
      <x:c r="O83" s="1"/>
      <x:c r="P83" s="1"/>
      <x:c r="Q83" s="1"/>
      <x:c r="R83" s="1"/>
      <x:c r="S83" s="1"/>
      <x:c r="T83" s="1"/>
    </x:row>
    <x:row r="84" ht="18" customHeight="1">
      <x:c r="A84" s="1"/>
      <x:c r="B84" s="1"/>
      <x:c r="C84" s="1"/>
      <x:c r="D84" s="1"/>
      <x:c r="E84" s="1"/>
      <x:c r="F84" s="1"/>
      <x:c r="G84" s="1"/>
      <x:c r="H84" s="1"/>
      <x:c r="I84" s="1"/>
      <x:c r="J84" s="1"/>
      <x:c r="K84" s="1"/>
      <x:c r="L84" s="1"/>
      <x:c r="M84" s="1"/>
      <x:c r="N84" s="1"/>
      <x:c r="O84" s="1"/>
      <x:c r="P84" s="1"/>
      <x:c r="Q84" s="1"/>
      <x:c r="R84" s="1"/>
      <x:c r="S84" s="1"/>
      <x:c r="T84" s="1"/>
    </x:row>
    <x:row r="85" ht="18" customHeight="1">
      <x:c r="A85" s="1"/>
      <x:c r="B85" s="1"/>
      <x:c r="C85" s="1"/>
      <x:c r="D85" s="1"/>
      <x:c r="E85" s="1"/>
      <x:c r="F85" s="1"/>
      <x:c r="G85" s="1"/>
      <x:c r="H85" s="1"/>
      <x:c r="I85" s="1"/>
      <x:c r="J85" s="1"/>
      <x:c r="K85" s="1"/>
      <x:c r="L85" s="1"/>
      <x:c r="M85" s="1"/>
      <x:c r="N85" s="1"/>
      <x:c r="O85" s="1"/>
      <x:c r="P85" s="1"/>
      <x:c r="Q85" s="1"/>
      <x:c r="R85" s="1"/>
      <x:c r="S85" s="1"/>
      <x:c r="T85" s="1"/>
    </x:row>
    <x:row r="86" ht="18" customHeight="1">
      <x:c r="A86" s="1"/>
      <x:c r="B86" s="1"/>
      <x:c r="C86" s="1"/>
      <x:c r="D86" s="1"/>
      <x:c r="E86" s="1"/>
      <x:c r="F86" s="1"/>
      <x:c r="G86" s="1"/>
      <x:c r="H86" s="1"/>
      <x:c r="I86" s="1"/>
      <x:c r="J86" s="1"/>
      <x:c r="K86" s="1"/>
      <x:c r="L86" s="1"/>
      <x:c r="M86" s="1"/>
      <x:c r="N86" s="1"/>
      <x:c r="O86" s="1"/>
      <x:c r="P86" s="1"/>
      <x:c r="Q86" s="1"/>
      <x:c r="R86" s="1"/>
      <x:c r="S86" s="1"/>
      <x:c r="T86" s="1"/>
    </x:row>
    <x:row r="87" ht="18" customHeight="1">
      <x:c r="A87" s="1"/>
      <x:c r="B87" s="1"/>
      <x:c r="C87" s="1"/>
      <x:c r="D87" s="1"/>
      <x:c r="E87" s="1"/>
      <x:c r="F87" s="1"/>
      <x:c r="G87" s="1"/>
      <x:c r="H87" s="1"/>
      <x:c r="I87" s="1"/>
      <x:c r="J87" s="1"/>
      <x:c r="K87" s="1"/>
      <x:c r="L87" s="1"/>
      <x:c r="M87" s="1"/>
      <x:c r="N87" s="1"/>
      <x:c r="O87" s="1"/>
      <x:c r="P87" s="1"/>
      <x:c r="Q87" s="1"/>
      <x:c r="R87" s="1"/>
      <x:c r="S87" s="1"/>
      <x:c r="T87" s="1"/>
    </x:row>
    <x:row r="88" ht="18" customHeight="1">
      <x:c r="A88" s="1"/>
      <x:c r="B88" s="1"/>
      <x:c r="C88" s="1"/>
      <x:c r="D88" s="1"/>
      <x:c r="E88" s="1"/>
      <x:c r="F88" s="1"/>
      <x:c r="G88" s="1"/>
      <x:c r="H88" s="1"/>
      <x:c r="I88" s="1"/>
      <x:c r="J88" s="1"/>
      <x:c r="K88" s="1"/>
      <x:c r="L88" s="1"/>
      <x:c r="M88" s="1"/>
      <x:c r="N88" s="1"/>
      <x:c r="O88" s="1"/>
      <x:c r="P88" s="1"/>
      <x:c r="Q88" s="1"/>
      <x:c r="R88" s="1"/>
      <x:c r="S88" s="1"/>
      <x:c r="T88" s="1"/>
    </x:row>
    <x:row r="89" ht="18" customHeight="1">
      <x:c r="A89" s="1"/>
      <x:c r="B89" s="1"/>
      <x:c r="C89" s="1"/>
      <x:c r="D89" s="1"/>
      <x:c r="E89" s="1"/>
      <x:c r="F89" s="1"/>
      <x:c r="G89" s="1"/>
      <x:c r="H89" s="1"/>
      <x:c r="I89" s="1"/>
      <x:c r="J89" s="1"/>
      <x:c r="K89" s="1"/>
      <x:c r="L89" s="1"/>
      <x:c r="M89" s="1"/>
      <x:c r="N89" s="1"/>
      <x:c r="O89" s="1"/>
      <x:c r="P89" s="1"/>
      <x:c r="Q89" s="1"/>
      <x:c r="R89" s="1"/>
      <x:c r="S89" s="1"/>
      <x:c r="T89" s="1"/>
    </x:row>
    <x:row r="90" ht="18" customHeight="1">
      <x:c r="A90" s="1"/>
      <x:c r="B90" s="1"/>
      <x:c r="C90" s="1"/>
      <x:c r="D90" s="1"/>
      <x:c r="E90" s="1"/>
      <x:c r="F90" s="1"/>
      <x:c r="G90" s="1"/>
      <x:c r="H90" s="1"/>
      <x:c r="I90" s="1"/>
      <x:c r="J90" s="1"/>
      <x:c r="K90" s="1"/>
      <x:c r="L90" s="1"/>
      <x:c r="M90" s="1"/>
      <x:c r="N90" s="1"/>
      <x:c r="O90" s="1"/>
      <x:c r="P90" s="1"/>
      <x:c r="Q90" s="1"/>
      <x:c r="R90" s="1"/>
      <x:c r="S90" s="1"/>
      <x:c r="T90" s="1"/>
    </x:row>
    <x:row r="91" ht="18" customHeight="1">
      <x:c r="A91" s="1"/>
      <x:c r="B91" s="1"/>
      <x:c r="C91" s="1"/>
      <x:c r="D91" s="1"/>
      <x:c r="E91" s="1"/>
      <x:c r="F91" s="1"/>
      <x:c r="G91" s="1"/>
      <x:c r="H91" s="1"/>
      <x:c r="I91" s="1"/>
      <x:c r="J91" s="1"/>
      <x:c r="K91" s="1"/>
      <x:c r="L91" s="1"/>
      <x:c r="M91" s="1"/>
      <x:c r="N91" s="1"/>
      <x:c r="O91" s="1"/>
      <x:c r="P91" s="1"/>
      <x:c r="Q91" s="1"/>
      <x:c r="R91" s="1"/>
      <x:c r="S91" s="1"/>
      <x:c r="T91" s="1"/>
    </x:row>
    <x:row r="92" ht="18" customHeight="1">
      <x:c r="A92" s="1"/>
      <x:c r="B92" s="1"/>
      <x:c r="C92" s="1"/>
      <x:c r="D92" s="1"/>
      <x:c r="E92" s="1"/>
      <x:c r="F92" s="1"/>
      <x:c r="G92" s="1"/>
      <x:c r="H92" s="1"/>
      <x:c r="I92" s="1"/>
      <x:c r="J92" s="1"/>
      <x:c r="K92" s="1"/>
      <x:c r="L92" s="1"/>
      <x:c r="M92" s="1"/>
      <x:c r="N92" s="1"/>
      <x:c r="O92" s="1"/>
      <x:c r="P92" s="1"/>
      <x:c r="Q92" s="1"/>
      <x:c r="R92" s="1"/>
      <x:c r="S92" s="1"/>
      <x:c r="T92" s="1"/>
    </x:row>
    <x:row r="93" ht="18" customHeight="1">
      <x:c r="A93" s="1"/>
      <x:c r="B93" s="1"/>
      <x:c r="C93" s="1"/>
      <x:c r="D93" s="1"/>
      <x:c r="E93" s="1"/>
      <x:c r="F93" s="1"/>
      <x:c r="G93" s="1"/>
      <x:c r="H93" s="1"/>
      <x:c r="I93" s="1"/>
      <x:c r="J93" s="1"/>
      <x:c r="K93" s="1"/>
      <x:c r="L93" s="1"/>
      <x:c r="M93" s="1"/>
      <x:c r="N93" s="1"/>
      <x:c r="O93" s="1"/>
      <x:c r="P93" s="1"/>
      <x:c r="Q93" s="1"/>
      <x:c r="R93" s="1"/>
      <x:c r="S93" s="1"/>
      <x:c r="T93" s="1"/>
    </x:row>
    <x:row r="94" ht="18" customHeight="1">
      <x:c r="A94" s="1"/>
      <x:c r="B94" s="1"/>
      <x:c r="C94" s="1"/>
      <x:c r="D94" s="1"/>
      <x:c r="E94" s="1"/>
      <x:c r="F94" s="1"/>
      <x:c r="G94" s="1"/>
      <x:c r="H94" s="1"/>
      <x:c r="I94" s="1"/>
      <x:c r="J94" s="1"/>
      <x:c r="K94" s="1"/>
      <x:c r="L94" s="1"/>
      <x:c r="M94" s="1"/>
      <x:c r="N94" s="1"/>
      <x:c r="O94" s="1"/>
      <x:c r="P94" s="1"/>
      <x:c r="Q94" s="1"/>
      <x:c r="R94" s="1"/>
      <x:c r="S94" s="1"/>
      <x:c r="T94" s="1"/>
    </x:row>
    <x:row r="95" ht="18" customHeight="1">
      <x:c r="A95" s="1"/>
      <x:c r="B95" s="1"/>
      <x:c r="C95" s="1"/>
      <x:c r="D95" s="1"/>
      <x:c r="E95" s="1"/>
      <x:c r="F95" s="1"/>
      <x:c r="G95" s="1"/>
      <x:c r="H95" s="1"/>
      <x:c r="I95" s="1"/>
      <x:c r="J95" s="1"/>
      <x:c r="K95" s="1"/>
      <x:c r="L95" s="1"/>
      <x:c r="M95" s="1"/>
      <x:c r="N95" s="1"/>
      <x:c r="O95" s="1"/>
      <x:c r="P95" s="1"/>
      <x:c r="Q95" s="1"/>
      <x:c r="R95" s="1"/>
      <x:c r="S95" s="1"/>
      <x:c r="T95" s="1"/>
    </x:row>
    <x:row r="96" ht="18" customHeight="1">
      <x:c r="A96" s="1"/>
      <x:c r="B96" s="1"/>
      <x:c r="C96" s="1"/>
      <x:c r="D96" s="1"/>
      <x:c r="E96" s="1"/>
      <x:c r="F96" s="1"/>
      <x:c r="G96" s="1"/>
      <x:c r="H96" s="1"/>
      <x:c r="I96" s="1"/>
      <x:c r="J96" s="1"/>
      <x:c r="K96" s="1"/>
      <x:c r="L96" s="1"/>
      <x:c r="M96" s="1"/>
      <x:c r="N96" s="1"/>
      <x:c r="O96" s="1"/>
      <x:c r="P96" s="1"/>
      <x:c r="Q96" s="1"/>
      <x:c r="R96" s="1"/>
      <x:c r="S96" s="1"/>
      <x:c r="T96" s="1"/>
    </x:row>
    <x:row r="97" ht="18" customHeight="1">
      <x:c r="A97" s="1"/>
      <x:c r="B97" s="1"/>
      <x:c r="C97" s="1"/>
      <x:c r="D97" s="1"/>
      <x:c r="E97" s="1"/>
      <x:c r="F97" s="1"/>
      <x:c r="G97" s="1"/>
      <x:c r="H97" s="1"/>
      <x:c r="I97" s="1"/>
      <x:c r="J97" s="1"/>
      <x:c r="K97" s="1"/>
      <x:c r="L97" s="1"/>
      <x:c r="M97" s="1"/>
      <x:c r="N97" s="1"/>
      <x:c r="O97" s="1"/>
      <x:c r="P97" s="1"/>
      <x:c r="Q97" s="1"/>
      <x:c r="R97" s="1"/>
      <x:c r="S97" s="1"/>
      <x:c r="T97" s="1"/>
    </x:row>
    <x:row r="98" ht="18" customHeight="1">
      <x:c r="A98" s="1"/>
      <x:c r="B98" s="1"/>
      <x:c r="C98" s="1"/>
      <x:c r="D98" s="1"/>
      <x:c r="E98" s="1"/>
      <x:c r="F98" s="1"/>
      <x:c r="G98" s="1"/>
      <x:c r="H98" s="1"/>
      <x:c r="I98" s="1"/>
      <x:c r="J98" s="1"/>
      <x:c r="K98" s="1"/>
      <x:c r="L98" s="1"/>
      <x:c r="M98" s="1"/>
      <x:c r="N98" s="1"/>
      <x:c r="O98" s="1"/>
      <x:c r="P98" s="1"/>
      <x:c r="Q98" s="1"/>
      <x:c r="R98" s="1"/>
      <x:c r="S98" s="1"/>
      <x:c r="T98" s="1"/>
    </x:row>
    <x:row r="99" ht="18" customHeight="1">
      <x:c r="A99" s="1"/>
      <x:c r="B99" s="1"/>
      <x:c r="C99" s="1"/>
      <x:c r="D99" s="1"/>
      <x:c r="E99" s="1"/>
      <x:c r="F99" s="1"/>
      <x:c r="G99" s="1"/>
      <x:c r="H99" s="1"/>
      <x:c r="I99" s="1"/>
      <x:c r="J99" s="1"/>
      <x:c r="K99" s="1"/>
      <x:c r="L99" s="1"/>
      <x:c r="M99" s="1"/>
      <x:c r="N99" s="1"/>
      <x:c r="O99" s="1"/>
      <x:c r="P99" s="1"/>
      <x:c r="Q99" s="1"/>
      <x:c r="R99" s="1"/>
      <x:c r="S99" s="1"/>
      <x:c r="T99" s="1"/>
    </x:row>
    <x:row r="100" ht="18" customHeight="1">
      <x:c r="A100" s="1"/>
      <x:c r="B100" s="1"/>
      <x:c r="C100" s="1"/>
      <x:c r="D100" s="1"/>
      <x:c r="E100" s="1"/>
      <x:c r="F100" s="1"/>
      <x:c r="G100" s="1"/>
      <x:c r="H100" s="1"/>
      <x:c r="I100" s="1"/>
      <x:c r="J100" s="1"/>
      <x:c r="K100" s="1"/>
      <x:c r="L100" s="1"/>
      <x:c r="M100" s="1"/>
      <x:c r="N100" s="1"/>
      <x:c r="O100" s="1"/>
      <x:c r="P100" s="1"/>
      <x:c r="Q100" s="1"/>
      <x:c r="R100" s="1"/>
      <x:c r="S100" s="1"/>
      <x:c r="T100" s="1"/>
    </x:row>
    <x:row r="101" ht="18" customHeight="1">
      <x:c r="A101" s="1"/>
      <x:c r="B101" s="1"/>
      <x:c r="C101" s="1"/>
      <x:c r="D101" s="1"/>
      <x:c r="E101" s="1"/>
      <x:c r="F101" s="1"/>
      <x:c r="G101" s="1"/>
      <x:c r="H101" s="1"/>
      <x:c r="I101" s="1"/>
      <x:c r="J101" s="1"/>
      <x:c r="K101" s="1"/>
      <x:c r="L101" s="1"/>
      <x:c r="M101" s="1"/>
      <x:c r="N101" s="1"/>
      <x:c r="O101" s="1"/>
      <x:c r="P101" s="1"/>
      <x:c r="Q101" s="1"/>
      <x:c r="R101" s="1"/>
      <x:c r="S101" s="1"/>
      <x:c r="T101" s="1"/>
    </x:row>
    <x:row r="102" ht="18" customHeight="1">
      <x:c r="A102" s="1"/>
      <x:c r="B102" s="1"/>
      <x:c r="C102" s="1"/>
      <x:c r="D102" s="1"/>
      <x:c r="E102" s="1"/>
      <x:c r="F102" s="1"/>
      <x:c r="G102" s="1"/>
      <x:c r="H102" s="1"/>
      <x:c r="I102" s="1"/>
      <x:c r="J102" s="1"/>
      <x:c r="K102" s="1"/>
      <x:c r="L102" s="1"/>
      <x:c r="M102" s="1"/>
      <x:c r="N102" s="1"/>
      <x:c r="O102" s="1"/>
      <x:c r="P102" s="1"/>
      <x:c r="Q102" s="1"/>
      <x:c r="R102" s="1"/>
      <x:c r="S102" s="1"/>
      <x:c r="T102" s="1"/>
    </x:row>
    <x:row r="103" ht="18" customHeight="1">
      <x:c r="A103" s="1"/>
      <x:c r="B103" s="1"/>
      <x:c r="C103" s="1"/>
      <x:c r="D103" s="1"/>
      <x:c r="E103" s="1"/>
      <x:c r="F103" s="1"/>
      <x:c r="G103" s="1"/>
      <x:c r="H103" s="1"/>
      <x:c r="I103" s="1"/>
      <x:c r="J103" s="1"/>
      <x:c r="K103" s="1"/>
      <x:c r="L103" s="1"/>
      <x:c r="M103" s="1"/>
      <x:c r="N103" s="1"/>
      <x:c r="O103" s="1"/>
      <x:c r="P103" s="1"/>
      <x:c r="Q103" s="1"/>
      <x:c r="R103" s="1"/>
      <x:c r="S103" s="1"/>
      <x:c r="T103" s="1"/>
    </x:row>
    <x:row r="104" ht="18" customHeight="1">
      <x:c r="A104" s="1"/>
      <x:c r="B104" s="1"/>
      <x:c r="C104" s="1"/>
      <x:c r="D104" s="1"/>
      <x:c r="E104" s="1"/>
      <x:c r="F104" s="1"/>
      <x:c r="G104" s="1"/>
      <x:c r="H104" s="1"/>
      <x:c r="I104" s="1"/>
      <x:c r="J104" s="1"/>
      <x:c r="K104" s="1"/>
      <x:c r="L104" s="1"/>
      <x:c r="M104" s="1"/>
      <x:c r="N104" s="1"/>
      <x:c r="O104" s="1"/>
      <x:c r="P104" s="1"/>
      <x:c r="Q104" s="1"/>
      <x:c r="R104" s="1"/>
      <x:c r="S104" s="1"/>
      <x:c r="T104" s="1"/>
    </x:row>
    <x:row r="105" ht="18" customHeight="1">
      <x:c r="A105" s="1"/>
      <x:c r="B105" s="1"/>
      <x:c r="C105" s="1"/>
      <x:c r="D105" s="1"/>
      <x:c r="E105" s="1"/>
      <x:c r="F105" s="1"/>
      <x:c r="G105" s="1"/>
      <x:c r="H105" s="1"/>
      <x:c r="I105" s="1"/>
      <x:c r="J105" s="1"/>
      <x:c r="K105" s="1"/>
      <x:c r="L105" s="1"/>
      <x:c r="M105" s="1"/>
      <x:c r="N105" s="1"/>
      <x:c r="O105" s="1"/>
      <x:c r="P105" s="1"/>
      <x:c r="Q105" s="1"/>
      <x:c r="R105" s="1"/>
      <x:c r="S105" s="1"/>
      <x:c r="T105" s="1"/>
    </x:row>
    <x:row r="106" ht="18" customHeight="1">
      <x:c r="A106" s="1"/>
      <x:c r="B106" s="1"/>
      <x:c r="C106" s="1"/>
      <x:c r="D106" s="1"/>
      <x:c r="E106" s="1"/>
      <x:c r="F106" s="1"/>
      <x:c r="G106" s="1"/>
      <x:c r="H106" s="1"/>
      <x:c r="I106" s="1"/>
      <x:c r="J106" s="1"/>
      <x:c r="K106" s="1"/>
      <x:c r="L106" s="1"/>
      <x:c r="M106" s="1"/>
      <x:c r="N106" s="1"/>
      <x:c r="O106" s="1"/>
      <x:c r="P106" s="1"/>
      <x:c r="Q106" s="1"/>
      <x:c r="R106" s="1"/>
      <x:c r="S106" s="1"/>
      <x:c r="T106" s="1"/>
    </x:row>
    <x:row r="107" ht="18" customHeight="1">
      <x:c r="A107" s="1"/>
      <x:c r="B107" s="1"/>
      <x:c r="C107" s="1"/>
      <x:c r="D107" s="1"/>
      <x:c r="E107" s="1"/>
      <x:c r="F107" s="1"/>
      <x:c r="G107" s="1"/>
      <x:c r="H107" s="1"/>
      <x:c r="I107" s="1"/>
      <x:c r="J107" s="1"/>
      <x:c r="K107" s="1"/>
      <x:c r="L107" s="1"/>
      <x:c r="M107" s="1"/>
      <x:c r="N107" s="1"/>
      <x:c r="O107" s="1"/>
      <x:c r="P107" s="1"/>
      <x:c r="Q107" s="1"/>
      <x:c r="R107" s="1"/>
      <x:c r="S107" s="1"/>
      <x:c r="T107" s="1"/>
    </x:row>
    <x:row r="108" ht="18" customHeight="1">
      <x:c r="A108" s="1"/>
      <x:c r="B108" s="1"/>
      <x:c r="C108" s="1"/>
      <x:c r="D108" s="1"/>
      <x:c r="E108" s="1"/>
      <x:c r="F108" s="1"/>
      <x:c r="G108" s="1"/>
      <x:c r="H108" s="1"/>
      <x:c r="I108" s="1"/>
      <x:c r="J108" s="1"/>
      <x:c r="K108" s="1"/>
      <x:c r="L108" s="1"/>
      <x:c r="M108" s="1"/>
      <x:c r="N108" s="1"/>
      <x:c r="O108" s="1"/>
      <x:c r="P108" s="1"/>
      <x:c r="Q108" s="1"/>
      <x:c r="R108" s="1"/>
      <x:c r="S108" s="1"/>
      <x:c r="T108" s="1"/>
    </x:row>
    <x:row r="109" ht="18" customHeight="1">
      <x:c r="A109" s="1"/>
      <x:c r="B109" s="1"/>
      <x:c r="C109" s="1"/>
      <x:c r="D109" s="1"/>
      <x:c r="E109" s="1"/>
      <x:c r="F109" s="1"/>
      <x:c r="G109" s="1"/>
      <x:c r="H109" s="1"/>
      <x:c r="I109" s="1"/>
      <x:c r="J109" s="1"/>
      <x:c r="K109" s="1"/>
      <x:c r="L109" s="1"/>
      <x:c r="M109" s="1"/>
      <x:c r="N109" s="1"/>
      <x:c r="O109" s="1"/>
      <x:c r="P109" s="1"/>
      <x:c r="Q109" s="1"/>
      <x:c r="R109" s="1"/>
      <x:c r="S109" s="1"/>
      <x:c r="T109" s="1"/>
    </x:row>
    <x:row r="110" ht="18" customHeight="1">
      <x:c r="A110" s="1"/>
      <x:c r="B110" s="1"/>
      <x:c r="C110" s="1"/>
      <x:c r="D110" s="1"/>
      <x:c r="E110" s="1"/>
      <x:c r="F110" s="1"/>
      <x:c r="G110" s="1"/>
      <x:c r="H110" s="1"/>
      <x:c r="I110" s="1"/>
      <x:c r="J110" s="1"/>
      <x:c r="K110" s="1"/>
      <x:c r="L110" s="1"/>
      <x:c r="M110" s="1"/>
      <x:c r="N110" s="1"/>
      <x:c r="O110" s="1"/>
      <x:c r="P110" s="1"/>
      <x:c r="Q110" s="1"/>
      <x:c r="R110" s="1"/>
      <x:c r="S110" s="1"/>
      <x:c r="T110" s="1"/>
    </x:row>
    <x:row r="111" ht="18" customHeight="1">
      <x:c r="A111" s="1"/>
      <x:c r="B111" s="1"/>
      <x:c r="C111" s="1"/>
      <x:c r="D111" s="1"/>
      <x:c r="E111" s="1"/>
      <x:c r="F111" s="1"/>
      <x:c r="G111" s="1"/>
      <x:c r="H111" s="1"/>
      <x:c r="I111" s="1"/>
      <x:c r="J111" s="1"/>
      <x:c r="K111" s="1"/>
      <x:c r="L111" s="1"/>
      <x:c r="M111" s="1"/>
      <x:c r="N111" s="1"/>
      <x:c r="O111" s="1"/>
      <x:c r="P111" s="1"/>
      <x:c r="Q111" s="1"/>
      <x:c r="R111" s="1"/>
      <x:c r="S111" s="1"/>
      <x:c r="T111" s="1"/>
    </x:row>
    <x:row r="112" ht="18" customHeight="1">
      <x:c r="A112" s="1"/>
      <x:c r="B112" s="1"/>
      <x:c r="C112" s="1"/>
      <x:c r="D112" s="1"/>
      <x:c r="E112" s="1"/>
      <x:c r="F112" s="1"/>
      <x:c r="G112" s="1"/>
      <x:c r="H112" s="1"/>
      <x:c r="I112" s="1"/>
      <x:c r="J112" s="1"/>
      <x:c r="K112" s="1"/>
      <x:c r="L112" s="1"/>
      <x:c r="M112" s="1"/>
      <x:c r="N112" s="1"/>
      <x:c r="O112" s="1"/>
      <x:c r="P112" s="1"/>
      <x:c r="Q112" s="1"/>
      <x:c r="R112" s="1"/>
      <x:c r="S112" s="1"/>
      <x:c r="T112" s="1"/>
    </x:row>
    <x:row r="113" ht="18" customHeight="1">
      <x:c r="A113" s="1"/>
      <x:c r="B113" s="1"/>
      <x:c r="C113" s="1"/>
      <x:c r="D113" s="1"/>
      <x:c r="E113" s="1"/>
      <x:c r="F113" s="1"/>
      <x:c r="G113" s="1"/>
      <x:c r="H113" s="1"/>
      <x:c r="I113" s="1"/>
      <x:c r="J113" s="1"/>
      <x:c r="K113" s="1"/>
      <x:c r="L113" s="1"/>
      <x:c r="M113" s="1"/>
      <x:c r="N113" s="1"/>
      <x:c r="O113" s="1"/>
      <x:c r="P113" s="1"/>
      <x:c r="Q113" s="1"/>
      <x:c r="R113" s="1"/>
      <x:c r="S113" s="1"/>
      <x:c r="T113" s="1"/>
    </x:row>
    <x:row r="114" ht="18" customHeight="1">
      <x:c r="A114" s="1"/>
      <x:c r="B114" s="1"/>
      <x:c r="C114" s="1"/>
      <x:c r="D114" s="1"/>
      <x:c r="E114" s="1"/>
      <x:c r="F114" s="1"/>
      <x:c r="G114" s="1"/>
      <x:c r="H114" s="1"/>
      <x:c r="I114" s="1"/>
      <x:c r="J114" s="1"/>
      <x:c r="K114" s="1"/>
      <x:c r="L114" s="1"/>
      <x:c r="M114" s="1"/>
      <x:c r="N114" s="1"/>
      <x:c r="O114" s="1"/>
      <x:c r="P114" s="1"/>
      <x:c r="Q114" s="1"/>
      <x:c r="R114" s="1"/>
      <x:c r="S114" s="1"/>
      <x:c r="T114" s="1"/>
    </x:row>
    <x:row r="115" ht="18" customHeight="1">
      <x:c r="A115" s="1"/>
      <x:c r="B115" s="1"/>
      <x:c r="C115" s="1"/>
      <x:c r="D115" s="1"/>
      <x:c r="E115" s="1"/>
      <x:c r="F115" s="1"/>
      <x:c r="G115" s="1"/>
      <x:c r="H115" s="1"/>
      <x:c r="I115" s="1"/>
      <x:c r="J115" s="1"/>
      <x:c r="K115" s="1"/>
      <x:c r="L115" s="1"/>
      <x:c r="M115" s="1"/>
      <x:c r="N115" s="1"/>
      <x:c r="O115" s="1"/>
      <x:c r="P115" s="1"/>
      <x:c r="Q115" s="1"/>
      <x:c r="R115" s="1"/>
      <x:c r="S115" s="1"/>
      <x:c r="T115" s="1"/>
    </x:row>
    <x:row r="116" ht="18" customHeight="1">
      <x:c r="A116" s="1"/>
      <x:c r="B116" s="1"/>
      <x:c r="C116" s="1"/>
      <x:c r="D116" s="1"/>
      <x:c r="E116" s="1"/>
      <x:c r="F116" s="1"/>
      <x:c r="G116" s="1"/>
      <x:c r="H116" s="1"/>
      <x:c r="I116" s="1"/>
      <x:c r="J116" s="1"/>
      <x:c r="K116" s="1"/>
      <x:c r="L116" s="1"/>
      <x:c r="M116" s="1"/>
      <x:c r="N116" s="1"/>
      <x:c r="O116" s="1"/>
      <x:c r="P116" s="1"/>
      <x:c r="Q116" s="1"/>
      <x:c r="R116" s="1"/>
      <x:c r="S116" s="1"/>
      <x:c r="T116" s="1"/>
    </x:row>
    <x:row r="117" ht="18" customHeight="1">
      <x:c r="A117" s="1"/>
      <x:c r="B117" s="1"/>
      <x:c r="C117" s="1"/>
      <x:c r="D117" s="1"/>
      <x:c r="E117" s="1"/>
      <x:c r="F117" s="1"/>
      <x:c r="G117" s="1"/>
      <x:c r="H117" s="1"/>
      <x:c r="I117" s="1"/>
      <x:c r="J117" s="1"/>
      <x:c r="K117" s="1"/>
      <x:c r="L117" s="1"/>
      <x:c r="M117" s="1"/>
      <x:c r="N117" s="1"/>
      <x:c r="O117" s="1"/>
      <x:c r="P117" s="1"/>
      <x:c r="Q117" s="1"/>
      <x:c r="R117" s="1"/>
      <x:c r="S117" s="1"/>
      <x:c r="T117" s="1"/>
    </x:row>
    <x:row r="118" ht="18" customHeight="1">
      <x:c r="A118" s="1"/>
      <x:c r="B118" s="1"/>
      <x:c r="C118" s="1"/>
      <x:c r="D118" s="1"/>
      <x:c r="E118" s="1"/>
      <x:c r="F118" s="1"/>
      <x:c r="G118" s="1"/>
      <x:c r="H118" s="1"/>
      <x:c r="I118" s="1"/>
      <x:c r="J118" s="1"/>
      <x:c r="K118" s="1"/>
      <x:c r="L118" s="1"/>
      <x:c r="M118" s="1"/>
      <x:c r="N118" s="1"/>
      <x:c r="O118" s="1"/>
      <x:c r="P118" s="1"/>
      <x:c r="Q118" s="1"/>
      <x:c r="R118" s="1"/>
      <x:c r="S118" s="1"/>
      <x:c r="T118" s="1"/>
    </x:row>
    <x:row r="119" ht="18" customHeight="1">
      <x:c r="A119" s="1"/>
      <x:c r="B119" s="1"/>
      <x:c r="C119" s="1"/>
      <x:c r="D119" s="1"/>
      <x:c r="E119" s="1"/>
      <x:c r="F119" s="1"/>
      <x:c r="G119" s="1"/>
      <x:c r="H119" s="1"/>
      <x:c r="I119" s="1"/>
      <x:c r="J119" s="1"/>
      <x:c r="K119" s="1"/>
      <x:c r="L119" s="1"/>
      <x:c r="M119" s="1"/>
      <x:c r="N119" s="1"/>
      <x:c r="O119" s="1"/>
      <x:c r="P119" s="1"/>
      <x:c r="Q119" s="1"/>
      <x:c r="R119" s="1"/>
      <x:c r="S119" s="1"/>
      <x:c r="T119" s="1"/>
    </x:row>
    <x:row r="120" ht="18" customHeight="1">
      <x:c r="A120" s="1"/>
      <x:c r="B120" s="1"/>
      <x:c r="C120" s="1"/>
      <x:c r="D120" s="1"/>
      <x:c r="E120" s="1"/>
      <x:c r="F120" s="1"/>
      <x:c r="G120" s="1"/>
      <x:c r="H120" s="1"/>
      <x:c r="I120" s="1"/>
      <x:c r="J120" s="1"/>
      <x:c r="K120" s="1"/>
      <x:c r="L120" s="1"/>
      <x:c r="M120" s="1"/>
      <x:c r="N120" s="1"/>
      <x:c r="O120" s="1"/>
      <x:c r="P120" s="1"/>
      <x:c r="Q120" s="1"/>
      <x:c r="R120" s="1"/>
      <x:c r="S120" s="1"/>
      <x:c r="T120" s="1"/>
    </x:row>
    <x:row r="121" ht="18" customHeight="1">
      <x:c r="A121" s="1"/>
      <x:c r="B121" s="1"/>
      <x:c r="C121" s="1"/>
      <x:c r="D121" s="1"/>
      <x:c r="E121" s="1"/>
      <x:c r="F121" s="1"/>
      <x:c r="G121" s="1"/>
      <x:c r="H121" s="1"/>
      <x:c r="I121" s="1"/>
      <x:c r="J121" s="1"/>
      <x:c r="K121" s="1"/>
      <x:c r="L121" s="1"/>
      <x:c r="M121" s="1"/>
      <x:c r="N121" s="1"/>
      <x:c r="O121" s="1"/>
      <x:c r="P121" s="1"/>
      <x:c r="Q121" s="1"/>
      <x:c r="R121" s="1"/>
      <x:c r="S121" s="1"/>
      <x:c r="T121" s="1"/>
    </x:row>
    <x:row r="122" ht="18" customHeight="1">
      <x:c r="A122" s="1"/>
      <x:c r="B122" s="1"/>
      <x:c r="C122" s="1"/>
      <x:c r="D122" s="1"/>
      <x:c r="E122" s="1"/>
      <x:c r="F122" s="1"/>
      <x:c r="G122" s="1"/>
      <x:c r="H122" s="1"/>
      <x:c r="I122" s="1"/>
      <x:c r="J122" s="1"/>
      <x:c r="K122" s="1"/>
      <x:c r="L122" s="1"/>
      <x:c r="M122" s="1"/>
      <x:c r="N122" s="1"/>
      <x:c r="O122" s="1"/>
      <x:c r="P122" s="1"/>
      <x:c r="Q122" s="1"/>
      <x:c r="R122" s="1"/>
      <x:c r="S122" s="1"/>
      <x:c r="T122" s="1"/>
    </x:row>
    <x:row r="123" ht="18" customHeight="1">
      <x:c r="A123" s="1"/>
      <x:c r="B123" s="1"/>
      <x:c r="C123" s="1"/>
      <x:c r="D123" s="1"/>
      <x:c r="E123" s="1"/>
      <x:c r="F123" s="1"/>
      <x:c r="G123" s="1"/>
      <x:c r="H123" s="1"/>
      <x:c r="I123" s="1"/>
      <x:c r="J123" s="1"/>
      <x:c r="K123" s="1"/>
      <x:c r="L123" s="1"/>
      <x:c r="M123" s="1"/>
      <x:c r="N123" s="1"/>
      <x:c r="O123" s="1"/>
      <x:c r="P123" s="1"/>
      <x:c r="Q123" s="1"/>
      <x:c r="R123" s="1"/>
      <x:c r="S123" s="1"/>
      <x:c r="T123" s="1"/>
    </x:row>
    <x:row r="124" ht="18" customHeight="1">
      <x:c r="A124" s="1"/>
      <x:c r="B124" s="1"/>
      <x:c r="C124" s="1"/>
      <x:c r="D124" s="1"/>
      <x:c r="E124" s="1"/>
      <x:c r="F124" s="1"/>
      <x:c r="G124" s="1"/>
      <x:c r="H124" s="1"/>
      <x:c r="I124" s="1"/>
      <x:c r="J124" s="1"/>
      <x:c r="K124" s="1"/>
      <x:c r="L124" s="1"/>
      <x:c r="M124" s="1"/>
      <x:c r="N124" s="1"/>
      <x:c r="O124" s="1"/>
      <x:c r="P124" s="1"/>
      <x:c r="Q124" s="1"/>
      <x:c r="R124" s="1"/>
      <x:c r="S124" s="1"/>
      <x:c r="T124" s="1"/>
    </x:row>
    <x:row r="125" ht="18" customHeight="1">
      <x:c r="A125" s="1"/>
      <x:c r="B125" s="1"/>
      <x:c r="C125" s="1"/>
      <x:c r="D125" s="1"/>
      <x:c r="E125" s="1"/>
      <x:c r="F125" s="1"/>
      <x:c r="G125" s="1"/>
      <x:c r="H125" s="1"/>
      <x:c r="I125" s="1"/>
      <x:c r="J125" s="1"/>
      <x:c r="K125" s="1"/>
      <x:c r="L125" s="1"/>
      <x:c r="M125" s="1"/>
      <x:c r="N125" s="1"/>
      <x:c r="O125" s="1"/>
      <x:c r="P125" s="1"/>
      <x:c r="Q125" s="1"/>
      <x:c r="R125" s="1"/>
      <x:c r="S125" s="1"/>
      <x:c r="T125" s="1"/>
    </x:row>
    <x:row r="126" ht="18" customHeight="1">
      <x:c r="A126" s="1"/>
      <x:c r="B126" s="1"/>
      <x:c r="C126" s="1"/>
      <x:c r="D126" s="1"/>
      <x:c r="E126" s="1"/>
      <x:c r="F126" s="1"/>
      <x:c r="G126" s="1"/>
      <x:c r="H126" s="1"/>
      <x:c r="I126" s="1"/>
      <x:c r="J126" s="1"/>
      <x:c r="K126" s="1"/>
      <x:c r="L126" s="1"/>
      <x:c r="M126" s="1"/>
      <x:c r="N126" s="1"/>
      <x:c r="O126" s="1"/>
      <x:c r="P126" s="1"/>
      <x:c r="Q126" s="1"/>
      <x:c r="R126" s="1"/>
      <x:c r="S126" s="1"/>
      <x:c r="T126" s="1"/>
    </x:row>
    <x:row r="127" ht="18" customHeight="1">
      <x:c r="A127" s="1"/>
      <x:c r="B127" s="1"/>
      <x:c r="C127" s="1"/>
      <x:c r="D127" s="1"/>
      <x:c r="E127" s="1"/>
      <x:c r="F127" s="1"/>
      <x:c r="G127" s="1"/>
      <x:c r="H127" s="1"/>
      <x:c r="I127" s="1"/>
      <x:c r="J127" s="1"/>
      <x:c r="K127" s="1"/>
      <x:c r="L127" s="1"/>
      <x:c r="M127" s="1"/>
      <x:c r="N127" s="1"/>
      <x:c r="O127" s="1"/>
      <x:c r="P127" s="1"/>
      <x:c r="Q127" s="1"/>
      <x:c r="R127" s="1"/>
      <x:c r="S127" s="1"/>
      <x:c r="T127" s="1"/>
    </x:row>
    <x:row r="128" ht="18" customHeight="1">
      <x:c r="A128" s="1"/>
      <x:c r="B128" s="1"/>
      <x:c r="C128" s="1"/>
      <x:c r="D128" s="1"/>
      <x:c r="E128" s="1"/>
      <x:c r="F128" s="1"/>
      <x:c r="G128" s="1"/>
      <x:c r="H128" s="1"/>
      <x:c r="I128" s="1"/>
      <x:c r="J128" s="1"/>
      <x:c r="K128" s="1"/>
      <x:c r="L128" s="1"/>
      <x:c r="M128" s="1"/>
      <x:c r="N128" s="1"/>
      <x:c r="O128" s="1"/>
      <x:c r="P128" s="1"/>
      <x:c r="Q128" s="1"/>
      <x:c r="R128" s="1"/>
      <x:c r="S128" s="1"/>
      <x:c r="T128" s="1"/>
    </x:row>
    <x:row r="129" ht="18" customHeight="1">
      <x:c r="A129" s="1"/>
      <x:c r="B129" s="1"/>
      <x:c r="C129" s="1"/>
      <x:c r="D129" s="1"/>
      <x:c r="E129" s="1"/>
      <x:c r="F129" s="1"/>
      <x:c r="G129" s="1"/>
      <x:c r="H129" s="1"/>
      <x:c r="I129" s="1"/>
      <x:c r="J129" s="1"/>
      <x:c r="K129" s="1"/>
      <x:c r="L129" s="1"/>
      <x:c r="M129" s="1"/>
      <x:c r="N129" s="1"/>
      <x:c r="O129" s="1"/>
      <x:c r="P129" s="1"/>
      <x:c r="Q129" s="1"/>
      <x:c r="R129" s="1"/>
      <x:c r="S129" s="1"/>
      <x:c r="T129" s="1"/>
    </x:row>
    <x:row r="130" ht="18" customHeight="1">
      <x:c r="A130" s="1"/>
      <x:c r="B130" s="1"/>
      <x:c r="C130" s="1"/>
      <x:c r="D130" s="1"/>
      <x:c r="E130" s="1"/>
      <x:c r="F130" s="1"/>
      <x:c r="G130" s="1"/>
      <x:c r="H130" s="1"/>
      <x:c r="I130" s="1"/>
      <x:c r="J130" s="1"/>
      <x:c r="K130" s="1"/>
      <x:c r="L130" s="1"/>
      <x:c r="M130" s="1"/>
      <x:c r="N130" s="1"/>
      <x:c r="O130" s="1"/>
      <x:c r="P130" s="1"/>
      <x:c r="Q130" s="1"/>
      <x:c r="R130" s="1"/>
      <x:c r="S130" s="1"/>
      <x:c r="T130" s="1"/>
    </x:row>
    <x:row r="131" ht="18" customHeight="1">
      <x:c r="A131" s="1"/>
      <x:c r="B131" s="1"/>
      <x:c r="C131" s="1"/>
      <x:c r="D131" s="1"/>
      <x:c r="E131" s="1"/>
      <x:c r="F131" s="1"/>
      <x:c r="G131" s="1"/>
      <x:c r="H131" s="1"/>
      <x:c r="I131" s="1"/>
      <x:c r="J131" s="1"/>
      <x:c r="K131" s="1"/>
      <x:c r="L131" s="1"/>
      <x:c r="M131" s="1"/>
      <x:c r="N131" s="1"/>
      <x:c r="O131" s="1"/>
      <x:c r="P131" s="1"/>
      <x:c r="Q131" s="1"/>
      <x:c r="R131" s="1"/>
      <x:c r="S131" s="1"/>
      <x:c r="T131" s="1"/>
    </x:row>
    <x:row r="132" ht="18" customHeight="1">
      <x:c r="A132" s="1"/>
      <x:c r="B132" s="1"/>
      <x:c r="C132" s="1"/>
      <x:c r="D132" s="1"/>
      <x:c r="E132" s="1"/>
      <x:c r="F132" s="1"/>
      <x:c r="G132" s="1"/>
      <x:c r="H132" s="1"/>
      <x:c r="I132" s="1"/>
      <x:c r="J132" s="1"/>
      <x:c r="K132" s="1"/>
      <x:c r="L132" s="1"/>
      <x:c r="M132" s="1"/>
      <x:c r="N132" s="1"/>
      <x:c r="O132" s="1"/>
      <x:c r="P132" s="1"/>
      <x:c r="Q132" s="1"/>
      <x:c r="R132" s="1"/>
      <x:c r="S132" s="1"/>
      <x:c r="T132" s="1"/>
    </x:row>
    <x:row r="133" ht="18" customHeight="1">
      <x:c r="A133" s="1"/>
      <x:c r="B133" s="1"/>
      <x:c r="C133" s="1"/>
      <x:c r="D133" s="1"/>
      <x:c r="E133" s="1"/>
      <x:c r="F133" s="1"/>
      <x:c r="G133" s="1"/>
      <x:c r="H133" s="1"/>
      <x:c r="I133" s="1"/>
      <x:c r="J133" s="1"/>
      <x:c r="K133" s="1"/>
      <x:c r="L133" s="1"/>
      <x:c r="M133" s="1"/>
      <x:c r="N133" s="1"/>
      <x:c r="O133" s="1"/>
      <x:c r="P133" s="1"/>
      <x:c r="Q133" s="1"/>
      <x:c r="R133" s="1"/>
      <x:c r="S133" s="1"/>
      <x:c r="T133" s="1"/>
    </x:row>
    <x:row r="134" ht="18" customHeight="1">
      <x:c r="A134" s="1"/>
      <x:c r="B134" s="1"/>
      <x:c r="C134" s="1"/>
      <x:c r="D134" s="1"/>
      <x:c r="E134" s="1"/>
      <x:c r="F134" s="1"/>
      <x:c r="G134" s="1"/>
      <x:c r="H134" s="1"/>
      <x:c r="I134" s="1"/>
      <x:c r="J134" s="1"/>
      <x:c r="K134" s="1"/>
      <x:c r="L134" s="1"/>
      <x:c r="M134" s="1"/>
      <x:c r="N134" s="1"/>
      <x:c r="O134" s="1"/>
      <x:c r="P134" s="1"/>
      <x:c r="Q134" s="1"/>
      <x:c r="R134" s="1"/>
      <x:c r="S134" s="1"/>
      <x:c r="T134" s="1"/>
    </x:row>
    <x:row r="135" ht="18" customHeight="1">
      <x:c r="A135" s="1"/>
      <x:c r="B135" s="1"/>
      <x:c r="C135" s="1"/>
      <x:c r="D135" s="1"/>
      <x:c r="E135" s="1"/>
      <x:c r="F135" s="1"/>
      <x:c r="G135" s="1"/>
      <x:c r="H135" s="1"/>
      <x:c r="I135" s="1"/>
      <x:c r="J135" s="1"/>
      <x:c r="K135" s="1"/>
      <x:c r="L135" s="1"/>
      <x:c r="M135" s="1"/>
      <x:c r="N135" s="1"/>
      <x:c r="O135" s="1"/>
      <x:c r="P135" s="1"/>
      <x:c r="Q135" s="1"/>
      <x:c r="R135" s="1"/>
      <x:c r="S135" s="1"/>
      <x:c r="T135" s="1"/>
    </x:row>
    <x:row r="136" ht="18" customHeight="1">
      <x:c r="A136" s="1"/>
      <x:c r="B136" s="1"/>
      <x:c r="C136" s="1"/>
      <x:c r="D136" s="1"/>
      <x:c r="E136" s="1"/>
      <x:c r="F136" s="1"/>
      <x:c r="G136" s="1"/>
      <x:c r="H136" s="1"/>
      <x:c r="I136" s="1"/>
      <x:c r="J136" s="1"/>
      <x:c r="K136" s="1"/>
      <x:c r="L136" s="1"/>
      <x:c r="M136" s="1"/>
      <x:c r="N136" s="1"/>
      <x:c r="O136" s="1"/>
      <x:c r="P136" s="1"/>
      <x:c r="Q136" s="1"/>
      <x:c r="R136" s="1"/>
      <x:c r="S136" s="1"/>
      <x:c r="T136" s="1"/>
    </x:row>
    <x:row r="137" ht="18" customHeight="1">
      <x:c r="A137" s="1"/>
      <x:c r="B137" s="1"/>
      <x:c r="C137" s="1"/>
      <x:c r="D137" s="1"/>
      <x:c r="E137" s="1"/>
      <x:c r="F137" s="1"/>
      <x:c r="G137" s="1"/>
      <x:c r="H137" s="1"/>
      <x:c r="I137" s="1"/>
      <x:c r="J137" s="1"/>
      <x:c r="K137" s="1"/>
      <x:c r="L137" s="1"/>
      <x:c r="M137" s="1"/>
      <x:c r="N137" s="1"/>
      <x:c r="O137" s="1"/>
      <x:c r="P137" s="1"/>
      <x:c r="Q137" s="1"/>
      <x:c r="R137" s="1"/>
      <x:c r="S137" s="1"/>
      <x:c r="T137" s="1"/>
    </x:row>
    <x:row r="138" ht="18" customHeight="1">
      <x:c r="A138" s="1"/>
      <x:c r="B138" s="1"/>
      <x:c r="C138" s="1"/>
      <x:c r="D138" s="1"/>
      <x:c r="E138" s="1"/>
      <x:c r="F138" s="1"/>
      <x:c r="G138" s="1"/>
      <x:c r="H138" s="1"/>
      <x:c r="I138" s="1"/>
      <x:c r="J138" s="1"/>
      <x:c r="K138" s="1"/>
      <x:c r="L138" s="1"/>
      <x:c r="M138" s="1"/>
      <x:c r="N138" s="1"/>
      <x:c r="O138" s="1"/>
      <x:c r="P138" s="1"/>
      <x:c r="Q138" s="1"/>
      <x:c r="R138" s="1"/>
      <x:c r="S138" s="1"/>
      <x:c r="T138" s="1"/>
    </x:row>
    <x:row r="139" ht="18" customHeight="1">
      <x:c r="A139" s="1"/>
      <x:c r="B139" s="1"/>
      <x:c r="C139" s="1"/>
      <x:c r="D139" s="1"/>
      <x:c r="E139" s="1"/>
      <x:c r="F139" s="1"/>
      <x:c r="G139" s="1"/>
      <x:c r="H139" s="1"/>
      <x:c r="I139" s="1"/>
      <x:c r="J139" s="1"/>
      <x:c r="K139" s="1"/>
      <x:c r="L139" s="1"/>
      <x:c r="M139" s="1"/>
      <x:c r="N139" s="1"/>
      <x:c r="O139" s="1"/>
      <x:c r="P139" s="1"/>
      <x:c r="Q139" s="1"/>
      <x:c r="R139" s="1"/>
      <x:c r="S139" s="1"/>
      <x:c r="T139" s="1"/>
    </x:row>
    <x:row r="140" ht="18" customHeight="1">
      <x:c r="A140" s="1"/>
      <x:c r="B140" s="1"/>
      <x:c r="C140" s="1"/>
      <x:c r="D140" s="1"/>
      <x:c r="E140" s="1"/>
      <x:c r="F140" s="1"/>
      <x:c r="G140" s="1"/>
      <x:c r="H140" s="1"/>
      <x:c r="I140" s="1"/>
      <x:c r="J140" s="1"/>
      <x:c r="K140" s="1"/>
      <x:c r="L140" s="1"/>
      <x:c r="M140" s="1"/>
      <x:c r="N140" s="1"/>
      <x:c r="O140" s="1"/>
      <x:c r="P140" s="1"/>
      <x:c r="Q140" s="1"/>
      <x:c r="R140" s="1"/>
      <x:c r="S140" s="1"/>
      <x:c r="T140" s="1"/>
    </x:row>
    <x:row r="141" ht="18" customHeight="1">
      <x:c r="A141" s="1"/>
      <x:c r="B141" s="1"/>
      <x:c r="C141" s="1"/>
      <x:c r="D141" s="1"/>
      <x:c r="E141" s="1"/>
      <x:c r="F141" s="1"/>
      <x:c r="G141" s="1"/>
      <x:c r="H141" s="1"/>
      <x:c r="I141" s="1"/>
      <x:c r="J141" s="1"/>
      <x:c r="K141" s="1"/>
      <x:c r="L141" s="1"/>
      <x:c r="M141" s="1"/>
      <x:c r="N141" s="1"/>
      <x:c r="O141" s="1"/>
      <x:c r="P141" s="1"/>
      <x:c r="Q141" s="1"/>
      <x:c r="R141" s="1"/>
      <x:c r="S141" s="1"/>
      <x:c r="T141" s="1"/>
    </x:row>
    <x:row r="142" ht="18" customHeight="1">
      <x:c r="A142" s="1"/>
      <x:c r="B142" s="1"/>
      <x:c r="C142" s="1"/>
      <x:c r="D142" s="1"/>
      <x:c r="E142" s="1"/>
      <x:c r="F142" s="1"/>
      <x:c r="G142" s="1"/>
      <x:c r="H142" s="1"/>
      <x:c r="I142" s="1"/>
      <x:c r="J142" s="1"/>
      <x:c r="K142" s="1"/>
      <x:c r="L142" s="1"/>
      <x:c r="M142" s="1"/>
      <x:c r="N142" s="1"/>
      <x:c r="O142" s="1"/>
      <x:c r="P142" s="1"/>
      <x:c r="Q142" s="1"/>
      <x:c r="R142" s="1"/>
      <x:c r="S142" s="1"/>
      <x:c r="T142" s="1"/>
    </x:row>
    <x:row r="143" ht="18" customHeight="1">
      <x:c r="A143" s="1"/>
      <x:c r="B143" s="1"/>
      <x:c r="C143" s="1"/>
      <x:c r="D143" s="1"/>
      <x:c r="E143" s="1"/>
      <x:c r="F143" s="1"/>
      <x:c r="G143" s="1"/>
      <x:c r="H143" s="1"/>
      <x:c r="I143" s="1"/>
      <x:c r="J143" s="1"/>
      <x:c r="K143" s="1"/>
      <x:c r="L143" s="1"/>
      <x:c r="M143" s="1"/>
      <x:c r="N143" s="1"/>
      <x:c r="O143" s="1"/>
      <x:c r="P143" s="1"/>
      <x:c r="Q143" s="1"/>
      <x:c r="R143" s="1"/>
      <x:c r="S143" s="1"/>
      <x:c r="T143" s="1"/>
    </x:row>
    <x:row r="144" ht="18" customHeight="1">
      <x:c r="A144" s="1"/>
      <x:c r="B144" s="1"/>
      <x:c r="C144" s="1"/>
      <x:c r="D144" s="1"/>
      <x:c r="E144" s="1"/>
      <x:c r="F144" s="1"/>
      <x:c r="G144" s="1"/>
      <x:c r="H144" s="1"/>
      <x:c r="I144" s="1"/>
      <x:c r="J144" s="1"/>
      <x:c r="K144" s="1"/>
      <x:c r="L144" s="1"/>
      <x:c r="M144" s="1"/>
      <x:c r="N144" s="1"/>
      <x:c r="O144" s="1"/>
      <x:c r="P144" s="1"/>
      <x:c r="Q144" s="1"/>
      <x:c r="R144" s="1"/>
      <x:c r="S144" s="1"/>
      <x:c r="T144" s="1"/>
    </x:row>
    <x:row r="145" ht="18" customHeight="1">
      <x:c r="A145" s="1"/>
      <x:c r="B145" s="1"/>
      <x:c r="C145" s="1"/>
      <x:c r="D145" s="1"/>
      <x:c r="E145" s="1"/>
      <x:c r="F145" s="1"/>
      <x:c r="G145" s="1"/>
      <x:c r="H145" s="1"/>
      <x:c r="I145" s="1"/>
      <x:c r="J145" s="1"/>
      <x:c r="K145" s="1"/>
      <x:c r="L145" s="1"/>
      <x:c r="M145" s="1"/>
      <x:c r="N145" s="1"/>
      <x:c r="O145" s="1"/>
      <x:c r="P145" s="1"/>
      <x:c r="Q145" s="1"/>
      <x:c r="R145" s="1"/>
      <x:c r="S145" s="1"/>
      <x:c r="T145" s="1"/>
    </x:row>
    <x:row r="146" ht="18" customHeight="1">
      <x:c r="A146" s="1"/>
      <x:c r="B146" s="1"/>
      <x:c r="C146" s="1"/>
      <x:c r="D146" s="1"/>
      <x:c r="E146" s="1"/>
      <x:c r="F146" s="1"/>
      <x:c r="G146" s="1"/>
      <x:c r="H146" s="1"/>
      <x:c r="I146" s="1"/>
      <x:c r="J146" s="1"/>
      <x:c r="K146" s="1"/>
      <x:c r="L146" s="1"/>
      <x:c r="M146" s="1"/>
      <x:c r="N146" s="1"/>
      <x:c r="O146" s="1"/>
      <x:c r="P146" s="1"/>
      <x:c r="Q146" s="1"/>
      <x:c r="R146" s="1"/>
      <x:c r="S146" s="1"/>
      <x:c r="T146" s="1"/>
    </x:row>
    <x:row r="147" ht="18" customHeight="1">
      <x:c r="A147" s="1"/>
      <x:c r="B147" s="1"/>
      <x:c r="C147" s="1"/>
      <x:c r="D147" s="1"/>
      <x:c r="E147" s="1"/>
      <x:c r="F147" s="1"/>
      <x:c r="G147" s="1"/>
      <x:c r="H147" s="1"/>
      <x:c r="I147" s="1"/>
      <x:c r="J147" s="1"/>
      <x:c r="K147" s="1"/>
      <x:c r="L147" s="1"/>
      <x:c r="M147" s="1"/>
      <x:c r="N147" s="1"/>
      <x:c r="O147" s="1"/>
      <x:c r="P147" s="1"/>
      <x:c r="Q147" s="1"/>
      <x:c r="R147" s="1"/>
      <x:c r="S147" s="1"/>
      <x:c r="T147" s="1"/>
    </x:row>
    <x:row r="148" ht="18" customHeight="1">
      <x:c r="A148" s="1"/>
      <x:c r="B148" s="1"/>
      <x:c r="C148" s="1"/>
      <x:c r="D148" s="1"/>
      <x:c r="E148" s="1"/>
      <x:c r="F148" s="1"/>
      <x:c r="G148" s="1"/>
      <x:c r="H148" s="1"/>
      <x:c r="I148" s="1"/>
      <x:c r="J148" s="1"/>
      <x:c r="K148" s="1"/>
      <x:c r="L148" s="1"/>
      <x:c r="M148" s="1"/>
      <x:c r="N148" s="1"/>
      <x:c r="O148" s="1"/>
      <x:c r="P148" s="1"/>
      <x:c r="Q148" s="1"/>
      <x:c r="R148" s="1"/>
      <x:c r="S148" s="1"/>
      <x:c r="T148" s="1"/>
    </x:row>
    <x:row r="149" ht="18" customHeight="1">
      <x:c r="A149" s="1"/>
      <x:c r="B149" s="1"/>
      <x:c r="C149" s="1"/>
      <x:c r="D149" s="1"/>
      <x:c r="E149" s="1"/>
      <x:c r="F149" s="1"/>
      <x:c r="G149" s="1"/>
      <x:c r="H149" s="1"/>
      <x:c r="I149" s="1"/>
      <x:c r="J149" s="1"/>
      <x:c r="K149" s="1"/>
      <x:c r="L149" s="1"/>
      <x:c r="M149" s="1"/>
      <x:c r="N149" s="1"/>
      <x:c r="O149" s="1"/>
      <x:c r="P149" s="1"/>
      <x:c r="Q149" s="1"/>
      <x:c r="R149" s="1"/>
      <x:c r="S149" s="1"/>
      <x:c r="T149" s="1"/>
    </x:row>
    <x:row r="150" ht="18" customHeight="1">
      <x:c r="A150" s="1"/>
      <x:c r="B150" s="1"/>
      <x:c r="C150" s="1"/>
      <x:c r="D150" s="1"/>
      <x:c r="E150" s="1"/>
      <x:c r="F150" s="1"/>
      <x:c r="G150" s="1"/>
      <x:c r="H150" s="1"/>
      <x:c r="I150" s="1"/>
      <x:c r="J150" s="1"/>
      <x:c r="K150" s="1"/>
      <x:c r="L150" s="1"/>
      <x:c r="M150" s="1"/>
      <x:c r="N150" s="1"/>
      <x:c r="O150" s="1"/>
      <x:c r="P150" s="1"/>
      <x:c r="Q150" s="1"/>
      <x:c r="R150" s="1"/>
      <x:c r="S150" s="1"/>
      <x:c r="T150" s="1"/>
    </x:row>
    <x:row r="151" ht="18" customHeight="1">
      <x:c r="A151" s="1"/>
      <x:c r="B151" s="1"/>
      <x:c r="C151" s="1"/>
      <x:c r="D151" s="1"/>
      <x:c r="E151" s="1"/>
      <x:c r="F151" s="1"/>
      <x:c r="G151" s="1"/>
      <x:c r="H151" s="1"/>
      <x:c r="I151" s="1"/>
      <x:c r="J151" s="1"/>
      <x:c r="K151" s="1"/>
      <x:c r="L151" s="1"/>
      <x:c r="M151" s="1"/>
      <x:c r="N151" s="1"/>
      <x:c r="O151" s="1"/>
      <x:c r="P151" s="1"/>
      <x:c r="Q151" s="1"/>
      <x:c r="R151" s="1"/>
      <x:c r="S151" s="1"/>
      <x:c r="T151" s="1"/>
    </x:row>
    <x:row r="152" ht="18" customHeight="1">
      <x:c r="A152" s="1"/>
      <x:c r="B152" s="1"/>
      <x:c r="C152" s="1"/>
      <x:c r="D152" s="1"/>
      <x:c r="E152" s="1"/>
      <x:c r="F152" s="1"/>
      <x:c r="G152" s="1"/>
      <x:c r="H152" s="1"/>
      <x:c r="I152" s="1"/>
      <x:c r="J152" s="1"/>
      <x:c r="K152" s="1"/>
      <x:c r="L152" s="1"/>
      <x:c r="M152" s="1"/>
      <x:c r="N152" s="1"/>
      <x:c r="O152" s="1"/>
      <x:c r="P152" s="1"/>
      <x:c r="Q152" s="1"/>
      <x:c r="R152" s="1"/>
      <x:c r="S152" s="1"/>
      <x:c r="T152" s="1"/>
    </x:row>
    <x:row r="153" ht="18" customHeight="1">
      <x:c r="A153" s="1"/>
      <x:c r="B153" s="1"/>
      <x:c r="C153" s="1"/>
      <x:c r="D153" s="1"/>
      <x:c r="E153" s="1"/>
      <x:c r="F153" s="1"/>
      <x:c r="G153" s="1"/>
      <x:c r="H153" s="1"/>
      <x:c r="I153" s="1"/>
      <x:c r="J153" s="1"/>
      <x:c r="K153" s="1"/>
      <x:c r="L153" s="1"/>
      <x:c r="M153" s="1"/>
      <x:c r="N153" s="1"/>
      <x:c r="O153" s="1"/>
      <x:c r="P153" s="1"/>
      <x:c r="Q153" s="1"/>
      <x:c r="R153" s="1"/>
      <x:c r="S153" s="1"/>
      <x:c r="T153" s="1"/>
    </x:row>
    <x:row r="154" ht="18" customHeight="1">
      <x:c r="A154" s="1"/>
      <x:c r="B154" s="1"/>
      <x:c r="C154" s="1"/>
      <x:c r="D154" s="1"/>
      <x:c r="E154" s="1"/>
      <x:c r="F154" s="1"/>
      <x:c r="G154" s="1"/>
      <x:c r="H154" s="1"/>
      <x:c r="I154" s="1"/>
      <x:c r="J154" s="1"/>
      <x:c r="K154" s="1"/>
      <x:c r="L154" s="1"/>
      <x:c r="M154" s="1"/>
      <x:c r="N154" s="1"/>
      <x:c r="O154" s="1"/>
      <x:c r="P154" s="1"/>
      <x:c r="Q154" s="1"/>
      <x:c r="R154" s="1"/>
      <x:c r="S154" s="1"/>
      <x:c r="T154" s="1"/>
    </x:row>
    <x:row r="155" ht="18" customHeight="1">
      <x:c r="A155" s="1"/>
      <x:c r="B155" s="1"/>
      <x:c r="C155" s="1"/>
      <x:c r="D155" s="1"/>
      <x:c r="E155" s="1"/>
      <x:c r="F155" s="1"/>
      <x:c r="G155" s="1"/>
      <x:c r="H155" s="1"/>
      <x:c r="I155" s="1"/>
      <x:c r="J155" s="1"/>
      <x:c r="K155" s="1"/>
      <x:c r="L155" s="1"/>
      <x:c r="M155" s="1"/>
      <x:c r="N155" s="1"/>
      <x:c r="O155" s="1"/>
      <x:c r="P155" s="1"/>
      <x:c r="Q155" s="1"/>
      <x:c r="R155" s="1"/>
      <x:c r="S155" s="1"/>
      <x:c r="T155" s="1"/>
    </x:row>
    <x:row r="156" ht="18" customHeight="1">
      <x:c r="A156" s="1"/>
      <x:c r="B156" s="1"/>
      <x:c r="C156" s="1"/>
      <x:c r="D156" s="1"/>
      <x:c r="E156" s="1"/>
      <x:c r="F156" s="1"/>
      <x:c r="G156" s="1"/>
      <x:c r="H156" s="1"/>
      <x:c r="I156" s="1"/>
      <x:c r="J156" s="1"/>
      <x:c r="K156" s="1"/>
      <x:c r="L156" s="1"/>
      <x:c r="M156" s="1"/>
      <x:c r="N156" s="1"/>
      <x:c r="O156" s="1"/>
      <x:c r="P156" s="1"/>
      <x:c r="Q156" s="1"/>
      <x:c r="R156" s="1"/>
      <x:c r="S156" s="1"/>
      <x:c r="T156" s="1"/>
    </x:row>
    <x:row r="157" ht="18" customHeight="1">
      <x:c r="A157" s="1"/>
      <x:c r="B157" s="1"/>
      <x:c r="C157" s="1"/>
      <x:c r="D157" s="1"/>
      <x:c r="E157" s="1"/>
      <x:c r="F157" s="1"/>
      <x:c r="G157" s="1"/>
      <x:c r="H157" s="1"/>
      <x:c r="I157" s="1"/>
      <x:c r="J157" s="1"/>
      <x:c r="K157" s="1"/>
      <x:c r="L157" s="1"/>
      <x:c r="M157" s="1"/>
      <x:c r="N157" s="1"/>
      <x:c r="O157" s="1"/>
      <x:c r="P157" s="1"/>
      <x:c r="Q157" s="1"/>
      <x:c r="R157" s="1"/>
      <x:c r="S157" s="1"/>
      <x:c r="T157" s="1"/>
    </x:row>
    <x:row r="158" ht="18" customHeight="1">
      <x:c r="A158" s="1"/>
      <x:c r="B158" s="1"/>
      <x:c r="C158" s="1"/>
      <x:c r="D158" s="1"/>
      <x:c r="E158" s="1"/>
      <x:c r="F158" s="1"/>
      <x:c r="G158" s="1"/>
      <x:c r="H158" s="1"/>
      <x:c r="I158" s="1"/>
      <x:c r="J158" s="1"/>
      <x:c r="K158" s="1"/>
      <x:c r="L158" s="1"/>
      <x:c r="M158" s="1"/>
      <x:c r="N158" s="1"/>
      <x:c r="O158" s="1"/>
      <x:c r="P158" s="1"/>
      <x:c r="Q158" s="1"/>
      <x:c r="R158" s="1"/>
      <x:c r="S158" s="1"/>
      <x:c r="T158" s="1"/>
    </x:row>
    <x:row r="159" ht="18" customHeight="1">
      <x:c r="A159" s="1"/>
      <x:c r="B159" s="1"/>
      <x:c r="C159" s="1"/>
      <x:c r="D159" s="1"/>
      <x:c r="E159" s="1"/>
      <x:c r="F159" s="1"/>
      <x:c r="G159" s="1"/>
      <x:c r="H159" s="1"/>
      <x:c r="I159" s="1"/>
      <x:c r="J159" s="1"/>
      <x:c r="K159" s="1"/>
      <x:c r="L159" s="1"/>
      <x:c r="M159" s="1"/>
      <x:c r="N159" s="1"/>
      <x:c r="O159" s="1"/>
      <x:c r="P159" s="1"/>
      <x:c r="Q159" s="1"/>
      <x:c r="R159" s="1"/>
      <x:c r="S159" s="1"/>
      <x:c r="T159" s="1"/>
    </x:row>
    <x:row r="160" ht="18" customHeight="1">
      <x:c r="A160" s="1"/>
      <x:c r="B160" s="1"/>
      <x:c r="C160" s="1"/>
      <x:c r="D160" s="1"/>
      <x:c r="E160" s="1"/>
      <x:c r="F160" s="1"/>
      <x:c r="G160" s="1"/>
      <x:c r="H160" s="1"/>
      <x:c r="I160" s="1"/>
      <x:c r="J160" s="1"/>
      <x:c r="K160" s="1"/>
      <x:c r="L160" s="1"/>
      <x:c r="M160" s="1"/>
      <x:c r="N160" s="1"/>
      <x:c r="O160" s="1"/>
      <x:c r="P160" s="1"/>
      <x:c r="Q160" s="1"/>
      <x:c r="R160" s="1"/>
      <x:c r="S160" s="1"/>
      <x:c r="T160" s="1"/>
    </x:row>
    <x:row r="161" ht="18" customHeight="1">
      <x:c r="A161" s="1"/>
      <x:c r="B161" s="1"/>
      <x:c r="C161" s="1"/>
      <x:c r="D161" s="1"/>
      <x:c r="E161" s="1"/>
      <x:c r="F161" s="1"/>
      <x:c r="G161" s="1"/>
      <x:c r="H161" s="1"/>
      <x:c r="I161" s="1"/>
      <x:c r="J161" s="1"/>
      <x:c r="K161" s="1"/>
      <x:c r="L161" s="1"/>
      <x:c r="M161" s="1"/>
      <x:c r="N161" s="1"/>
      <x:c r="O161" s="1"/>
      <x:c r="P161" s="1"/>
      <x:c r="Q161" s="1"/>
      <x:c r="R161" s="1"/>
      <x:c r="S161" s="1"/>
      <x:c r="T161" s="1"/>
    </x:row>
    <x:row r="162" ht="18" customHeight="1">
      <x:c r="A162" s="1"/>
      <x:c r="B162" s="1"/>
      <x:c r="C162" s="1"/>
      <x:c r="D162" s="1"/>
      <x:c r="E162" s="1"/>
      <x:c r="F162" s="1"/>
      <x:c r="G162" s="1"/>
      <x:c r="H162" s="1"/>
      <x:c r="I162" s="1"/>
      <x:c r="J162" s="1"/>
      <x:c r="K162" s="1"/>
      <x:c r="L162" s="1"/>
      <x:c r="M162" s="1"/>
      <x:c r="N162" s="1"/>
      <x:c r="O162" s="1"/>
      <x:c r="P162" s="1"/>
      <x:c r="Q162" s="1"/>
      <x:c r="R162" s="1"/>
      <x:c r="S162" s="1"/>
      <x:c r="T162" s="1"/>
    </x:row>
    <x:row r="163" ht="18" customHeight="1">
      <x:c r="A163" s="1"/>
      <x:c r="B163" s="1"/>
      <x:c r="C163" s="1"/>
      <x:c r="D163" s="1"/>
      <x:c r="E163" s="1"/>
      <x:c r="F163" s="1"/>
      <x:c r="G163" s="1"/>
      <x:c r="H163" s="1"/>
      <x:c r="I163" s="1"/>
      <x:c r="J163" s="1"/>
      <x:c r="K163" s="1"/>
      <x:c r="L163" s="1"/>
      <x:c r="M163" s="1"/>
      <x:c r="N163" s="1"/>
      <x:c r="O163" s="1"/>
      <x:c r="P163" s="1"/>
      <x:c r="Q163" s="1"/>
      <x:c r="R163" s="1"/>
      <x:c r="S163" s="1"/>
      <x:c r="T163" s="1"/>
    </x:row>
    <x:row r="164" ht="18" customHeight="1">
      <x:c r="A164" s="1"/>
      <x:c r="B164" s="1"/>
      <x:c r="C164" s="1"/>
      <x:c r="D164" s="1"/>
      <x:c r="E164" s="1"/>
      <x:c r="F164" s="1"/>
      <x:c r="G164" s="1"/>
      <x:c r="H164" s="1"/>
      <x:c r="I164" s="1"/>
      <x:c r="J164" s="1"/>
      <x:c r="K164" s="1"/>
      <x:c r="L164" s="1"/>
      <x:c r="M164" s="1"/>
      <x:c r="N164" s="1"/>
      <x:c r="O164" s="1"/>
      <x:c r="P164" s="1"/>
      <x:c r="Q164" s="1"/>
      <x:c r="R164" s="1"/>
      <x:c r="S164" s="1"/>
      <x:c r="T164" s="1"/>
    </x:row>
    <x:row r="165" ht="18" customHeight="1">
      <x:c r="A165" s="1"/>
      <x:c r="B165" s="1"/>
      <x:c r="C165" s="1"/>
      <x:c r="D165" s="1"/>
      <x:c r="E165" s="1"/>
      <x:c r="F165" s="1"/>
      <x:c r="G165" s="1"/>
      <x:c r="H165" s="1"/>
      <x:c r="I165" s="1"/>
      <x:c r="J165" s="1"/>
      <x:c r="K165" s="1"/>
      <x:c r="L165" s="1"/>
      <x:c r="M165" s="1"/>
      <x:c r="N165" s="1"/>
      <x:c r="O165" s="1"/>
      <x:c r="P165" s="1"/>
      <x:c r="Q165" s="1"/>
      <x:c r="R165" s="1"/>
      <x:c r="S165" s="1"/>
      <x:c r="T165" s="1"/>
    </x:row>
    <x:row r="166" ht="18" customHeight="1">
      <x:c r="A166" s="1"/>
      <x:c r="B166" s="1"/>
      <x:c r="C166" s="1"/>
      <x:c r="D166" s="1"/>
      <x:c r="E166" s="1"/>
      <x:c r="F166" s="1"/>
      <x:c r="G166" s="1"/>
      <x:c r="H166" s="1"/>
      <x:c r="I166" s="1"/>
      <x:c r="J166" s="1"/>
      <x:c r="K166" s="1"/>
      <x:c r="L166" s="1"/>
      <x:c r="M166" s="1"/>
      <x:c r="N166" s="1"/>
      <x:c r="O166" s="1"/>
      <x:c r="P166" s="1"/>
      <x:c r="Q166" s="1"/>
      <x:c r="R166" s="1"/>
      <x:c r="S166" s="1"/>
      <x:c r="T166" s="1"/>
    </x:row>
    <x:row r="167" ht="18" customHeight="1">
      <x:c r="A167" s="1"/>
      <x:c r="B167" s="1"/>
      <x:c r="C167" s="1"/>
      <x:c r="D167" s="1"/>
      <x:c r="E167" s="1"/>
      <x:c r="F167" s="1"/>
      <x:c r="G167" s="1"/>
      <x:c r="H167" s="1"/>
      <x:c r="I167" s="1"/>
      <x:c r="J167" s="1"/>
      <x:c r="K167" s="1"/>
      <x:c r="L167" s="1"/>
      <x:c r="M167" s="1"/>
      <x:c r="N167" s="1"/>
      <x:c r="O167" s="1"/>
      <x:c r="P167" s="1"/>
      <x:c r="Q167" s="1"/>
      <x:c r="R167" s="1"/>
      <x:c r="S167" s="1"/>
      <x:c r="T167" s="1"/>
    </x:row>
    <x:row r="168" ht="18" customHeight="1">
      <x:c r="A168" s="1"/>
      <x:c r="B168" s="1"/>
      <x:c r="C168" s="1"/>
      <x:c r="D168" s="1"/>
      <x:c r="E168" s="1"/>
      <x:c r="F168" s="1"/>
      <x:c r="G168" s="1"/>
      <x:c r="H168" s="1"/>
      <x:c r="I168" s="1"/>
      <x:c r="J168" s="1"/>
      <x:c r="K168" s="1"/>
      <x:c r="L168" s="1"/>
      <x:c r="M168" s="1"/>
      <x:c r="N168" s="1"/>
      <x:c r="O168" s="1"/>
      <x:c r="P168" s="1"/>
      <x:c r="Q168" s="1"/>
      <x:c r="R168" s="1"/>
      <x:c r="S168" s="1"/>
      <x:c r="T168" s="1"/>
    </x:row>
    <x:row r="169" ht="18" customHeight="1">
      <x:c r="A169" s="1"/>
      <x:c r="B169" s="1"/>
      <x:c r="C169" s="1"/>
      <x:c r="D169" s="1"/>
      <x:c r="E169" s="1"/>
      <x:c r="F169" s="1"/>
      <x:c r="G169" s="1"/>
      <x:c r="H169" s="1"/>
      <x:c r="I169" s="1"/>
      <x:c r="J169" s="1"/>
      <x:c r="K169" s="1"/>
      <x:c r="L169" s="1"/>
      <x:c r="M169" s="1"/>
      <x:c r="N169" s="1"/>
      <x:c r="O169" s="1"/>
      <x:c r="P169" s="1"/>
      <x:c r="Q169" s="1"/>
      <x:c r="R169" s="1"/>
      <x:c r="S169" s="1"/>
      <x:c r="T169" s="1"/>
    </x:row>
    <x:row r="170" ht="18" customHeight="1">
      <x:c r="A170" s="1"/>
      <x:c r="B170" s="1"/>
      <x:c r="C170" s="1"/>
      <x:c r="D170" s="1"/>
      <x:c r="E170" s="1"/>
      <x:c r="F170" s="1"/>
      <x:c r="G170" s="1"/>
      <x:c r="H170" s="1"/>
      <x:c r="I170" s="1"/>
      <x:c r="J170" s="1"/>
      <x:c r="K170" s="1"/>
      <x:c r="L170" s="1"/>
      <x:c r="M170" s="1"/>
      <x:c r="N170" s="1"/>
      <x:c r="O170" s="1"/>
      <x:c r="P170" s="1"/>
      <x:c r="Q170" s="1"/>
      <x:c r="R170" s="1"/>
      <x:c r="S170" s="1"/>
      <x:c r="T170" s="1"/>
    </x:row>
    <x:row r="171" ht="18" customHeight="1">
      <x:c r="A171" s="1"/>
      <x:c r="B171" s="1"/>
      <x:c r="C171" s="1"/>
      <x:c r="D171" s="1"/>
      <x:c r="E171" s="1"/>
      <x:c r="F171" s="1"/>
      <x:c r="G171" s="1"/>
      <x:c r="H171" s="1"/>
      <x:c r="I171" s="1"/>
      <x:c r="J171" s="1"/>
      <x:c r="K171" s="1"/>
      <x:c r="L171" s="1"/>
      <x:c r="M171" s="1"/>
      <x:c r="N171" s="1"/>
      <x:c r="O171" s="1"/>
      <x:c r="P171" s="1"/>
      <x:c r="Q171" s="1"/>
      <x:c r="R171" s="1"/>
      <x:c r="S171" s="1"/>
      <x:c r="T171" s="1"/>
    </x:row>
    <x:row r="172" ht="18" customHeight="1">
      <x:c r="A172" s="1"/>
      <x:c r="B172" s="1"/>
      <x:c r="C172" s="1"/>
      <x:c r="D172" s="1"/>
      <x:c r="E172" s="1"/>
      <x:c r="F172" s="1"/>
      <x:c r="G172" s="1"/>
      <x:c r="H172" s="1"/>
      <x:c r="I172" s="1"/>
      <x:c r="J172" s="1"/>
      <x:c r="K172" s="1"/>
      <x:c r="L172" s="1"/>
      <x:c r="M172" s="1"/>
      <x:c r="N172" s="1"/>
      <x:c r="O172" s="1"/>
      <x:c r="P172" s="1"/>
      <x:c r="Q172" s="1"/>
      <x:c r="R172" s="1"/>
      <x:c r="S172" s="1"/>
      <x:c r="T172" s="1"/>
    </x:row>
    <x:row r="173" ht="18" customHeight="1">
      <x:c r="A173" s="1"/>
      <x:c r="B173" s="1"/>
      <x:c r="C173" s="1"/>
      <x:c r="D173" s="1"/>
      <x:c r="E173" s="1"/>
      <x:c r="F173" s="1"/>
      <x:c r="G173" s="1"/>
      <x:c r="H173" s="1"/>
      <x:c r="I173" s="1"/>
      <x:c r="J173" s="1"/>
      <x:c r="K173" s="1"/>
      <x:c r="L173" s="1"/>
      <x:c r="M173" s="1"/>
      <x:c r="N173" s="1"/>
      <x:c r="O173" s="1"/>
      <x:c r="P173" s="1"/>
      <x:c r="Q173" s="1"/>
      <x:c r="R173" s="1"/>
      <x:c r="S173" s="1"/>
      <x:c r="T173" s="1"/>
    </x:row>
    <x:row r="174" ht="18" customHeight="1">
      <x:c r="A174" s="1"/>
      <x:c r="B174" s="1"/>
      <x:c r="C174" s="1"/>
      <x:c r="D174" s="1"/>
      <x:c r="E174" s="1"/>
      <x:c r="F174" s="1"/>
      <x:c r="G174" s="1"/>
      <x:c r="H174" s="1"/>
      <x:c r="I174" s="1"/>
      <x:c r="J174" s="1"/>
      <x:c r="K174" s="1"/>
      <x:c r="L174" s="1"/>
      <x:c r="M174" s="1"/>
      <x:c r="N174" s="1"/>
      <x:c r="O174" s="1"/>
      <x:c r="P174" s="1"/>
      <x:c r="Q174" s="1"/>
      <x:c r="R174" s="1"/>
      <x:c r="S174" s="1"/>
      <x:c r="T174" s="1"/>
    </x:row>
    <x:row r="175" ht="18" customHeight="1">
      <x:c r="A175" s="1"/>
      <x:c r="B175" s="1"/>
      <x:c r="C175" s="1"/>
      <x:c r="D175" s="1"/>
      <x:c r="E175" s="1"/>
      <x:c r="F175" s="1"/>
      <x:c r="G175" s="1"/>
      <x:c r="H175" s="1"/>
      <x:c r="I175" s="1"/>
      <x:c r="J175" s="1"/>
      <x:c r="K175" s="1"/>
      <x:c r="L175" s="1"/>
      <x:c r="M175" s="1"/>
      <x:c r="N175" s="1"/>
      <x:c r="O175" s="1"/>
      <x:c r="P175" s="1"/>
      <x:c r="Q175" s="1"/>
      <x:c r="R175" s="1"/>
      <x:c r="S175" s="1"/>
      <x:c r="T175" s="1"/>
    </x:row>
    <x:row r="176" ht="18" customHeight="1">
      <x:c r="A176" s="1"/>
      <x:c r="B176" s="1"/>
      <x:c r="C176" s="1"/>
      <x:c r="D176" s="1"/>
      <x:c r="E176" s="1"/>
      <x:c r="F176" s="1"/>
      <x:c r="G176" s="1"/>
      <x:c r="H176" s="1"/>
      <x:c r="I176" s="1"/>
      <x:c r="J176" s="1"/>
      <x:c r="K176" s="1"/>
      <x:c r="L176" s="1"/>
      <x:c r="M176" s="1"/>
      <x:c r="N176" s="1"/>
      <x:c r="O176" s="1"/>
      <x:c r="P176" s="1"/>
      <x:c r="Q176" s="1"/>
      <x:c r="R176" s="1"/>
      <x:c r="S176" s="1"/>
      <x:c r="T176" s="1"/>
    </x:row>
    <x:row r="177" ht="18" customHeight="1">
      <x:c r="A177" s="1"/>
      <x:c r="B177" s="1"/>
      <x:c r="C177" s="1"/>
      <x:c r="D177" s="1"/>
      <x:c r="E177" s="1"/>
      <x:c r="F177" s="1"/>
      <x:c r="G177" s="1"/>
      <x:c r="H177" s="1"/>
      <x:c r="I177" s="1"/>
      <x:c r="J177" s="1"/>
      <x:c r="K177" s="1"/>
      <x:c r="L177" s="1"/>
      <x:c r="M177" s="1"/>
      <x:c r="N177" s="1"/>
      <x:c r="O177" s="1"/>
      <x:c r="P177" s="1"/>
      <x:c r="Q177" s="1"/>
      <x:c r="R177" s="1"/>
      <x:c r="S177" s="1"/>
      <x:c r="T177" s="1"/>
    </x:row>
    <x:row r="178" ht="18" customHeight="1">
      <x:c r="A178" s="1"/>
      <x:c r="B178" s="1"/>
      <x:c r="C178" s="1"/>
      <x:c r="D178" s="1"/>
      <x:c r="E178" s="1"/>
      <x:c r="F178" s="1"/>
      <x:c r="G178" s="1"/>
      <x:c r="H178" s="1"/>
      <x:c r="I178" s="1"/>
      <x:c r="J178" s="1"/>
      <x:c r="K178" s="1"/>
      <x:c r="L178" s="1"/>
      <x:c r="M178" s="1"/>
      <x:c r="N178" s="1"/>
      <x:c r="O178" s="1"/>
      <x:c r="P178" s="1"/>
      <x:c r="Q178" s="1"/>
      <x:c r="R178" s="1"/>
      <x:c r="S178" s="1"/>
      <x:c r="T178" s="1"/>
    </x:row>
    <x:row r="179" ht="18" customHeight="1">
      <x:c r="A179" s="1"/>
      <x:c r="B179" s="1"/>
      <x:c r="C179" s="1"/>
      <x:c r="D179" s="1"/>
      <x:c r="E179" s="1"/>
      <x:c r="F179" s="1"/>
      <x:c r="G179" s="1"/>
      <x:c r="H179" s="1"/>
      <x:c r="I179" s="1"/>
      <x:c r="J179" s="1"/>
      <x:c r="K179" s="1"/>
      <x:c r="L179" s="1"/>
      <x:c r="M179" s="1"/>
      <x:c r="N179" s="1"/>
      <x:c r="O179" s="1"/>
      <x:c r="P179" s="1"/>
      <x:c r="Q179" s="1"/>
      <x:c r="R179" s="1"/>
      <x:c r="S179" s="1"/>
      <x:c r="T179" s="1"/>
    </x:row>
    <x:row r="180" ht="18" customHeight="1">
      <x:c r="A180" s="1"/>
      <x:c r="B180" s="1"/>
      <x:c r="C180" s="1"/>
      <x:c r="D180" s="1"/>
      <x:c r="E180" s="1"/>
      <x:c r="F180" s="1"/>
      <x:c r="G180" s="1"/>
      <x:c r="H180" s="1"/>
      <x:c r="I180" s="1"/>
      <x:c r="J180" s="1"/>
      <x:c r="K180" s="1"/>
      <x:c r="L180" s="1"/>
      <x:c r="M180" s="1"/>
      <x:c r="N180" s="1"/>
      <x:c r="O180" s="1"/>
      <x:c r="P180" s="1"/>
      <x:c r="Q180" s="1"/>
      <x:c r="R180" s="1"/>
      <x:c r="S180" s="1"/>
      <x:c r="T180" s="1"/>
    </x:row>
    <x:row r="181" ht="18" customHeight="1">
      <x:c r="A181" s="1"/>
      <x:c r="B181" s="1"/>
      <x:c r="C181" s="1"/>
      <x:c r="D181" s="1"/>
      <x:c r="E181" s="1"/>
      <x:c r="F181" s="1"/>
      <x:c r="G181" s="1"/>
      <x:c r="H181" s="1"/>
      <x:c r="I181" s="1"/>
      <x:c r="J181" s="1"/>
      <x:c r="K181" s="1"/>
      <x:c r="L181" s="1"/>
      <x:c r="M181" s="1"/>
      <x:c r="N181" s="1"/>
      <x:c r="O181" s="1"/>
      <x:c r="P181" s="1"/>
      <x:c r="Q181" s="1"/>
      <x:c r="R181" s="1"/>
      <x:c r="S181" s="1"/>
      <x:c r="T181" s="1"/>
    </x:row>
    <x:row r="182" ht="18" customHeight="1">
      <x:c r="A182" s="1"/>
      <x:c r="B182" s="1"/>
      <x:c r="C182" s="1"/>
      <x:c r="D182" s="1"/>
      <x:c r="E182" s="1"/>
      <x:c r="F182" s="1"/>
      <x:c r="G182" s="1"/>
      <x:c r="H182" s="1"/>
      <x:c r="I182" s="1"/>
      <x:c r="J182" s="1"/>
      <x:c r="K182" s="1"/>
      <x:c r="L182" s="1"/>
      <x:c r="M182" s="1"/>
      <x:c r="N182" s="1"/>
      <x:c r="O182" s="1"/>
      <x:c r="P182" s="1"/>
      <x:c r="Q182" s="1"/>
      <x:c r="R182" s="1"/>
      <x:c r="S182" s="1"/>
      <x:c r="T182" s="1"/>
    </x:row>
    <x:row r="183" ht="18" customHeight="1">
      <x:c r="A183" s="1"/>
      <x:c r="B183" s="1"/>
      <x:c r="C183" s="1"/>
      <x:c r="D183" s="1"/>
      <x:c r="E183" s="1"/>
      <x:c r="F183" s="1"/>
      <x:c r="G183" s="1"/>
      <x:c r="H183" s="1"/>
      <x:c r="I183" s="1"/>
      <x:c r="J183" s="1"/>
      <x:c r="K183" s="1"/>
      <x:c r="L183" s="1"/>
      <x:c r="M183" s="1"/>
      <x:c r="N183" s="1"/>
      <x:c r="O183" s="1"/>
      <x:c r="P183" s="1"/>
      <x:c r="Q183" s="1"/>
      <x:c r="R183" s="1"/>
      <x:c r="S183" s="1"/>
      <x:c r="T183" s="1"/>
    </x:row>
    <x:row r="184" ht="18" customHeight="1">
      <x:c r="A184" s="1"/>
      <x:c r="B184" s="1"/>
      <x:c r="C184" s="1"/>
      <x:c r="D184" s="1"/>
      <x:c r="E184" s="1"/>
      <x:c r="F184" s="1"/>
      <x:c r="G184" s="1"/>
      <x:c r="H184" s="1"/>
      <x:c r="I184" s="1"/>
      <x:c r="J184" s="1"/>
      <x:c r="K184" s="1"/>
      <x:c r="L184" s="1"/>
      <x:c r="M184" s="1"/>
      <x:c r="N184" s="1"/>
      <x:c r="O184" s="1"/>
      <x:c r="P184" s="1"/>
      <x:c r="Q184" s="1"/>
      <x:c r="R184" s="1"/>
      <x:c r="S184" s="1"/>
      <x:c r="T184" s="1"/>
    </x:row>
    <x:row r="185" ht="18" customHeight="1">
      <x:c r="A185" s="1"/>
      <x:c r="B185" s="1"/>
      <x:c r="C185" s="1"/>
      <x:c r="D185" s="1"/>
      <x:c r="E185" s="1"/>
      <x:c r="F185" s="1"/>
      <x:c r="G185" s="1"/>
      <x:c r="H185" s="1"/>
      <x:c r="I185" s="1"/>
      <x:c r="J185" s="1"/>
      <x:c r="K185" s="1"/>
      <x:c r="L185" s="1"/>
      <x:c r="M185" s="1"/>
      <x:c r="N185" s="1"/>
      <x:c r="O185" s="1"/>
      <x:c r="P185" s="1"/>
      <x:c r="Q185" s="1"/>
      <x:c r="R185" s="1"/>
      <x:c r="S185" s="1"/>
      <x:c r="T185" s="1"/>
    </x:row>
    <x:row r="186" ht="18" customHeight="1">
      <x:c r="A186" s="1"/>
      <x:c r="B186" s="1"/>
      <x:c r="C186" s="1"/>
      <x:c r="D186" s="1"/>
      <x:c r="E186" s="1"/>
      <x:c r="F186" s="1"/>
      <x:c r="G186" s="1"/>
      <x:c r="H186" s="1"/>
      <x:c r="I186" s="1"/>
      <x:c r="J186" s="1"/>
      <x:c r="K186" s="1"/>
      <x:c r="L186" s="1"/>
      <x:c r="M186" s="1"/>
      <x:c r="N186" s="1"/>
      <x:c r="O186" s="1"/>
      <x:c r="P186" s="1"/>
      <x:c r="Q186" s="1"/>
      <x:c r="R186" s="1"/>
      <x:c r="S186" s="1"/>
      <x:c r="T186" s="1"/>
    </x:row>
    <x:row r="187" ht="18" customHeight="1">
      <x:c r="A187" s="1"/>
      <x:c r="B187" s="1"/>
      <x:c r="C187" s="1"/>
      <x:c r="D187" s="1"/>
      <x:c r="E187" s="1"/>
      <x:c r="F187" s="1"/>
      <x:c r="G187" s="1"/>
      <x:c r="H187" s="1"/>
      <x:c r="I187" s="1"/>
      <x:c r="J187" s="1"/>
      <x:c r="K187" s="1"/>
      <x:c r="L187" s="1"/>
      <x:c r="M187" s="1"/>
      <x:c r="N187" s="1"/>
      <x:c r="O187" s="1"/>
      <x:c r="P187" s="1"/>
      <x:c r="Q187" s="1"/>
      <x:c r="R187" s="1"/>
      <x:c r="S187" s="1"/>
      <x:c r="T187" s="1"/>
    </x:row>
    <x:row r="188" ht="18" customHeight="1">
      <x:c r="A188" s="1"/>
      <x:c r="B188" s="1"/>
      <x:c r="C188" s="1"/>
      <x:c r="D188" s="1"/>
      <x:c r="E188" s="1"/>
      <x:c r="F188" s="1"/>
      <x:c r="G188" s="1"/>
      <x:c r="H188" s="1"/>
      <x:c r="I188" s="1"/>
      <x:c r="J188" s="1"/>
      <x:c r="K188" s="1"/>
      <x:c r="L188" s="1"/>
      <x:c r="M188" s="1"/>
      <x:c r="N188" s="1"/>
      <x:c r="O188" s="1"/>
      <x:c r="P188" s="1"/>
      <x:c r="Q188" s="1"/>
      <x:c r="R188" s="1"/>
      <x:c r="S188" s="1"/>
      <x:c r="T188" s="1"/>
    </x:row>
    <x:row r="189" ht="18" customHeight="1">
      <x:c r="A189" s="1"/>
      <x:c r="B189" s="1"/>
      <x:c r="C189" s="1"/>
      <x:c r="D189" s="1"/>
      <x:c r="E189" s="1"/>
      <x:c r="F189" s="1"/>
      <x:c r="G189" s="1"/>
      <x:c r="H189" s="1"/>
      <x:c r="I189" s="1"/>
      <x:c r="J189" s="1"/>
      <x:c r="K189" s="1"/>
      <x:c r="L189" s="1"/>
      <x:c r="M189" s="1"/>
      <x:c r="N189" s="1"/>
      <x:c r="O189" s="1"/>
      <x:c r="P189" s="1"/>
      <x:c r="Q189" s="1"/>
      <x:c r="R189" s="1"/>
      <x:c r="S189" s="1"/>
      <x:c r="T189" s="1"/>
    </x:row>
    <x:row r="190" ht="18" customHeight="1">
      <x:c r="A190" s="1"/>
      <x:c r="B190" s="1"/>
      <x:c r="C190" s="1"/>
      <x:c r="D190" s="1"/>
      <x:c r="E190" s="1"/>
      <x:c r="F190" s="1"/>
      <x:c r="G190" s="1"/>
      <x:c r="H190" s="1"/>
      <x:c r="I190" s="1"/>
      <x:c r="J190" s="1"/>
      <x:c r="K190" s="1"/>
      <x:c r="L190" s="1"/>
      <x:c r="M190" s="1"/>
      <x:c r="N190" s="1"/>
      <x:c r="O190" s="1"/>
      <x:c r="P190" s="1"/>
      <x:c r="Q190" s="1"/>
      <x:c r="R190" s="1"/>
      <x:c r="S190" s="1"/>
      <x:c r="T190" s="1"/>
    </x:row>
    <x:row r="191" ht="18" customHeight="1">
      <x:c r="A191" s="1"/>
      <x:c r="B191" s="1"/>
      <x:c r="C191" s="1"/>
      <x:c r="D191" s="1"/>
      <x:c r="E191" s="1"/>
      <x:c r="F191" s="1"/>
      <x:c r="G191" s="1"/>
      <x:c r="H191" s="1"/>
      <x:c r="I191" s="1"/>
      <x:c r="J191" s="1"/>
      <x:c r="K191" s="1"/>
      <x:c r="L191" s="1"/>
      <x:c r="M191" s="1"/>
      <x:c r="N191" s="1"/>
      <x:c r="O191" s="1"/>
      <x:c r="P191" s="1"/>
      <x:c r="Q191" s="1"/>
      <x:c r="R191" s="1"/>
      <x:c r="S191" s="1"/>
      <x:c r="T191" s="1"/>
    </x:row>
    <x:row r="192" ht="18" customHeight="1">
      <x:c r="A192" s="1"/>
      <x:c r="B192" s="1"/>
      <x:c r="C192" s="1"/>
      <x:c r="D192" s="1"/>
      <x:c r="E192" s="1"/>
      <x:c r="F192" s="1"/>
      <x:c r="G192" s="1"/>
      <x:c r="H192" s="1"/>
      <x:c r="I192" s="1"/>
      <x:c r="J192" s="1"/>
      <x:c r="K192" s="1"/>
      <x:c r="L192" s="1"/>
      <x:c r="M192" s="1"/>
      <x:c r="N192" s="1"/>
      <x:c r="O192" s="1"/>
      <x:c r="P192" s="1"/>
      <x:c r="Q192" s="1"/>
      <x:c r="R192" s="1"/>
      <x:c r="S192" s="1"/>
      <x:c r="T192" s="1"/>
    </x:row>
    <x:row r="193" ht="18" customHeight="1">
      <x:c r="A193" s="1"/>
      <x:c r="B193" s="1"/>
      <x:c r="C193" s="1"/>
      <x:c r="D193" s="1"/>
      <x:c r="E193" s="1"/>
      <x:c r="F193" s="1"/>
      <x:c r="G193" s="1"/>
      <x:c r="H193" s="1"/>
      <x:c r="I193" s="1"/>
      <x:c r="J193" s="1"/>
      <x:c r="K193" s="1"/>
      <x:c r="L193" s="1"/>
      <x:c r="M193" s="1"/>
      <x:c r="N193" s="1"/>
      <x:c r="O193" s="1"/>
      <x:c r="P193" s="1"/>
      <x:c r="Q193" s="1"/>
      <x:c r="R193" s="1"/>
      <x:c r="S193" s="1"/>
      <x:c r="T193" s="1"/>
    </x:row>
    <x:row r="194" ht="18" customHeight="1">
      <x:c r="A194" s="1"/>
      <x:c r="B194" s="1"/>
      <x:c r="C194" s="1"/>
      <x:c r="D194" s="1"/>
      <x:c r="E194" s="1"/>
      <x:c r="F194" s="1"/>
      <x:c r="G194" s="1"/>
      <x:c r="H194" s="1"/>
      <x:c r="I194" s="1"/>
      <x:c r="J194" s="1"/>
      <x:c r="K194" s="1"/>
      <x:c r="L194" s="1"/>
      <x:c r="M194" s="1"/>
      <x:c r="N194" s="1"/>
      <x:c r="O194" s="1"/>
      <x:c r="P194" s="1"/>
      <x:c r="Q194" s="1"/>
      <x:c r="R194" s="1"/>
      <x:c r="S194" s="1"/>
      <x:c r="T194" s="1"/>
    </x:row>
    <x:row r="195" ht="18" customHeight="1">
      <x:c r="A195" s="1"/>
      <x:c r="B195" s="1"/>
      <x:c r="C195" s="1"/>
      <x:c r="D195" s="1"/>
      <x:c r="E195" s="1"/>
      <x:c r="F195" s="1"/>
      <x:c r="G195" s="1"/>
      <x:c r="H195" s="1"/>
      <x:c r="I195" s="1"/>
      <x:c r="J195" s="1"/>
      <x:c r="K195" s="1"/>
      <x:c r="L195" s="1"/>
      <x:c r="M195" s="1"/>
      <x:c r="N195" s="1"/>
      <x:c r="O195" s="1"/>
      <x:c r="P195" s="1"/>
      <x:c r="Q195" s="1"/>
      <x:c r="R195" s="1"/>
      <x:c r="S195" s="1"/>
      <x:c r="T195" s="1"/>
    </x:row>
    <x:row r="196" ht="18" customHeight="1">
      <x:c r="A196" s="1"/>
      <x:c r="B196" s="1"/>
      <x:c r="C196" s="1"/>
      <x:c r="D196" s="1"/>
      <x:c r="E196" s="1"/>
      <x:c r="F196" s="1"/>
      <x:c r="G196" s="1"/>
      <x:c r="H196" s="1"/>
      <x:c r="I196" s="1"/>
      <x:c r="J196" s="1"/>
      <x:c r="K196" s="1"/>
      <x:c r="L196" s="1"/>
      <x:c r="M196" s="1"/>
      <x:c r="N196" s="1"/>
      <x:c r="O196" s="1"/>
      <x:c r="P196" s="1"/>
      <x:c r="Q196" s="1"/>
      <x:c r="R196" s="1"/>
      <x:c r="S196" s="1"/>
      <x:c r="T196" s="1"/>
    </x:row>
    <x:row r="197" ht="18" customHeight="1">
      <x:c r="A197" s="1"/>
      <x:c r="B197" s="1"/>
      <x:c r="C197" s="1"/>
      <x:c r="D197" s="1"/>
      <x:c r="E197" s="1"/>
      <x:c r="F197" s="1"/>
      <x:c r="G197" s="1"/>
      <x:c r="H197" s="1"/>
      <x:c r="I197" s="1"/>
      <x:c r="J197" s="1"/>
      <x:c r="K197" s="1"/>
      <x:c r="L197" s="1"/>
      <x:c r="M197" s="1"/>
      <x:c r="N197" s="1"/>
      <x:c r="O197" s="1"/>
      <x:c r="P197" s="1"/>
      <x:c r="Q197" s="1"/>
      <x:c r="R197" s="1"/>
      <x:c r="S197" s="1"/>
      <x:c r="T197" s="1"/>
    </x:row>
    <x:row r="198" ht="18" customHeight="1">
      <x:c r="A198" s="1"/>
      <x:c r="B198" s="1"/>
      <x:c r="C198" s="1"/>
      <x:c r="D198" s="1"/>
      <x:c r="E198" s="1"/>
      <x:c r="F198" s="1"/>
      <x:c r="G198" s="1"/>
      <x:c r="H198" s="1"/>
      <x:c r="I198" s="1"/>
      <x:c r="J198" s="1"/>
      <x:c r="K198" s="1"/>
      <x:c r="L198" s="1"/>
      <x:c r="M198" s="1"/>
      <x:c r="N198" s="1"/>
      <x:c r="O198" s="1"/>
      <x:c r="P198" s="1"/>
      <x:c r="Q198" s="1"/>
      <x:c r="R198" s="1"/>
      <x:c r="S198" s="1"/>
      <x:c r="T198" s="1"/>
    </x:row>
    <x:row r="199" ht="18" customHeight="1">
      <x:c r="A199" s="1"/>
      <x:c r="B199" s="1"/>
      <x:c r="C199" s="1"/>
      <x:c r="D199" s="1"/>
      <x:c r="E199" s="1"/>
      <x:c r="F199" s="1"/>
      <x:c r="G199" s="1"/>
      <x:c r="H199" s="1"/>
      <x:c r="I199" s="1"/>
      <x:c r="J199" s="1"/>
      <x:c r="K199" s="1"/>
      <x:c r="L199" s="1"/>
      <x:c r="M199" s="1"/>
      <x:c r="N199" s="1"/>
      <x:c r="O199" s="1"/>
      <x:c r="P199" s="1"/>
      <x:c r="Q199" s="1"/>
      <x:c r="R199" s="1"/>
      <x:c r="S199" s="1"/>
      <x:c r="T199" s="1"/>
    </x:row>
    <x:row r="200" ht="18" customHeight="1">
      <x:c r="A200" s="1"/>
      <x:c r="B200" s="1"/>
      <x:c r="C200" s="1"/>
      <x:c r="D200" s="1"/>
      <x:c r="E200" s="1"/>
      <x:c r="F200" s="1"/>
      <x:c r="G200" s="1"/>
      <x:c r="H200" s="1"/>
      <x:c r="I200" s="1"/>
      <x:c r="J200" s="1"/>
      <x:c r="K200" s="1"/>
      <x:c r="L200" s="1"/>
      <x:c r="M200" s="1"/>
      <x:c r="N200" s="1"/>
      <x:c r="O200" s="1"/>
      <x:c r="P200" s="1"/>
      <x:c r="Q200" s="1"/>
      <x:c r="R200" s="1"/>
      <x:c r="S200" s="1"/>
      <x:c r="T200" s="1"/>
    </x:row>
    <x:row r="201" ht="18" customHeight="1">
      <x:c r="A201" s="1"/>
      <x:c r="B201" s="1"/>
      <x:c r="C201" s="1"/>
      <x:c r="D201" s="1"/>
      <x:c r="E201" s="1"/>
      <x:c r="F201" s="1"/>
      <x:c r="G201" s="1"/>
      <x:c r="H201" s="1"/>
      <x:c r="I201" s="1"/>
      <x:c r="J201" s="1"/>
      <x:c r="K201" s="1"/>
      <x:c r="L201" s="1"/>
      <x:c r="M201" s="1"/>
      <x:c r="N201" s="1"/>
      <x:c r="O201" s="1"/>
      <x:c r="P201" s="1"/>
      <x:c r="Q201" s="1"/>
      <x:c r="R201" s="1"/>
      <x:c r="S201" s="1"/>
      <x:c r="T201" s="1"/>
    </x:row>
    <x:row r="202" ht="18" customHeight="1">
      <x:c r="A202" s="1"/>
      <x:c r="B202" s="1"/>
      <x:c r="C202" s="1"/>
      <x:c r="D202" s="1"/>
      <x:c r="E202" s="1"/>
      <x:c r="F202" s="1"/>
      <x:c r="G202" s="1"/>
      <x:c r="H202" s="1"/>
      <x:c r="I202" s="1"/>
      <x:c r="J202" s="1"/>
      <x:c r="K202" s="1"/>
      <x:c r="L202" s="1"/>
      <x:c r="M202" s="1"/>
      <x:c r="N202" s="1"/>
      <x:c r="O202" s="1"/>
      <x:c r="P202" s="1"/>
      <x:c r="Q202" s="1"/>
      <x:c r="R202" s="1"/>
      <x:c r="S202" s="1"/>
      <x:c r="T202" s="1"/>
    </x:row>
    <x:row r="203" ht="18" customHeight="1">
      <x:c r="A203" s="1"/>
      <x:c r="B203" s="1"/>
      <x:c r="C203" s="1"/>
      <x:c r="D203" s="1"/>
      <x:c r="E203" s="1"/>
      <x:c r="F203" s="1"/>
      <x:c r="G203" s="1"/>
      <x:c r="H203" s="1"/>
      <x:c r="I203" s="1"/>
      <x:c r="J203" s="1"/>
      <x:c r="K203" s="1"/>
      <x:c r="L203" s="1"/>
      <x:c r="M203" s="1"/>
      <x:c r="N203" s="1"/>
      <x:c r="O203" s="1"/>
      <x:c r="P203" s="1"/>
      <x:c r="Q203" s="1"/>
      <x:c r="R203" s="1"/>
      <x:c r="S203" s="1"/>
      <x:c r="T203" s="1"/>
    </x:row>
    <x:row r="204" ht="18" customHeight="1">
      <x:c r="A204" s="1"/>
      <x:c r="B204" s="1"/>
      <x:c r="C204" s="1"/>
      <x:c r="D204" s="1"/>
      <x:c r="E204" s="1"/>
      <x:c r="F204" s="1"/>
      <x:c r="G204" s="1"/>
      <x:c r="H204" s="1"/>
      <x:c r="I204" s="1"/>
      <x:c r="J204" s="1"/>
      <x:c r="K204" s="1"/>
      <x:c r="L204" s="1"/>
      <x:c r="M204" s="1"/>
      <x:c r="N204" s="1"/>
      <x:c r="O204" s="1"/>
      <x:c r="P204" s="1"/>
      <x:c r="Q204" s="1"/>
      <x:c r="R204" s="1"/>
      <x:c r="S204" s="1"/>
      <x:c r="T204" s="1"/>
    </x:row>
    <x:row r="205" ht="18" customHeight="1">
      <x:c r="A205" s="1"/>
      <x:c r="B205" s="1"/>
      <x:c r="C205" s="1"/>
      <x:c r="D205" s="1"/>
      <x:c r="E205" s="1"/>
      <x:c r="F205" s="1"/>
      <x:c r="G205" s="1"/>
      <x:c r="H205" s="1"/>
      <x:c r="I205" s="1"/>
      <x:c r="J205" s="1"/>
      <x:c r="K205" s="1"/>
      <x:c r="L205" s="1"/>
      <x:c r="M205" s="1"/>
      <x:c r="N205" s="1"/>
      <x:c r="O205" s="1"/>
      <x:c r="P205" s="1"/>
      <x:c r="Q205" s="1"/>
      <x:c r="R205" s="1"/>
      <x:c r="S205" s="1"/>
      <x:c r="T205" s="1"/>
    </x:row>
    <x:row r="206" ht="18" customHeight="1">
      <x:c r="A206" s="1"/>
      <x:c r="B206" s="1"/>
      <x:c r="C206" s="1"/>
      <x:c r="D206" s="1"/>
      <x:c r="E206" s="1"/>
      <x:c r="F206" s="1"/>
      <x:c r="G206" s="1"/>
      <x:c r="H206" s="1"/>
      <x:c r="I206" s="1"/>
      <x:c r="J206" s="1"/>
      <x:c r="K206" s="1"/>
      <x:c r="L206" s="1"/>
      <x:c r="M206" s="1"/>
      <x:c r="N206" s="1"/>
      <x:c r="O206" s="1"/>
      <x:c r="P206" s="1"/>
      <x:c r="Q206" s="1"/>
      <x:c r="R206" s="1"/>
      <x:c r="S206" s="1"/>
      <x:c r="T206" s="1"/>
    </x:row>
    <x:row r="207" ht="18" customHeight="1">
      <x:c r="A207" s="1"/>
      <x:c r="B207" s="1"/>
      <x:c r="C207" s="1"/>
      <x:c r="D207" s="1"/>
      <x:c r="E207" s="1"/>
      <x:c r="F207" s="1"/>
      <x:c r="G207" s="1"/>
      <x:c r="H207" s="1"/>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sheetData>
  <x:mergeCells>
    <x:mergeCell ref="B3:J3"/>
    <x:mergeCell ref="B4:J4"/>
    <x:mergeCell ref="B6:J6"/>
    <x:mergeCell ref="B8:C9"/>
    <x:mergeCell ref="D8:E9"/>
    <x:mergeCell ref="F8:G9"/>
    <x:mergeCell ref="H8:J9"/>
    <x:mergeCell ref="B12:J12"/>
    <x:mergeCell ref="B14:J17"/>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6" hidden="0" customWidth="1"/>
    <x:col min="3" max="3" width="13" hidden="0" customWidth="1"/>
    <x:col min="4" max="4" width="15" hidden="0" customWidth="1"/>
    <x:col min="5" max="5" width="43.0099983215332" hidden="0" customWidth="1"/>
    <x:col min="6" max="6" width="10" hidden="0" customWidth="1"/>
    <x:col min="7" max="7" width="10" hidden="0" customWidth="1"/>
    <x:col min="8" max="8" width="35.0099983215332" hidden="0" customWidth="1"/>
    <x:col min="9" max="9" width="1.649999976158142" hidden="0" customWidth="1"/>
    <x:col min="10" max="10" width="1.649999976158142"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Offene Vorgänge</x:v>
      </x:c>
      <x:c r="C3" s="5"/>
      <x:c r="D3" s="5"/>
      <x:c r="E3" s="5"/>
      <x:c r="F3" s="5"/>
      <x:c r="G3" s="5"/>
      <x:c r="H3" s="5"/>
      <x:c r="I3" s="1"/>
      <x:c r="J3" s="1"/>
      <x:c r="K3" s="1"/>
      <x:c r="L3" s="1"/>
      <x:c r="M3" s="1"/>
      <x:c r="N3" s="1"/>
      <x:c r="O3" s="1"/>
      <x:c r="P3" s="1"/>
      <x:c r="Q3" s="1"/>
      <x:c r="R3" s="1"/>
      <x:c r="S3" s="1"/>
      <x:c r="T3" s="1"/>
    </x:row>
    <x:row r="4" ht="20.017499923706055" customHeight="1">
      <x:c r="A4" s="1"/>
      <x:c r="B4" s="8" t="str">
        <x:v>Einmal eintragen · fällige und überfällige Punkte erscheinen auf Start · Abschluss mit x</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14" t="str">
        <x:v>Nr.</x:v>
      </x:c>
      <x:c r="C7" s="14" t="str">
        <x:v>Fällig</x:v>
      </x:c>
      <x:c r="D7" s="14" t="str">
        <x:v>Schüler/in / Bereich</x:v>
      </x:c>
      <x:c r="E7" s="14" t="str">
        <x:v>Vorgang</x:v>
      </x:c>
      <x:c r="F7" s="14" t="str">
        <x:v>Priorität</x:v>
      </x:c>
      <x:c r="G7" s="14" t="str">
        <x:v>Erledigt</x:v>
      </x:c>
      <x:c r="H7" s="14" t="str">
        <x:v>Notiz</x:v>
      </x:c>
      <x:c r="I7" s="51"/>
      <x:c r="J7" s="51"/>
      <x:c r="K7" s="1"/>
      <x:c r="L7" s="1"/>
      <x:c r="M7" s="1"/>
      <x:c r="N7" s="1"/>
      <x:c r="O7" s="1"/>
      <x:c r="P7" s="1"/>
      <x:c r="Q7" s="1"/>
      <x:c r="R7" s="1"/>
      <x:c r="S7" s="1"/>
      <x:c r="T7" s="1"/>
    </x:row>
    <x:row r="8" ht="18" customHeight="1">
      <x:c r="A8" s="1"/>
      <x:c r="B8" s="19" t="n">
        <x:v>1</x:v>
      </x:c>
      <x:c r="C8" s="32" t="n">
        <x:f>TODAY()-1</x:f>
        <x:v>46237</x:v>
      </x:c>
      <x:c r="D8" s="33" t="str">
        <x:v>Anna Beispiel</x:v>
      </x:c>
      <x:c r="E8" s="27" t="str">
        <x:v>Entschuldigung für den Fehltag prüfen</x:v>
      </x:c>
      <x:c r="F8" s="34" t="str">
        <x:v>A</x:v>
      </x:c>
      <x:c r="G8" s="34" t="str"/>
      <x:c r="H8" s="27" t="str">
        <x:v>Beispiel: überfällig · später löschen</x:v>
      </x:c>
      <x:c r="I8" s="51" t="str">
        <x:f>IF($G8="x",COUNTIF($G$8:$G8,"x"),"")</x:f>
      </x:c>
      <x:c r="J8" s="51" t="n">
        <x:f>IF(OR($E8="",$G8="x"),1E+99,IF($C8="",TODAY()+3650,$C8)+ROW()/100000)</x:f>
        <x:v>46237.00008</x:v>
      </x:c>
      <x:c r="K8" s="1"/>
      <x:c r="L8" s="1"/>
      <x:c r="M8" s="1"/>
      <x:c r="N8" s="1"/>
      <x:c r="O8" s="1"/>
      <x:c r="P8" s="1"/>
      <x:c r="Q8" s="1"/>
      <x:c r="R8" s="1"/>
      <x:c r="S8" s="1"/>
      <x:c r="T8" s="1"/>
    </x:row>
    <x:row r="9" ht="18" customHeight="1">
      <x:c r="A9" s="1"/>
      <x:c r="B9" s="19" t="n">
        <x:v>2</x:v>
      </x:c>
      <x:c r="C9" s="32" t="n">
        <x:f>TODAY()+7</x:f>
        <x:v>46245</x:v>
      </x:c>
      <x:c r="D9" s="33" t="str">
        <x:v>Klasse 8a</x:v>
      </x:c>
      <x:c r="E9" s="27" t="str">
        <x:v>Rückläufe zum Wandertag prüfen</x:v>
      </x:c>
      <x:c r="F9" s="34" t="str">
        <x:v>B</x:v>
      </x:c>
      <x:c r="G9" s="34" t="str"/>
      <x:c r="H9" s="27" t="str">
        <x:v>Beispiel: demnächst fällig · später löschen</x:v>
      </x:c>
      <x:c r="I9" s="51" t="str">
        <x:f>IF($G9="x",COUNTIF($G$8:$G9,"x"),"")</x:f>
      </x:c>
      <x:c r="J9" s="51" t="n">
        <x:f>IF(OR($E9="",$G9="x"),1E+99,IF($C9="",TODAY()+3650,$C9)+ROW()/100000)</x:f>
        <x:v>46245.00009</x:v>
      </x:c>
      <x:c r="K9" s="1"/>
      <x:c r="L9" s="1"/>
      <x:c r="M9" s="1"/>
      <x:c r="N9" s="1"/>
      <x:c r="O9" s="1"/>
      <x:c r="P9" s="1"/>
      <x:c r="Q9" s="1"/>
      <x:c r="R9" s="1"/>
      <x:c r="S9" s="1"/>
      <x:c r="T9" s="1"/>
    </x:row>
    <x:row r="10" ht="18" customHeight="1">
      <x:c r="A10" s="1"/>
      <x:c r="B10" s="19" t="n">
        <x:v>3</x:v>
      </x:c>
      <x:c r="C10" s="32" t="n">
        <x:f>TODAY()-3</x:f>
        <x:v>46235</x:v>
      </x:c>
      <x:c r="D10" s="33" t="str">
        <x:v>Carla Beispiel</x:v>
      </x:c>
      <x:c r="E10" s="27" t="str">
        <x:v>Einverständniserklärung abgelegt</x:v>
      </x:c>
      <x:c r="F10" s="34" t="str">
        <x:v>C</x:v>
      </x:c>
      <x:c r="G10" s="34" t="str">
        <x:v>x</x:v>
      </x:c>
      <x:c r="H10" s="27" t="str">
        <x:v>Beispiel: erledigt · später löschen</x:v>
      </x:c>
      <x:c r="I10" s="51" t="n">
        <x:f>IF($G10="x",COUNTIF($G$8:$G10,"x"),"")</x:f>
        <x:v>1</x:v>
      </x:c>
      <x:c r="J10" s="51" t="n">
        <x:f>IF(OR($E10="",$G10="x"),1E+99,IF($C10="",TODAY()+3650,$C10)+ROW()/100000)</x:f>
        <x:v>1e+99</x:v>
      </x:c>
      <x:c r="K10" s="1"/>
      <x:c r="L10" s="1"/>
      <x:c r="M10" s="1"/>
      <x:c r="N10" s="1"/>
      <x:c r="O10" s="1"/>
      <x:c r="P10" s="1"/>
      <x:c r="Q10" s="1"/>
      <x:c r="R10" s="1"/>
      <x:c r="S10" s="1"/>
      <x:c r="T10" s="1"/>
    </x:row>
    <x:row r="11" ht="18" customHeight="1">
      <x:c r="A11" s="1"/>
      <x:c r="B11" s="19" t="n">
        <x:v>4</x:v>
      </x:c>
      <x:c r="C11" s="32"/>
      <x:c r="D11" s="33"/>
      <x:c r="E11" s="27"/>
      <x:c r="F11" s="34"/>
      <x:c r="G11" s="34"/>
      <x:c r="H11" s="27"/>
      <x:c r="I11" s="51" t="str">
        <x:f>IF($G11="x",COUNTIF($G$8:$G11,"x"),"")</x:f>
      </x:c>
      <x:c r="J11" s="51" t="n">
        <x:f>IF(OR($E11="",$G11="x"),1E+99,IF($C11="",TODAY()+3650,$C11)+ROW()/100000)</x:f>
        <x:v>1e+99</x:v>
      </x:c>
      <x:c r="K11" s="1"/>
      <x:c r="L11" s="1"/>
      <x:c r="M11" s="1"/>
      <x:c r="N11" s="1"/>
      <x:c r="O11" s="1"/>
      <x:c r="P11" s="1"/>
      <x:c r="Q11" s="1"/>
      <x:c r="R11" s="1"/>
      <x:c r="S11" s="1"/>
      <x:c r="T11" s="1"/>
    </x:row>
    <x:row r="12" ht="18" customHeight="1">
      <x:c r="A12" s="1"/>
      <x:c r="B12" s="19" t="n">
        <x:v>5</x:v>
      </x:c>
      <x:c r="C12" s="32"/>
      <x:c r="D12" s="33"/>
      <x:c r="E12" s="27"/>
      <x:c r="F12" s="34"/>
      <x:c r="G12" s="34"/>
      <x:c r="H12" s="27"/>
      <x:c r="I12" s="51" t="str">
        <x:f>IF($G12="x",COUNTIF($G$8:$G12,"x"),"")</x:f>
      </x:c>
      <x:c r="J12" s="51" t="n">
        <x:f>IF(OR($E12="",$G12="x"),1E+99,IF($C12="",TODAY()+3650,$C12)+ROW()/100000)</x:f>
        <x:v>1e+99</x:v>
      </x:c>
      <x:c r="K12" s="1"/>
      <x:c r="L12" s="1"/>
      <x:c r="M12" s="1"/>
      <x:c r="N12" s="1"/>
      <x:c r="O12" s="1"/>
      <x:c r="P12" s="1"/>
      <x:c r="Q12" s="1"/>
      <x:c r="R12" s="1"/>
      <x:c r="S12" s="1"/>
      <x:c r="T12" s="1"/>
    </x:row>
    <x:row r="13" ht="18" customHeight="1">
      <x:c r="A13" s="1"/>
      <x:c r="B13" s="19" t="n">
        <x:v>6</x:v>
      </x:c>
      <x:c r="C13" s="32"/>
      <x:c r="D13" s="33"/>
      <x:c r="E13" s="27"/>
      <x:c r="F13" s="34"/>
      <x:c r="G13" s="34"/>
      <x:c r="H13" s="27"/>
      <x:c r="I13" s="51" t="str">
        <x:f>IF($G13="x",COUNTIF($G$8:$G13,"x"),"")</x:f>
      </x:c>
      <x:c r="J13" s="51" t="n">
        <x:f>IF(OR($E13="",$G13="x"),1E+99,IF($C13="",TODAY()+3650,$C13)+ROW()/100000)</x:f>
        <x:v>1e+99</x:v>
      </x:c>
      <x:c r="K13" s="1"/>
      <x:c r="L13" s="1"/>
      <x:c r="M13" s="1"/>
      <x:c r="N13" s="1"/>
      <x:c r="O13" s="1"/>
      <x:c r="P13" s="1"/>
      <x:c r="Q13" s="1"/>
      <x:c r="R13" s="1"/>
      <x:c r="S13" s="1"/>
      <x:c r="T13" s="1"/>
    </x:row>
    <x:row r="14" ht="18" customHeight="1">
      <x:c r="A14" s="1"/>
      <x:c r="B14" s="19" t="n">
        <x:v>7</x:v>
      </x:c>
      <x:c r="C14" s="32"/>
      <x:c r="D14" s="33"/>
      <x:c r="E14" s="27"/>
      <x:c r="F14" s="34"/>
      <x:c r="G14" s="34"/>
      <x:c r="H14" s="27"/>
      <x:c r="I14" s="51" t="str">
        <x:f>IF($G14="x",COUNTIF($G$8:$G14,"x"),"")</x:f>
      </x:c>
      <x:c r="J14" s="51" t="n">
        <x:f>IF(OR($E14="",$G14="x"),1E+99,IF($C14="",TODAY()+3650,$C14)+ROW()/100000)</x:f>
        <x:v>1e+99</x:v>
      </x:c>
      <x:c r="K14" s="1"/>
      <x:c r="L14" s="1"/>
      <x:c r="M14" s="1"/>
      <x:c r="N14" s="1"/>
      <x:c r="O14" s="1"/>
      <x:c r="P14" s="1"/>
      <x:c r="Q14" s="1"/>
      <x:c r="R14" s="1"/>
      <x:c r="S14" s="1"/>
      <x:c r="T14" s="1"/>
    </x:row>
    <x:row r="15" ht="18" customHeight="1">
      <x:c r="A15" s="1"/>
      <x:c r="B15" s="19" t="n">
        <x:v>8</x:v>
      </x:c>
      <x:c r="C15" s="32"/>
      <x:c r="D15" s="33"/>
      <x:c r="E15" s="27"/>
      <x:c r="F15" s="34"/>
      <x:c r="G15" s="34"/>
      <x:c r="H15" s="27"/>
      <x:c r="I15" s="51" t="str">
        <x:f>IF($G15="x",COUNTIF($G$8:$G15,"x"),"")</x:f>
      </x:c>
      <x:c r="J15" s="51" t="n">
        <x:f>IF(OR($E15="",$G15="x"),1E+99,IF($C15="",TODAY()+3650,$C15)+ROW()/100000)</x:f>
        <x:v>1e+99</x:v>
      </x:c>
      <x:c r="K15" s="1"/>
      <x:c r="L15" s="1"/>
      <x:c r="M15" s="1"/>
      <x:c r="N15" s="1"/>
      <x:c r="O15" s="1"/>
      <x:c r="P15" s="1"/>
      <x:c r="Q15" s="1"/>
      <x:c r="R15" s="1"/>
      <x:c r="S15" s="1"/>
      <x:c r="T15" s="1"/>
    </x:row>
    <x:row r="16" ht="18" customHeight="1">
      <x:c r="A16" s="1"/>
      <x:c r="B16" s="19" t="n">
        <x:v>9</x:v>
      </x:c>
      <x:c r="C16" s="32"/>
      <x:c r="D16" s="33"/>
      <x:c r="E16" s="27"/>
      <x:c r="F16" s="34"/>
      <x:c r="G16" s="34"/>
      <x:c r="H16" s="27"/>
      <x:c r="I16" s="51" t="str">
        <x:f>IF($G16="x",COUNTIF($G$8:$G16,"x"),"")</x:f>
      </x:c>
      <x:c r="J16" s="51" t="n">
        <x:f>IF(OR($E16="",$G16="x"),1E+99,IF($C16="",TODAY()+3650,$C16)+ROW()/100000)</x:f>
        <x:v>1e+99</x:v>
      </x:c>
      <x:c r="K16" s="1"/>
      <x:c r="L16" s="1"/>
      <x:c r="M16" s="1"/>
      <x:c r="N16" s="1"/>
      <x:c r="O16" s="1"/>
      <x:c r="P16" s="1"/>
      <x:c r="Q16" s="1"/>
      <x:c r="R16" s="1"/>
      <x:c r="S16" s="1"/>
      <x:c r="T16" s="1"/>
    </x:row>
    <x:row r="17" ht="18" customHeight="1">
      <x:c r="A17" s="1"/>
      <x:c r="B17" s="19" t="n">
        <x:v>10</x:v>
      </x:c>
      <x:c r="C17" s="32"/>
      <x:c r="D17" s="33"/>
      <x:c r="E17" s="27"/>
      <x:c r="F17" s="34"/>
      <x:c r="G17" s="34"/>
      <x:c r="H17" s="27"/>
      <x:c r="I17" s="51" t="str">
        <x:f>IF($G17="x",COUNTIF($G$8:$G17,"x"),"")</x:f>
      </x:c>
      <x:c r="J17" s="51" t="n">
        <x:f>IF(OR($E17="",$G17="x"),1E+99,IF($C17="",TODAY()+3650,$C17)+ROW()/100000)</x:f>
        <x:v>1e+99</x:v>
      </x:c>
      <x:c r="K17" s="1"/>
      <x:c r="L17" s="1"/>
      <x:c r="M17" s="1"/>
      <x:c r="N17" s="1"/>
      <x:c r="O17" s="1"/>
      <x:c r="P17" s="1"/>
      <x:c r="Q17" s="1"/>
      <x:c r="R17" s="1"/>
      <x:c r="S17" s="1"/>
      <x:c r="T17" s="1"/>
    </x:row>
    <x:row r="18" ht="18" customHeight="1">
      <x:c r="A18" s="1"/>
      <x:c r="B18" s="19" t="n">
        <x:v>11</x:v>
      </x:c>
      <x:c r="C18" s="32"/>
      <x:c r="D18" s="33"/>
      <x:c r="E18" s="27"/>
      <x:c r="F18" s="34"/>
      <x:c r="G18" s="34"/>
      <x:c r="H18" s="27"/>
      <x:c r="I18" s="51" t="str">
        <x:f>IF($G18="x",COUNTIF($G$8:$G18,"x"),"")</x:f>
      </x:c>
      <x:c r="J18" s="51" t="n">
        <x:f>IF(OR($E18="",$G18="x"),1E+99,IF($C18="",TODAY()+3650,$C18)+ROW()/100000)</x:f>
        <x:v>1e+99</x:v>
      </x:c>
      <x:c r="K18" s="1"/>
      <x:c r="L18" s="1"/>
      <x:c r="M18" s="1"/>
      <x:c r="N18" s="1"/>
      <x:c r="O18" s="1"/>
      <x:c r="P18" s="1"/>
      <x:c r="Q18" s="1"/>
      <x:c r="R18" s="1"/>
      <x:c r="S18" s="1"/>
      <x:c r="T18" s="1"/>
    </x:row>
    <x:row r="19" ht="18" customHeight="1">
      <x:c r="A19" s="1"/>
      <x:c r="B19" s="19" t="n">
        <x:v>12</x:v>
      </x:c>
      <x:c r="C19" s="32"/>
      <x:c r="D19" s="33"/>
      <x:c r="E19" s="27"/>
      <x:c r="F19" s="34"/>
      <x:c r="G19" s="34"/>
      <x:c r="H19" s="27"/>
      <x:c r="I19" s="51" t="str">
        <x:f>IF($G19="x",COUNTIF($G$8:$G19,"x"),"")</x:f>
      </x:c>
      <x:c r="J19" s="51" t="n">
        <x:f>IF(OR($E19="",$G19="x"),1E+99,IF($C19="",TODAY()+3650,$C19)+ROW()/100000)</x:f>
        <x:v>1e+99</x:v>
      </x:c>
      <x:c r="K19" s="1"/>
      <x:c r="L19" s="1"/>
      <x:c r="M19" s="1"/>
      <x:c r="N19" s="1"/>
      <x:c r="O19" s="1"/>
      <x:c r="P19" s="1"/>
      <x:c r="Q19" s="1"/>
      <x:c r="R19" s="1"/>
      <x:c r="S19" s="1"/>
      <x:c r="T19" s="1"/>
    </x:row>
    <x:row r="20" ht="18" customHeight="1">
      <x:c r="A20" s="1"/>
      <x:c r="B20" s="19" t="n">
        <x:v>13</x:v>
      </x:c>
      <x:c r="C20" s="32"/>
      <x:c r="D20" s="33"/>
      <x:c r="E20" s="27"/>
      <x:c r="F20" s="34"/>
      <x:c r="G20" s="34"/>
      <x:c r="H20" s="27"/>
      <x:c r="I20" s="51" t="str">
        <x:f>IF($G20="x",COUNTIF($G$8:$G20,"x"),"")</x:f>
      </x:c>
      <x:c r="J20" s="51" t="n">
        <x:f>IF(OR($E20="",$G20="x"),1E+99,IF($C20="",TODAY()+3650,$C20)+ROW()/100000)</x:f>
        <x:v>1e+99</x:v>
      </x:c>
      <x:c r="K20" s="1"/>
      <x:c r="L20" s="1"/>
      <x:c r="M20" s="1"/>
      <x:c r="N20" s="1"/>
      <x:c r="O20" s="1"/>
      <x:c r="P20" s="1"/>
      <x:c r="Q20" s="1"/>
      <x:c r="R20" s="1"/>
      <x:c r="S20" s="1"/>
      <x:c r="T20" s="1"/>
    </x:row>
    <x:row r="21" ht="18" customHeight="1">
      <x:c r="A21" s="1"/>
      <x:c r="B21" s="19" t="n">
        <x:v>14</x:v>
      </x:c>
      <x:c r="C21" s="32"/>
      <x:c r="D21" s="33"/>
      <x:c r="E21" s="27"/>
      <x:c r="F21" s="34"/>
      <x:c r="G21" s="34"/>
      <x:c r="H21" s="27"/>
      <x:c r="I21" s="51" t="str">
        <x:f>IF($G21="x",COUNTIF($G$8:$G21,"x"),"")</x:f>
      </x:c>
      <x:c r="J21" s="51" t="n">
        <x:f>IF(OR($E21="",$G21="x"),1E+99,IF($C21="",TODAY()+3650,$C21)+ROW()/100000)</x:f>
        <x:v>1e+99</x:v>
      </x:c>
      <x:c r="K21" s="1"/>
      <x:c r="L21" s="1"/>
      <x:c r="M21" s="1"/>
      <x:c r="N21" s="1"/>
      <x:c r="O21" s="1"/>
      <x:c r="P21" s="1"/>
      <x:c r="Q21" s="1"/>
      <x:c r="R21" s="1"/>
      <x:c r="S21" s="1"/>
      <x:c r="T21" s="1"/>
    </x:row>
    <x:row r="22" ht="18" customHeight="1">
      <x:c r="A22" s="1"/>
      <x:c r="B22" s="19" t="n">
        <x:v>15</x:v>
      </x:c>
      <x:c r="C22" s="32"/>
      <x:c r="D22" s="33"/>
      <x:c r="E22" s="27"/>
      <x:c r="F22" s="34"/>
      <x:c r="G22" s="34"/>
      <x:c r="H22" s="27"/>
      <x:c r="I22" s="51" t="str">
        <x:f>IF($G22="x",COUNTIF($G$8:$G22,"x"),"")</x:f>
      </x:c>
      <x:c r="J22" s="51" t="n">
        <x:f>IF(OR($E22="",$G22="x"),1E+99,IF($C22="",TODAY()+3650,$C22)+ROW()/100000)</x:f>
        <x:v>1e+99</x:v>
      </x:c>
      <x:c r="K22" s="1"/>
      <x:c r="L22" s="1"/>
      <x:c r="M22" s="1"/>
      <x:c r="N22" s="1"/>
      <x:c r="O22" s="1"/>
      <x:c r="P22" s="1"/>
      <x:c r="Q22" s="1"/>
      <x:c r="R22" s="1"/>
      <x:c r="S22" s="1"/>
      <x:c r="T22" s="1"/>
    </x:row>
    <x:row r="23" ht="18" customHeight="1">
      <x:c r="A23" s="1"/>
      <x:c r="B23" s="19" t="n">
        <x:v>16</x:v>
      </x:c>
      <x:c r="C23" s="32"/>
      <x:c r="D23" s="33"/>
      <x:c r="E23" s="27"/>
      <x:c r="F23" s="34"/>
      <x:c r="G23" s="34"/>
      <x:c r="H23" s="27"/>
      <x:c r="I23" s="51" t="str">
        <x:f>IF($G23="x",COUNTIF($G$8:$G23,"x"),"")</x:f>
      </x:c>
      <x:c r="J23" s="51" t="n">
        <x:f>IF(OR($E23="",$G23="x"),1E+99,IF($C23="",TODAY()+3650,$C23)+ROW()/100000)</x:f>
        <x:v>1e+99</x:v>
      </x:c>
      <x:c r="K23" s="1"/>
      <x:c r="L23" s="1"/>
      <x:c r="M23" s="1"/>
      <x:c r="N23" s="1"/>
      <x:c r="O23" s="1"/>
      <x:c r="P23" s="1"/>
      <x:c r="Q23" s="1"/>
      <x:c r="R23" s="1"/>
      <x:c r="S23" s="1"/>
      <x:c r="T23" s="1"/>
    </x:row>
    <x:row r="24" ht="18" customHeight="1">
      <x:c r="A24" s="1"/>
      <x:c r="B24" s="19" t="n">
        <x:v>17</x:v>
      </x:c>
      <x:c r="C24" s="32"/>
      <x:c r="D24" s="33"/>
      <x:c r="E24" s="27"/>
      <x:c r="F24" s="34"/>
      <x:c r="G24" s="34"/>
      <x:c r="H24" s="27"/>
      <x:c r="I24" s="51" t="str">
        <x:f>IF($G24="x",COUNTIF($G$8:$G24,"x"),"")</x:f>
      </x:c>
      <x:c r="J24" s="51" t="n">
        <x:f>IF(OR($E24="",$G24="x"),1E+99,IF($C24="",TODAY()+3650,$C24)+ROW()/100000)</x:f>
        <x:v>1e+99</x:v>
      </x:c>
      <x:c r="K24" s="1"/>
      <x:c r="L24" s="1"/>
      <x:c r="M24" s="1"/>
      <x:c r="N24" s="1"/>
      <x:c r="O24" s="1"/>
      <x:c r="P24" s="1"/>
      <x:c r="Q24" s="1"/>
      <x:c r="R24" s="1"/>
      <x:c r="S24" s="1"/>
      <x:c r="T24" s="1"/>
    </x:row>
    <x:row r="25" ht="18" customHeight="1">
      <x:c r="A25" s="1"/>
      <x:c r="B25" s="19" t="n">
        <x:v>18</x:v>
      </x:c>
      <x:c r="C25" s="32"/>
      <x:c r="D25" s="33"/>
      <x:c r="E25" s="27"/>
      <x:c r="F25" s="34"/>
      <x:c r="G25" s="34"/>
      <x:c r="H25" s="27"/>
      <x:c r="I25" s="51" t="str">
        <x:f>IF($G25="x",COUNTIF($G$8:$G25,"x"),"")</x:f>
      </x:c>
      <x:c r="J25" s="51" t="n">
        <x:f>IF(OR($E25="",$G25="x"),1E+99,IF($C25="",TODAY()+3650,$C25)+ROW()/100000)</x:f>
        <x:v>1e+99</x:v>
      </x:c>
      <x:c r="K25" s="1"/>
      <x:c r="L25" s="1"/>
      <x:c r="M25" s="1"/>
      <x:c r="N25" s="1"/>
      <x:c r="O25" s="1"/>
      <x:c r="P25" s="1"/>
      <x:c r="Q25" s="1"/>
      <x:c r="R25" s="1"/>
      <x:c r="S25" s="1"/>
      <x:c r="T25" s="1"/>
    </x:row>
    <x:row r="26" ht="18" customHeight="1">
      <x:c r="A26" s="1"/>
      <x:c r="B26" s="19" t="n">
        <x:v>19</x:v>
      </x:c>
      <x:c r="C26" s="32"/>
      <x:c r="D26" s="33"/>
      <x:c r="E26" s="27"/>
      <x:c r="F26" s="34"/>
      <x:c r="G26" s="34"/>
      <x:c r="H26" s="27"/>
      <x:c r="I26" s="51" t="str">
        <x:f>IF($G26="x",COUNTIF($G$8:$G26,"x"),"")</x:f>
      </x:c>
      <x:c r="J26" s="51" t="n">
        <x:f>IF(OR($E26="",$G26="x"),1E+99,IF($C26="",TODAY()+3650,$C26)+ROW()/100000)</x:f>
        <x:v>1e+99</x:v>
      </x:c>
      <x:c r="K26" s="1"/>
      <x:c r="L26" s="1"/>
      <x:c r="M26" s="1"/>
      <x:c r="N26" s="1"/>
      <x:c r="O26" s="1"/>
      <x:c r="P26" s="1"/>
      <x:c r="Q26" s="1"/>
      <x:c r="R26" s="1"/>
      <x:c r="S26" s="1"/>
      <x:c r="T26" s="1"/>
    </x:row>
    <x:row r="27" ht="18" customHeight="1">
      <x:c r="A27" s="1"/>
      <x:c r="B27" s="19" t="n">
        <x:v>20</x:v>
      </x:c>
      <x:c r="C27" s="32"/>
      <x:c r="D27" s="33"/>
      <x:c r="E27" s="27"/>
      <x:c r="F27" s="34"/>
      <x:c r="G27" s="34"/>
      <x:c r="H27" s="27"/>
      <x:c r="I27" s="51" t="str">
        <x:f>IF($G27="x",COUNTIF($G$8:$G27,"x"),"")</x:f>
      </x:c>
      <x:c r="J27" s="51" t="n">
        <x:f>IF(OR($E27="",$G27="x"),1E+99,IF($C27="",TODAY()+3650,$C27)+ROW()/100000)</x:f>
        <x:v>1e+99</x:v>
      </x:c>
      <x:c r="K27" s="1"/>
      <x:c r="L27" s="1"/>
      <x:c r="M27" s="1"/>
      <x:c r="N27" s="1"/>
      <x:c r="O27" s="1"/>
      <x:c r="P27" s="1"/>
      <x:c r="Q27" s="1"/>
      <x:c r="R27" s="1"/>
      <x:c r="S27" s="1"/>
      <x:c r="T27" s="1"/>
    </x:row>
    <x:row r="28" ht="18" customHeight="1">
      <x:c r="A28" s="1"/>
      <x:c r="B28" s="19" t="n">
        <x:v>21</x:v>
      </x:c>
      <x:c r="C28" s="32"/>
      <x:c r="D28" s="33"/>
      <x:c r="E28" s="27"/>
      <x:c r="F28" s="34"/>
      <x:c r="G28" s="34"/>
      <x:c r="H28" s="27"/>
      <x:c r="I28" s="51" t="str">
        <x:f>IF($G28="x",COUNTIF($G$8:$G28,"x"),"")</x:f>
      </x:c>
      <x:c r="J28" s="51" t="n">
        <x:f>IF(OR($E28="",$G28="x"),1E+99,IF($C28="",TODAY()+3650,$C28)+ROW()/100000)</x:f>
        <x:v>1e+99</x:v>
      </x:c>
      <x:c r="K28" s="1"/>
      <x:c r="L28" s="1"/>
      <x:c r="M28" s="1"/>
      <x:c r="N28" s="1"/>
      <x:c r="O28" s="1"/>
      <x:c r="P28" s="1"/>
      <x:c r="Q28" s="1"/>
      <x:c r="R28" s="1"/>
      <x:c r="S28" s="1"/>
      <x:c r="T28" s="1"/>
    </x:row>
    <x:row r="29" ht="18" customHeight="1">
      <x:c r="A29" s="1"/>
      <x:c r="B29" s="19" t="n">
        <x:v>22</x:v>
      </x:c>
      <x:c r="C29" s="32"/>
      <x:c r="D29" s="33"/>
      <x:c r="E29" s="27"/>
      <x:c r="F29" s="34"/>
      <x:c r="G29" s="34"/>
      <x:c r="H29" s="27"/>
      <x:c r="I29" s="51" t="str">
        <x:f>IF($G29="x",COUNTIF($G$8:$G29,"x"),"")</x:f>
      </x:c>
      <x:c r="J29" s="51" t="n">
        <x:f>IF(OR($E29="",$G29="x"),1E+99,IF($C29="",TODAY()+3650,$C29)+ROW()/100000)</x:f>
        <x:v>1e+99</x:v>
      </x:c>
      <x:c r="K29" s="1"/>
      <x:c r="L29" s="1"/>
      <x:c r="M29" s="1"/>
      <x:c r="N29" s="1"/>
      <x:c r="O29" s="1"/>
      <x:c r="P29" s="1"/>
      <x:c r="Q29" s="1"/>
      <x:c r="R29" s="1"/>
      <x:c r="S29" s="1"/>
      <x:c r="T29" s="1"/>
    </x:row>
    <x:row r="30" ht="18" customHeight="1">
      <x:c r="A30" s="1"/>
      <x:c r="B30" s="19" t="n">
        <x:v>23</x:v>
      </x:c>
      <x:c r="C30" s="32"/>
      <x:c r="D30" s="33"/>
      <x:c r="E30" s="27"/>
      <x:c r="F30" s="34"/>
      <x:c r="G30" s="34"/>
      <x:c r="H30" s="27"/>
      <x:c r="I30" s="51" t="str">
        <x:f>IF($G30="x",COUNTIF($G$8:$G30,"x"),"")</x:f>
      </x:c>
      <x:c r="J30" s="51" t="n">
        <x:f>IF(OR($E30="",$G30="x"),1E+99,IF($C30="",TODAY()+3650,$C30)+ROW()/100000)</x:f>
        <x:v>1e+99</x:v>
      </x:c>
      <x:c r="K30" s="1"/>
      <x:c r="L30" s="1"/>
      <x:c r="M30" s="1"/>
      <x:c r="N30" s="1"/>
      <x:c r="O30" s="1"/>
      <x:c r="P30" s="1"/>
      <x:c r="Q30" s="1"/>
      <x:c r="R30" s="1"/>
      <x:c r="S30" s="1"/>
      <x:c r="T30" s="1"/>
    </x:row>
    <x:row r="31" ht="18" customHeight="1">
      <x:c r="A31" s="1"/>
      <x:c r="B31" s="19" t="n">
        <x:v>24</x:v>
      </x:c>
      <x:c r="C31" s="32"/>
      <x:c r="D31" s="33"/>
      <x:c r="E31" s="27"/>
      <x:c r="F31" s="34"/>
      <x:c r="G31" s="34"/>
      <x:c r="H31" s="27"/>
      <x:c r="I31" s="51" t="str">
        <x:f>IF($G31="x",COUNTIF($G$8:$G31,"x"),"")</x:f>
      </x:c>
      <x:c r="J31" s="51" t="n">
        <x:f>IF(OR($E31="",$G31="x"),1E+99,IF($C31="",TODAY()+3650,$C31)+ROW()/100000)</x:f>
        <x:v>1e+99</x:v>
      </x:c>
      <x:c r="K31" s="1"/>
      <x:c r="L31" s="1"/>
      <x:c r="M31" s="1"/>
      <x:c r="N31" s="1"/>
      <x:c r="O31" s="1"/>
      <x:c r="P31" s="1"/>
      <x:c r="Q31" s="1"/>
      <x:c r="R31" s="1"/>
      <x:c r="S31" s="1"/>
      <x:c r="T31" s="1"/>
    </x:row>
    <x:row r="32" ht="18" customHeight="1">
      <x:c r="A32" s="1"/>
      <x:c r="B32" s="19" t="n">
        <x:v>25</x:v>
      </x:c>
      <x:c r="C32" s="32"/>
      <x:c r="D32" s="33"/>
      <x:c r="E32" s="27"/>
      <x:c r="F32" s="34"/>
      <x:c r="G32" s="34"/>
      <x:c r="H32" s="27"/>
      <x:c r="I32" s="51" t="str">
        <x:f>IF($G32="x",COUNTIF($G$8:$G32,"x"),"")</x:f>
      </x:c>
      <x:c r="J32" s="51" t="n">
        <x:f>IF(OR($E32="",$G32="x"),1E+99,IF($C32="",TODAY()+3650,$C32)+ROW()/100000)</x:f>
        <x:v>1e+99</x:v>
      </x:c>
      <x:c r="K32" s="1"/>
      <x:c r="L32" s="1"/>
      <x:c r="M32" s="1"/>
      <x:c r="N32" s="1"/>
      <x:c r="O32" s="1"/>
      <x:c r="P32" s="1"/>
      <x:c r="Q32" s="1"/>
      <x:c r="R32" s="1"/>
      <x:c r="S32" s="1"/>
      <x:c r="T32" s="1"/>
    </x:row>
    <x:row r="33" ht="18" customHeight="1">
      <x:c r="A33" s="1"/>
      <x:c r="B33" s="19" t="n">
        <x:v>26</x:v>
      </x:c>
      <x:c r="C33" s="32"/>
      <x:c r="D33" s="33"/>
      <x:c r="E33" s="27"/>
      <x:c r="F33" s="34"/>
      <x:c r="G33" s="34"/>
      <x:c r="H33" s="27"/>
      <x:c r="I33" s="51" t="str">
        <x:f>IF($G33="x",COUNTIF($G$8:$G33,"x"),"")</x:f>
      </x:c>
      <x:c r="J33" s="51" t="n">
        <x:f>IF(OR($E33="",$G33="x"),1E+99,IF($C33="",TODAY()+3650,$C33)+ROW()/100000)</x:f>
        <x:v>1e+99</x:v>
      </x:c>
      <x:c r="K33" s="1"/>
      <x:c r="L33" s="1"/>
      <x:c r="M33" s="1"/>
      <x:c r="N33" s="1"/>
      <x:c r="O33" s="1"/>
      <x:c r="P33" s="1"/>
      <x:c r="Q33" s="1"/>
      <x:c r="R33" s="1"/>
      <x:c r="S33" s="1"/>
      <x:c r="T33" s="1"/>
    </x:row>
    <x:row r="34" ht="18" customHeight="1">
      <x:c r="A34" s="1"/>
      <x:c r="B34" s="19" t="n">
        <x:v>27</x:v>
      </x:c>
      <x:c r="C34" s="32"/>
      <x:c r="D34" s="33"/>
      <x:c r="E34" s="27"/>
      <x:c r="F34" s="34"/>
      <x:c r="G34" s="34"/>
      <x:c r="H34" s="27"/>
      <x:c r="I34" s="51" t="str">
        <x:f>IF($G34="x",COUNTIF($G$8:$G34,"x"),"")</x:f>
      </x:c>
      <x:c r="J34" s="51" t="n">
        <x:f>IF(OR($E34="",$G34="x"),1E+99,IF($C34="",TODAY()+3650,$C34)+ROW()/100000)</x:f>
        <x:v>1e+99</x:v>
      </x:c>
      <x:c r="K34" s="1"/>
      <x:c r="L34" s="1"/>
      <x:c r="M34" s="1"/>
      <x:c r="N34" s="1"/>
      <x:c r="O34" s="1"/>
      <x:c r="P34" s="1"/>
      <x:c r="Q34" s="1"/>
      <x:c r="R34" s="1"/>
      <x:c r="S34" s="1"/>
      <x:c r="T34" s="1"/>
    </x:row>
    <x:row r="35" ht="18" customHeight="1">
      <x:c r="A35" s="1"/>
      <x:c r="B35" s="19" t="n">
        <x:v>28</x:v>
      </x:c>
      <x:c r="C35" s="32"/>
      <x:c r="D35" s="33"/>
      <x:c r="E35" s="27"/>
      <x:c r="F35" s="34"/>
      <x:c r="G35" s="34"/>
      <x:c r="H35" s="27"/>
      <x:c r="I35" s="51" t="str">
        <x:f>IF($G35="x",COUNTIF($G$8:$G35,"x"),"")</x:f>
      </x:c>
      <x:c r="J35" s="51" t="n">
        <x:f>IF(OR($E35="",$G35="x"),1E+99,IF($C35="",TODAY()+3650,$C35)+ROW()/100000)</x:f>
        <x:v>1e+99</x:v>
      </x:c>
      <x:c r="K35" s="1"/>
      <x:c r="L35" s="1"/>
      <x:c r="M35" s="1"/>
      <x:c r="N35" s="1"/>
      <x:c r="O35" s="1"/>
      <x:c r="P35" s="1"/>
      <x:c r="Q35" s="1"/>
      <x:c r="R35" s="1"/>
      <x:c r="S35" s="1"/>
      <x:c r="T35" s="1"/>
    </x:row>
    <x:row r="36" ht="18" customHeight="1">
      <x:c r="A36" s="1"/>
      <x:c r="B36" s="19" t="n">
        <x:v>29</x:v>
      </x:c>
      <x:c r="C36" s="32"/>
      <x:c r="D36" s="33"/>
      <x:c r="E36" s="27"/>
      <x:c r="F36" s="34"/>
      <x:c r="G36" s="34"/>
      <x:c r="H36" s="27"/>
      <x:c r="I36" s="51" t="str">
        <x:f>IF($G36="x",COUNTIF($G$8:$G36,"x"),"")</x:f>
      </x:c>
      <x:c r="J36" s="51" t="n">
        <x:f>IF(OR($E36="",$G36="x"),1E+99,IF($C36="",TODAY()+3650,$C36)+ROW()/100000)</x:f>
        <x:v>1e+99</x:v>
      </x:c>
      <x:c r="K36" s="1"/>
      <x:c r="L36" s="1"/>
      <x:c r="M36" s="1"/>
      <x:c r="N36" s="1"/>
      <x:c r="O36" s="1"/>
      <x:c r="P36" s="1"/>
      <x:c r="Q36" s="1"/>
      <x:c r="R36" s="1"/>
      <x:c r="S36" s="1"/>
      <x:c r="T36" s="1"/>
    </x:row>
    <x:row r="37" ht="18" customHeight="1">
      <x:c r="A37" s="1"/>
      <x:c r="B37" s="19" t="n">
        <x:v>30</x:v>
      </x:c>
      <x:c r="C37" s="32"/>
      <x:c r="D37" s="33"/>
      <x:c r="E37" s="27"/>
      <x:c r="F37" s="34"/>
      <x:c r="G37" s="34"/>
      <x:c r="H37" s="27"/>
      <x:c r="I37" s="51" t="str">
        <x:f>IF($G37="x",COUNTIF($G$8:$G37,"x"),"")</x:f>
      </x:c>
      <x:c r="J37" s="51" t="n">
        <x:f>IF(OR($E37="",$G37="x"),1E+99,IF($C37="",TODAY()+3650,$C37)+ROW()/100000)</x:f>
        <x:v>1e+99</x:v>
      </x:c>
      <x:c r="K37" s="1"/>
      <x:c r="L37" s="1"/>
      <x:c r="M37" s="1"/>
      <x:c r="N37" s="1"/>
      <x:c r="O37" s="1"/>
      <x:c r="P37" s="1"/>
      <x:c r="Q37" s="1"/>
      <x:c r="R37" s="1"/>
      <x:c r="S37" s="1"/>
      <x:c r="T37" s="1"/>
    </x:row>
    <x:row r="38" ht="18" customHeight="1">
      <x:c r="A38" s="1"/>
      <x:c r="B38" s="19" t="n">
        <x:v>31</x:v>
      </x:c>
      <x:c r="C38" s="32"/>
      <x:c r="D38" s="33"/>
      <x:c r="E38" s="27"/>
      <x:c r="F38" s="34"/>
      <x:c r="G38" s="34"/>
      <x:c r="H38" s="27"/>
      <x:c r="I38" s="51" t="str">
        <x:f>IF($G38="x",COUNTIF($G$8:$G38,"x"),"")</x:f>
      </x:c>
      <x:c r="J38" s="51" t="n">
        <x:f>IF(OR($E38="",$G38="x"),1E+99,IF($C38="",TODAY()+3650,$C38)+ROW()/100000)</x:f>
        <x:v>1e+99</x:v>
      </x:c>
      <x:c r="K38" s="1"/>
      <x:c r="L38" s="1"/>
      <x:c r="M38" s="1"/>
      <x:c r="N38" s="1"/>
      <x:c r="O38" s="1"/>
      <x:c r="P38" s="1"/>
      <x:c r="Q38" s="1"/>
      <x:c r="R38" s="1"/>
      <x:c r="S38" s="1"/>
      <x:c r="T38" s="1"/>
    </x:row>
    <x:row r="39" ht="18" customHeight="1">
      <x:c r="A39" s="1"/>
      <x:c r="B39" s="19" t="n">
        <x:v>32</x:v>
      </x:c>
      <x:c r="C39" s="32"/>
      <x:c r="D39" s="33"/>
      <x:c r="E39" s="27"/>
      <x:c r="F39" s="34"/>
      <x:c r="G39" s="34"/>
      <x:c r="H39" s="27"/>
      <x:c r="I39" s="51" t="str">
        <x:f>IF($G39="x",COUNTIF($G$8:$G39,"x"),"")</x:f>
      </x:c>
      <x:c r="J39" s="51" t="n">
        <x:f>IF(OR($E39="",$G39="x"),1E+99,IF($C39="",TODAY()+3650,$C39)+ROW()/100000)</x:f>
        <x:v>1e+99</x:v>
      </x:c>
      <x:c r="K39" s="1"/>
      <x:c r="L39" s="1"/>
      <x:c r="M39" s="1"/>
      <x:c r="N39" s="1"/>
      <x:c r="O39" s="1"/>
      <x:c r="P39" s="1"/>
      <x:c r="Q39" s="1"/>
      <x:c r="R39" s="1"/>
      <x:c r="S39" s="1"/>
      <x:c r="T39" s="1"/>
    </x:row>
    <x:row r="40" ht="18" customHeight="1">
      <x:c r="A40" s="1"/>
      <x:c r="B40" s="19" t="n">
        <x:v>33</x:v>
      </x:c>
      <x:c r="C40" s="32"/>
      <x:c r="D40" s="33"/>
      <x:c r="E40" s="27"/>
      <x:c r="F40" s="34"/>
      <x:c r="G40" s="34"/>
      <x:c r="H40" s="27"/>
      <x:c r="I40" s="51" t="str">
        <x:f>IF($G40="x",COUNTIF($G$8:$G40,"x"),"")</x:f>
      </x:c>
      <x:c r="J40" s="51" t="n">
        <x:f>IF(OR($E40="",$G40="x"),1E+99,IF($C40="",TODAY()+3650,$C40)+ROW()/100000)</x:f>
        <x:v>1e+99</x:v>
      </x:c>
      <x:c r="K40" s="1"/>
      <x:c r="L40" s="1"/>
      <x:c r="M40" s="1"/>
      <x:c r="N40" s="1"/>
      <x:c r="O40" s="1"/>
      <x:c r="P40" s="1"/>
      <x:c r="Q40" s="1"/>
      <x:c r="R40" s="1"/>
      <x:c r="S40" s="1"/>
      <x:c r="T40" s="1"/>
    </x:row>
    <x:row r="41" ht="18" customHeight="1">
      <x:c r="A41" s="1"/>
      <x:c r="B41" s="19" t="n">
        <x:v>34</x:v>
      </x:c>
      <x:c r="C41" s="32"/>
      <x:c r="D41" s="33"/>
      <x:c r="E41" s="27"/>
      <x:c r="F41" s="34"/>
      <x:c r="G41" s="34"/>
      <x:c r="H41" s="27"/>
      <x:c r="I41" s="51" t="str">
        <x:f>IF($G41="x",COUNTIF($G$8:$G41,"x"),"")</x:f>
      </x:c>
      <x:c r="J41" s="51" t="n">
        <x:f>IF(OR($E41="",$G41="x"),1E+99,IF($C41="",TODAY()+3650,$C41)+ROW()/100000)</x:f>
        <x:v>1e+99</x:v>
      </x:c>
      <x:c r="K41" s="1"/>
      <x:c r="L41" s="1"/>
      <x:c r="M41" s="1"/>
      <x:c r="N41" s="1"/>
      <x:c r="O41" s="1"/>
      <x:c r="P41" s="1"/>
      <x:c r="Q41" s="1"/>
      <x:c r="R41" s="1"/>
      <x:c r="S41" s="1"/>
      <x:c r="T41" s="1"/>
    </x:row>
    <x:row r="42" ht="18" customHeight="1">
      <x:c r="A42" s="1"/>
      <x:c r="B42" s="19" t="n">
        <x:v>35</x:v>
      </x:c>
      <x:c r="C42" s="32"/>
      <x:c r="D42" s="33"/>
      <x:c r="E42" s="27"/>
      <x:c r="F42" s="34"/>
      <x:c r="G42" s="34"/>
      <x:c r="H42" s="27"/>
      <x:c r="I42" s="51" t="str">
        <x:f>IF($G42="x",COUNTIF($G$8:$G42,"x"),"")</x:f>
      </x:c>
      <x:c r="J42" s="51" t="n">
        <x:f>IF(OR($E42="",$G42="x"),1E+99,IF($C42="",TODAY()+3650,$C42)+ROW()/100000)</x:f>
        <x:v>1e+99</x:v>
      </x:c>
      <x:c r="K42" s="1"/>
      <x:c r="L42" s="1"/>
      <x:c r="M42" s="1"/>
      <x:c r="N42" s="1"/>
      <x:c r="O42" s="1"/>
      <x:c r="P42" s="1"/>
      <x:c r="Q42" s="1"/>
      <x:c r="R42" s="1"/>
      <x:c r="S42" s="1"/>
      <x:c r="T42" s="1"/>
    </x:row>
    <x:row r="43" ht="18" customHeight="1">
      <x:c r="A43" s="1"/>
      <x:c r="B43" s="19" t="n">
        <x:v>36</x:v>
      </x:c>
      <x:c r="C43" s="32"/>
      <x:c r="D43" s="33"/>
      <x:c r="E43" s="27"/>
      <x:c r="F43" s="34"/>
      <x:c r="G43" s="34"/>
      <x:c r="H43" s="27"/>
      <x:c r="I43" s="51" t="str">
        <x:f>IF($G43="x",COUNTIF($G$8:$G43,"x"),"")</x:f>
      </x:c>
      <x:c r="J43" s="51" t="n">
        <x:f>IF(OR($E43="",$G43="x"),1E+99,IF($C43="",TODAY()+3650,$C43)+ROW()/100000)</x:f>
        <x:v>1e+99</x:v>
      </x:c>
      <x:c r="K43" s="1"/>
      <x:c r="L43" s="1"/>
      <x:c r="M43" s="1"/>
      <x:c r="N43" s="1"/>
      <x:c r="O43" s="1"/>
      <x:c r="P43" s="1"/>
      <x:c r="Q43" s="1"/>
      <x:c r="R43" s="1"/>
      <x:c r="S43" s="1"/>
      <x:c r="T43" s="1"/>
    </x:row>
    <x:row r="44" ht="18" customHeight="1">
      <x:c r="A44" s="1"/>
      <x:c r="B44" s="19" t="n">
        <x:v>37</x:v>
      </x:c>
      <x:c r="C44" s="32"/>
      <x:c r="D44" s="33"/>
      <x:c r="E44" s="27"/>
      <x:c r="F44" s="34"/>
      <x:c r="G44" s="34"/>
      <x:c r="H44" s="27"/>
      <x:c r="I44" s="51" t="str">
        <x:f>IF($G44="x",COUNTIF($G$8:$G44,"x"),"")</x:f>
      </x:c>
      <x:c r="J44" s="51" t="n">
        <x:f>IF(OR($E44="",$G44="x"),1E+99,IF($C44="",TODAY()+3650,$C44)+ROW()/100000)</x:f>
        <x:v>1e+99</x:v>
      </x:c>
      <x:c r="K44" s="1"/>
      <x:c r="L44" s="1"/>
      <x:c r="M44" s="1"/>
      <x:c r="N44" s="1"/>
      <x:c r="O44" s="1"/>
      <x:c r="P44" s="1"/>
      <x:c r="Q44" s="1"/>
      <x:c r="R44" s="1"/>
      <x:c r="S44" s="1"/>
      <x:c r="T44" s="1"/>
    </x:row>
    <x:row r="45" ht="18" customHeight="1">
      <x:c r="A45" s="1"/>
      <x:c r="B45" s="19" t="n">
        <x:v>38</x:v>
      </x:c>
      <x:c r="C45" s="32"/>
      <x:c r="D45" s="33"/>
      <x:c r="E45" s="27"/>
      <x:c r="F45" s="34"/>
      <x:c r="G45" s="34"/>
      <x:c r="H45" s="27"/>
      <x:c r="I45" s="51" t="str">
        <x:f>IF($G45="x",COUNTIF($G$8:$G45,"x"),"")</x:f>
      </x:c>
      <x:c r="J45" s="51" t="n">
        <x:f>IF(OR($E45="",$G45="x"),1E+99,IF($C45="",TODAY()+3650,$C45)+ROW()/100000)</x:f>
        <x:v>1e+99</x:v>
      </x:c>
      <x:c r="K45" s="1"/>
      <x:c r="L45" s="1"/>
      <x:c r="M45" s="1"/>
      <x:c r="N45" s="1"/>
      <x:c r="O45" s="1"/>
      <x:c r="P45" s="1"/>
      <x:c r="Q45" s="1"/>
      <x:c r="R45" s="1"/>
      <x:c r="S45" s="1"/>
      <x:c r="T45" s="1"/>
    </x:row>
    <x:row r="46" ht="18" customHeight="1">
      <x:c r="A46" s="1"/>
      <x:c r="B46" s="19" t="n">
        <x:v>39</x:v>
      </x:c>
      <x:c r="C46" s="32"/>
      <x:c r="D46" s="33"/>
      <x:c r="E46" s="27"/>
      <x:c r="F46" s="34"/>
      <x:c r="G46" s="34"/>
      <x:c r="H46" s="27"/>
      <x:c r="I46" s="51" t="str">
        <x:f>IF($G46="x",COUNTIF($G$8:$G46,"x"),"")</x:f>
      </x:c>
      <x:c r="J46" s="51" t="n">
        <x:f>IF(OR($E46="",$G46="x"),1E+99,IF($C46="",TODAY()+3650,$C46)+ROW()/100000)</x:f>
        <x:v>1e+99</x:v>
      </x:c>
      <x:c r="K46" s="1"/>
      <x:c r="L46" s="1"/>
      <x:c r="M46" s="1"/>
      <x:c r="N46" s="1"/>
      <x:c r="O46" s="1"/>
      <x:c r="P46" s="1"/>
      <x:c r="Q46" s="1"/>
      <x:c r="R46" s="1"/>
      <x:c r="S46" s="1"/>
      <x:c r="T46" s="1"/>
    </x:row>
    <x:row r="47" ht="18" customHeight="1">
      <x:c r="A47" s="1"/>
      <x:c r="B47" s="19" t="n">
        <x:v>40</x:v>
      </x:c>
      <x:c r="C47" s="32"/>
      <x:c r="D47" s="33"/>
      <x:c r="E47" s="27"/>
      <x:c r="F47" s="34"/>
      <x:c r="G47" s="34"/>
      <x:c r="H47" s="27"/>
      <x:c r="I47" s="51" t="str">
        <x:f>IF($G47="x",COUNTIF($G$8:$G47,"x"),"")</x:f>
      </x:c>
      <x:c r="J47" s="51" t="n">
        <x:f>IF(OR($E47="",$G47="x"),1E+99,IF($C47="",TODAY()+3650,$C47)+ROW()/100000)</x:f>
        <x:v>1e+99</x:v>
      </x:c>
      <x:c r="K47" s="1"/>
      <x:c r="L47" s="1"/>
      <x:c r="M47" s="1"/>
      <x:c r="N47" s="1"/>
      <x:c r="O47" s="1"/>
      <x:c r="P47" s="1"/>
      <x:c r="Q47" s="1"/>
      <x:c r="R47" s="1"/>
      <x:c r="S47" s="1"/>
      <x:c r="T47" s="1"/>
    </x:row>
    <x:row r="48" ht="18" customHeight="1">
      <x:c r="A48" s="1"/>
      <x:c r="B48" s="19" t="n">
        <x:v>41</x:v>
      </x:c>
      <x:c r="C48" s="32"/>
      <x:c r="D48" s="33"/>
      <x:c r="E48" s="27"/>
      <x:c r="F48" s="34"/>
      <x:c r="G48" s="34"/>
      <x:c r="H48" s="27"/>
      <x:c r="I48" s="51" t="str">
        <x:f>IF($G48="x",COUNTIF($G$8:$G48,"x"),"")</x:f>
      </x:c>
      <x:c r="J48" s="51" t="n">
        <x:f>IF(OR($E48="",$G48="x"),1E+99,IF($C48="",TODAY()+3650,$C48)+ROW()/100000)</x:f>
        <x:v>1e+99</x:v>
      </x:c>
      <x:c r="K48" s="1"/>
      <x:c r="L48" s="1"/>
      <x:c r="M48" s="1"/>
      <x:c r="N48" s="1"/>
      <x:c r="O48" s="1"/>
      <x:c r="P48" s="1"/>
      <x:c r="Q48" s="1"/>
      <x:c r="R48" s="1"/>
      <x:c r="S48" s="1"/>
      <x:c r="T48" s="1"/>
    </x:row>
    <x:row r="49" ht="18" customHeight="1">
      <x:c r="A49" s="1"/>
      <x:c r="B49" s="19" t="n">
        <x:v>42</x:v>
      </x:c>
      <x:c r="C49" s="32"/>
      <x:c r="D49" s="33"/>
      <x:c r="E49" s="27"/>
      <x:c r="F49" s="34"/>
      <x:c r="G49" s="34"/>
      <x:c r="H49" s="27"/>
      <x:c r="I49" s="51" t="str">
        <x:f>IF($G49="x",COUNTIF($G$8:$G49,"x"),"")</x:f>
      </x:c>
      <x:c r="J49" s="51" t="n">
        <x:f>IF(OR($E49="",$G49="x"),1E+99,IF($C49="",TODAY()+3650,$C49)+ROW()/100000)</x:f>
        <x:v>1e+99</x:v>
      </x:c>
      <x:c r="K49" s="1"/>
      <x:c r="L49" s="1"/>
      <x:c r="M49" s="1"/>
      <x:c r="N49" s="1"/>
      <x:c r="O49" s="1"/>
      <x:c r="P49" s="1"/>
      <x:c r="Q49" s="1"/>
      <x:c r="R49" s="1"/>
      <x:c r="S49" s="1"/>
      <x:c r="T49" s="1"/>
    </x:row>
    <x:row r="50" ht="18" customHeight="1">
      <x:c r="A50" s="1"/>
      <x:c r="B50" s="19" t="n">
        <x:v>43</x:v>
      </x:c>
      <x:c r="C50" s="32"/>
      <x:c r="D50" s="33"/>
      <x:c r="E50" s="27"/>
      <x:c r="F50" s="34"/>
      <x:c r="G50" s="34"/>
      <x:c r="H50" s="27"/>
      <x:c r="I50" s="51" t="str">
        <x:f>IF($G50="x",COUNTIF($G$8:$G50,"x"),"")</x:f>
      </x:c>
      <x:c r="J50" s="51" t="n">
        <x:f>IF(OR($E50="",$G50="x"),1E+99,IF($C50="",TODAY()+3650,$C50)+ROW()/100000)</x:f>
        <x:v>1e+99</x:v>
      </x:c>
      <x:c r="K50" s="1"/>
      <x:c r="L50" s="1"/>
      <x:c r="M50" s="1"/>
      <x:c r="N50" s="1"/>
      <x:c r="O50" s="1"/>
      <x:c r="P50" s="1"/>
      <x:c r="Q50" s="1"/>
      <x:c r="R50" s="1"/>
      <x:c r="S50" s="1"/>
      <x:c r="T50" s="1"/>
    </x:row>
    <x:row r="51" ht="18" customHeight="1">
      <x:c r="A51" s="1"/>
      <x:c r="B51" s="19" t="n">
        <x:v>44</x:v>
      </x:c>
      <x:c r="C51" s="32"/>
      <x:c r="D51" s="33"/>
      <x:c r="E51" s="27"/>
      <x:c r="F51" s="34"/>
      <x:c r="G51" s="34"/>
      <x:c r="H51" s="27"/>
      <x:c r="I51" s="51" t="str">
        <x:f>IF($G51="x",COUNTIF($G$8:$G51,"x"),"")</x:f>
      </x:c>
      <x:c r="J51" s="51" t="n">
        <x:f>IF(OR($E51="",$G51="x"),1E+99,IF($C51="",TODAY()+3650,$C51)+ROW()/100000)</x:f>
        <x:v>1e+99</x:v>
      </x:c>
      <x:c r="K51" s="1"/>
      <x:c r="L51" s="1"/>
      <x:c r="M51" s="1"/>
      <x:c r="N51" s="1"/>
      <x:c r="O51" s="1"/>
      <x:c r="P51" s="1"/>
      <x:c r="Q51" s="1"/>
      <x:c r="R51" s="1"/>
      <x:c r="S51" s="1"/>
      <x:c r="T51" s="1"/>
    </x:row>
    <x:row r="52" ht="18" customHeight="1">
      <x:c r="A52" s="1"/>
      <x:c r="B52" s="19" t="n">
        <x:v>45</x:v>
      </x:c>
      <x:c r="C52" s="32"/>
      <x:c r="D52" s="33"/>
      <x:c r="E52" s="27"/>
      <x:c r="F52" s="34"/>
      <x:c r="G52" s="34"/>
      <x:c r="H52" s="27"/>
      <x:c r="I52" s="51" t="str">
        <x:f>IF($G52="x",COUNTIF($G$8:$G52,"x"),"")</x:f>
      </x:c>
      <x:c r="J52" s="51" t="n">
        <x:f>IF(OR($E52="",$G52="x"),1E+99,IF($C52="",TODAY()+3650,$C52)+ROW()/100000)</x:f>
        <x:v>1e+99</x:v>
      </x:c>
      <x:c r="K52" s="1"/>
      <x:c r="L52" s="1"/>
      <x:c r="M52" s="1"/>
      <x:c r="N52" s="1"/>
      <x:c r="O52" s="1"/>
      <x:c r="P52" s="1"/>
      <x:c r="Q52" s="1"/>
      <x:c r="R52" s="1"/>
      <x:c r="S52" s="1"/>
      <x:c r="T52" s="1"/>
    </x:row>
    <x:row r="53" ht="18" customHeight="1">
      <x:c r="A53" s="1"/>
      <x:c r="B53" s="19" t="n">
        <x:v>46</x:v>
      </x:c>
      <x:c r="C53" s="32"/>
      <x:c r="D53" s="33"/>
      <x:c r="E53" s="27"/>
      <x:c r="F53" s="34"/>
      <x:c r="G53" s="34"/>
      <x:c r="H53" s="27"/>
      <x:c r="I53" s="51" t="str">
        <x:f>IF($G53="x",COUNTIF($G$8:$G53,"x"),"")</x:f>
      </x:c>
      <x:c r="J53" s="51" t="n">
        <x:f>IF(OR($E53="",$G53="x"),1E+99,IF($C53="",TODAY()+3650,$C53)+ROW()/100000)</x:f>
        <x:v>1e+99</x:v>
      </x:c>
      <x:c r="K53" s="1"/>
      <x:c r="L53" s="1"/>
      <x:c r="M53" s="1"/>
      <x:c r="N53" s="1"/>
      <x:c r="O53" s="1"/>
      <x:c r="P53" s="1"/>
      <x:c r="Q53" s="1"/>
      <x:c r="R53" s="1"/>
      <x:c r="S53" s="1"/>
      <x:c r="T53" s="1"/>
    </x:row>
    <x:row r="54" ht="18" customHeight="1">
      <x:c r="A54" s="1"/>
      <x:c r="B54" s="19" t="n">
        <x:v>47</x:v>
      </x:c>
      <x:c r="C54" s="32"/>
      <x:c r="D54" s="33"/>
      <x:c r="E54" s="27"/>
      <x:c r="F54" s="34"/>
      <x:c r="G54" s="34"/>
      <x:c r="H54" s="27"/>
      <x:c r="I54" s="51" t="str">
        <x:f>IF($G54="x",COUNTIF($G$8:$G54,"x"),"")</x:f>
      </x:c>
      <x:c r="J54" s="51" t="n">
        <x:f>IF(OR($E54="",$G54="x"),1E+99,IF($C54="",TODAY()+3650,$C54)+ROW()/100000)</x:f>
        <x:v>1e+99</x:v>
      </x:c>
      <x:c r="K54" s="1"/>
      <x:c r="L54" s="1"/>
      <x:c r="M54" s="1"/>
      <x:c r="N54" s="1"/>
      <x:c r="O54" s="1"/>
      <x:c r="P54" s="1"/>
      <x:c r="Q54" s="1"/>
      <x:c r="R54" s="1"/>
      <x:c r="S54" s="1"/>
      <x:c r="T54" s="1"/>
    </x:row>
    <x:row r="55" ht="18" customHeight="1">
      <x:c r="A55" s="1"/>
      <x:c r="B55" s="19" t="n">
        <x:v>48</x:v>
      </x:c>
      <x:c r="C55" s="32"/>
      <x:c r="D55" s="33"/>
      <x:c r="E55" s="27"/>
      <x:c r="F55" s="34"/>
      <x:c r="G55" s="34"/>
      <x:c r="H55" s="27"/>
      <x:c r="I55" s="51" t="str">
        <x:f>IF($G55="x",COUNTIF($G$8:$G55,"x"),"")</x:f>
      </x:c>
      <x:c r="J55" s="51" t="n">
        <x:f>IF(OR($E55="",$G55="x"),1E+99,IF($C55="",TODAY()+3650,$C55)+ROW()/100000)</x:f>
        <x:v>1e+99</x:v>
      </x:c>
      <x:c r="K55" s="1"/>
      <x:c r="L55" s="1"/>
      <x:c r="M55" s="1"/>
      <x:c r="N55" s="1"/>
      <x:c r="O55" s="1"/>
      <x:c r="P55" s="1"/>
      <x:c r="Q55" s="1"/>
      <x:c r="R55" s="1"/>
      <x:c r="S55" s="1"/>
      <x:c r="T55" s="1"/>
    </x:row>
    <x:row r="56" ht="18" customHeight="1">
      <x:c r="A56" s="1"/>
      <x:c r="B56" s="19" t="n">
        <x:v>49</x:v>
      </x:c>
      <x:c r="C56" s="32"/>
      <x:c r="D56" s="33"/>
      <x:c r="E56" s="27"/>
      <x:c r="F56" s="34"/>
      <x:c r="G56" s="34"/>
      <x:c r="H56" s="27"/>
      <x:c r="I56" s="51" t="str">
        <x:f>IF($G56="x",COUNTIF($G$8:$G56,"x"),"")</x:f>
      </x:c>
      <x:c r="J56" s="51" t="n">
        <x:f>IF(OR($E56="",$G56="x"),1E+99,IF($C56="",TODAY()+3650,$C56)+ROW()/100000)</x:f>
        <x:v>1e+99</x:v>
      </x:c>
      <x:c r="K56" s="1"/>
      <x:c r="L56" s="1"/>
      <x:c r="M56" s="1"/>
      <x:c r="N56" s="1"/>
      <x:c r="O56" s="1"/>
      <x:c r="P56" s="1"/>
      <x:c r="Q56" s="1"/>
      <x:c r="R56" s="1"/>
      <x:c r="S56" s="1"/>
      <x:c r="T56" s="1"/>
    </x:row>
    <x:row r="57" ht="18" customHeight="1">
      <x:c r="A57" s="1"/>
      <x:c r="B57" s="19" t="n">
        <x:v>50</x:v>
      </x:c>
      <x:c r="C57" s="32"/>
      <x:c r="D57" s="33"/>
      <x:c r="E57" s="27"/>
      <x:c r="F57" s="34"/>
      <x:c r="G57" s="34"/>
      <x:c r="H57" s="27"/>
      <x:c r="I57" s="51" t="str">
        <x:f>IF($G57="x",COUNTIF($G$8:$G57,"x"),"")</x:f>
      </x:c>
      <x:c r="J57" s="51" t="n">
        <x:f>IF(OR($E57="",$G57="x"),1E+99,IF($C57="",TODAY()+3650,$C57)+ROW()/100000)</x:f>
        <x:v>1e+99</x:v>
      </x:c>
      <x:c r="K57" s="1"/>
      <x:c r="L57" s="1"/>
      <x:c r="M57" s="1"/>
      <x:c r="N57" s="1"/>
      <x:c r="O57" s="1"/>
      <x:c r="P57" s="1"/>
      <x:c r="Q57" s="1"/>
      <x:c r="R57" s="1"/>
      <x:c r="S57" s="1"/>
      <x:c r="T57" s="1"/>
    </x:row>
    <x:row r="58" ht="18" customHeight="1">
      <x:c r="A58" s="1"/>
      <x:c r="B58" s="19" t="n">
        <x:v>51</x:v>
      </x:c>
      <x:c r="C58" s="32"/>
      <x:c r="D58" s="33"/>
      <x:c r="E58" s="27"/>
      <x:c r="F58" s="34"/>
      <x:c r="G58" s="34"/>
      <x:c r="H58" s="27"/>
      <x:c r="I58" s="51" t="str">
        <x:f>IF($G58="x",COUNTIF($G$8:$G58,"x"),"")</x:f>
      </x:c>
      <x:c r="J58" s="51" t="n">
        <x:f>IF(OR($E58="",$G58="x"),1E+99,IF($C58="",TODAY()+3650,$C58)+ROW()/100000)</x:f>
        <x:v>1e+99</x:v>
      </x:c>
      <x:c r="K58" s="1"/>
      <x:c r="L58" s="1"/>
      <x:c r="M58" s="1"/>
      <x:c r="N58" s="1"/>
      <x:c r="O58" s="1"/>
      <x:c r="P58" s="1"/>
      <x:c r="Q58" s="1"/>
      <x:c r="R58" s="1"/>
      <x:c r="S58" s="1"/>
      <x:c r="T58" s="1"/>
    </x:row>
    <x:row r="59" ht="18" customHeight="1">
      <x:c r="A59" s="1"/>
      <x:c r="B59" s="19" t="n">
        <x:v>52</x:v>
      </x:c>
      <x:c r="C59" s="32"/>
      <x:c r="D59" s="33"/>
      <x:c r="E59" s="27"/>
      <x:c r="F59" s="34"/>
      <x:c r="G59" s="34"/>
      <x:c r="H59" s="27"/>
      <x:c r="I59" s="51" t="str">
        <x:f>IF($G59="x",COUNTIF($G$8:$G59,"x"),"")</x:f>
      </x:c>
      <x:c r="J59" s="51" t="n">
        <x:f>IF(OR($E59="",$G59="x"),1E+99,IF($C59="",TODAY()+3650,$C59)+ROW()/100000)</x:f>
        <x:v>1e+99</x:v>
      </x:c>
      <x:c r="K59" s="1"/>
      <x:c r="L59" s="1"/>
      <x:c r="M59" s="1"/>
      <x:c r="N59" s="1"/>
      <x:c r="O59" s="1"/>
      <x:c r="P59" s="1"/>
      <x:c r="Q59" s="1"/>
      <x:c r="R59" s="1"/>
      <x:c r="S59" s="1"/>
      <x:c r="T59" s="1"/>
    </x:row>
    <x:row r="60" ht="18" customHeight="1">
      <x:c r="A60" s="1"/>
      <x:c r="B60" s="19" t="n">
        <x:v>53</x:v>
      </x:c>
      <x:c r="C60" s="32"/>
      <x:c r="D60" s="33"/>
      <x:c r="E60" s="27"/>
      <x:c r="F60" s="34"/>
      <x:c r="G60" s="34"/>
      <x:c r="H60" s="27"/>
      <x:c r="I60" s="51" t="str">
        <x:f>IF($G60="x",COUNTIF($G$8:$G60,"x"),"")</x:f>
      </x:c>
      <x:c r="J60" s="51" t="n">
        <x:f>IF(OR($E60="",$G60="x"),1E+99,IF($C60="",TODAY()+3650,$C60)+ROW()/100000)</x:f>
        <x:v>1e+99</x:v>
      </x:c>
      <x:c r="K60" s="1"/>
      <x:c r="L60" s="1"/>
      <x:c r="M60" s="1"/>
      <x:c r="N60" s="1"/>
      <x:c r="O60" s="1"/>
      <x:c r="P60" s="1"/>
      <x:c r="Q60" s="1"/>
      <x:c r="R60" s="1"/>
      <x:c r="S60" s="1"/>
      <x:c r="T60" s="1"/>
    </x:row>
    <x:row r="61" ht="18" customHeight="1">
      <x:c r="A61" s="1"/>
      <x:c r="B61" s="19" t="n">
        <x:v>54</x:v>
      </x:c>
      <x:c r="C61" s="32"/>
      <x:c r="D61" s="33"/>
      <x:c r="E61" s="27"/>
      <x:c r="F61" s="34"/>
      <x:c r="G61" s="34"/>
      <x:c r="H61" s="27"/>
      <x:c r="I61" s="51" t="str">
        <x:f>IF($G61="x",COUNTIF($G$8:$G61,"x"),"")</x:f>
      </x:c>
      <x:c r="J61" s="51" t="n">
        <x:f>IF(OR($E61="",$G61="x"),1E+99,IF($C61="",TODAY()+3650,$C61)+ROW()/100000)</x:f>
        <x:v>1e+99</x:v>
      </x:c>
      <x:c r="K61" s="1"/>
      <x:c r="L61" s="1"/>
      <x:c r="M61" s="1"/>
      <x:c r="N61" s="1"/>
      <x:c r="O61" s="1"/>
      <x:c r="P61" s="1"/>
      <x:c r="Q61" s="1"/>
      <x:c r="R61" s="1"/>
      <x:c r="S61" s="1"/>
      <x:c r="T61" s="1"/>
    </x:row>
    <x:row r="62" ht="18" customHeight="1">
      <x:c r="A62" s="1"/>
      <x:c r="B62" s="19" t="n">
        <x:v>55</x:v>
      </x:c>
      <x:c r="C62" s="32"/>
      <x:c r="D62" s="33"/>
      <x:c r="E62" s="27"/>
      <x:c r="F62" s="34"/>
      <x:c r="G62" s="34"/>
      <x:c r="H62" s="27"/>
      <x:c r="I62" s="51" t="str">
        <x:f>IF($G62="x",COUNTIF($G$8:$G62,"x"),"")</x:f>
      </x:c>
      <x:c r="J62" s="51" t="n">
        <x:f>IF(OR($E62="",$G62="x"),1E+99,IF($C62="",TODAY()+3650,$C62)+ROW()/100000)</x:f>
        <x:v>1e+99</x:v>
      </x:c>
      <x:c r="K62" s="1"/>
      <x:c r="L62" s="1"/>
      <x:c r="M62" s="1"/>
      <x:c r="N62" s="1"/>
      <x:c r="O62" s="1"/>
      <x:c r="P62" s="1"/>
      <x:c r="Q62" s="1"/>
      <x:c r="R62" s="1"/>
      <x:c r="S62" s="1"/>
      <x:c r="T62" s="1"/>
    </x:row>
    <x:row r="63" ht="18" customHeight="1">
      <x:c r="A63" s="1"/>
      <x:c r="B63" s="19" t="n">
        <x:v>56</x:v>
      </x:c>
      <x:c r="C63" s="32"/>
      <x:c r="D63" s="33"/>
      <x:c r="E63" s="27"/>
      <x:c r="F63" s="34"/>
      <x:c r="G63" s="34"/>
      <x:c r="H63" s="27"/>
      <x:c r="I63" s="51" t="str">
        <x:f>IF($G63="x",COUNTIF($G$8:$G63,"x"),"")</x:f>
      </x:c>
      <x:c r="J63" s="51" t="n">
        <x:f>IF(OR($E63="",$G63="x"),1E+99,IF($C63="",TODAY()+3650,$C63)+ROW()/100000)</x:f>
        <x:v>1e+99</x:v>
      </x:c>
      <x:c r="K63" s="1"/>
      <x:c r="L63" s="1"/>
      <x:c r="M63" s="1"/>
      <x:c r="N63" s="1"/>
      <x:c r="O63" s="1"/>
      <x:c r="P63" s="1"/>
      <x:c r="Q63" s="1"/>
      <x:c r="R63" s="1"/>
      <x:c r="S63" s="1"/>
      <x:c r="T63" s="1"/>
    </x:row>
    <x:row r="64" ht="18" customHeight="1">
      <x:c r="A64" s="1"/>
      <x:c r="B64" s="19" t="n">
        <x:v>57</x:v>
      </x:c>
      <x:c r="C64" s="32"/>
      <x:c r="D64" s="33"/>
      <x:c r="E64" s="27"/>
      <x:c r="F64" s="34"/>
      <x:c r="G64" s="34"/>
      <x:c r="H64" s="27"/>
      <x:c r="I64" s="51" t="str">
        <x:f>IF($G64="x",COUNTIF($G$8:$G64,"x"),"")</x:f>
      </x:c>
      <x:c r="J64" s="51" t="n">
        <x:f>IF(OR($E64="",$G64="x"),1E+99,IF($C64="",TODAY()+3650,$C64)+ROW()/100000)</x:f>
        <x:v>1e+99</x:v>
      </x:c>
      <x:c r="K64" s="1"/>
      <x:c r="L64" s="1"/>
      <x:c r="M64" s="1"/>
      <x:c r="N64" s="1"/>
      <x:c r="O64" s="1"/>
      <x:c r="P64" s="1"/>
      <x:c r="Q64" s="1"/>
      <x:c r="R64" s="1"/>
      <x:c r="S64" s="1"/>
      <x:c r="T64" s="1"/>
    </x:row>
    <x:row r="65" ht="18" customHeight="1">
      <x:c r="A65" s="1"/>
      <x:c r="B65" s="19" t="n">
        <x:v>58</x:v>
      </x:c>
      <x:c r="C65" s="32"/>
      <x:c r="D65" s="33"/>
      <x:c r="E65" s="27"/>
      <x:c r="F65" s="34"/>
      <x:c r="G65" s="34"/>
      <x:c r="H65" s="27"/>
      <x:c r="I65" s="51" t="str">
        <x:f>IF($G65="x",COUNTIF($G$8:$G65,"x"),"")</x:f>
      </x:c>
      <x:c r="J65" s="51" t="n">
        <x:f>IF(OR($E65="",$G65="x"),1E+99,IF($C65="",TODAY()+3650,$C65)+ROW()/100000)</x:f>
        <x:v>1e+99</x:v>
      </x:c>
      <x:c r="K65" s="1"/>
      <x:c r="L65" s="1"/>
      <x:c r="M65" s="1"/>
      <x:c r="N65" s="1"/>
      <x:c r="O65" s="1"/>
      <x:c r="P65" s="1"/>
      <x:c r="Q65" s="1"/>
      <x:c r="R65" s="1"/>
      <x:c r="S65" s="1"/>
      <x:c r="T65" s="1"/>
    </x:row>
    <x:row r="66" ht="18" customHeight="1">
      <x:c r="A66" s="1"/>
      <x:c r="B66" s="19" t="n">
        <x:v>59</x:v>
      </x:c>
      <x:c r="C66" s="32"/>
      <x:c r="D66" s="33"/>
      <x:c r="E66" s="27"/>
      <x:c r="F66" s="34"/>
      <x:c r="G66" s="34"/>
      <x:c r="H66" s="27"/>
      <x:c r="I66" s="51" t="str">
        <x:f>IF($G66="x",COUNTIF($G$8:$G66,"x"),"")</x:f>
      </x:c>
      <x:c r="J66" s="51" t="n">
        <x:f>IF(OR($E66="",$G66="x"),1E+99,IF($C66="",TODAY()+3650,$C66)+ROW()/100000)</x:f>
        <x:v>1e+99</x:v>
      </x:c>
      <x:c r="K66" s="1"/>
      <x:c r="L66" s="1"/>
      <x:c r="M66" s="1"/>
      <x:c r="N66" s="1"/>
      <x:c r="O66" s="1"/>
      <x:c r="P66" s="1"/>
      <x:c r="Q66" s="1"/>
      <x:c r="R66" s="1"/>
      <x:c r="S66" s="1"/>
      <x:c r="T66" s="1"/>
    </x:row>
    <x:row r="67" ht="18" customHeight="1">
      <x:c r="A67" s="1"/>
      <x:c r="B67" s="19" t="n">
        <x:v>60</x:v>
      </x:c>
      <x:c r="C67" s="32"/>
      <x:c r="D67" s="33"/>
      <x:c r="E67" s="27"/>
      <x:c r="F67" s="34"/>
      <x:c r="G67" s="34"/>
      <x:c r="H67" s="27"/>
      <x:c r="I67" s="51" t="str">
        <x:f>IF($G67="x",COUNTIF($G$8:$G67,"x"),"")</x:f>
      </x:c>
      <x:c r="J67" s="51" t="n">
        <x:f>IF(OR($E67="",$G67="x"),1E+99,IF($C67="",TODAY()+3650,$C67)+ROW()/100000)</x:f>
        <x:v>1e+99</x:v>
      </x:c>
      <x:c r="K67" s="1"/>
      <x:c r="L67" s="1"/>
      <x:c r="M67" s="1"/>
      <x:c r="N67" s="1"/>
      <x:c r="O67" s="1"/>
      <x:c r="P67" s="1"/>
      <x:c r="Q67" s="1"/>
      <x:c r="R67" s="1"/>
      <x:c r="S67" s="1"/>
      <x:c r="T67" s="1"/>
    </x:row>
    <x:row r="68" ht="18" customHeight="1">
      <x:c r="A68" s="1"/>
      <x:c r="B68" s="19" t="n">
        <x:v>61</x:v>
      </x:c>
      <x:c r="C68" s="32"/>
      <x:c r="D68" s="33"/>
      <x:c r="E68" s="27"/>
      <x:c r="F68" s="34"/>
      <x:c r="G68" s="34"/>
      <x:c r="H68" s="27"/>
      <x:c r="I68" s="51" t="str">
        <x:f>IF($G68="x",COUNTIF($G$8:$G68,"x"),"")</x:f>
      </x:c>
      <x:c r="J68" s="51" t="n">
        <x:f>IF(OR($E68="",$G68="x"),1E+99,IF($C68="",TODAY()+3650,$C68)+ROW()/100000)</x:f>
        <x:v>1e+99</x:v>
      </x:c>
      <x:c r="K68" s="1"/>
      <x:c r="L68" s="1"/>
      <x:c r="M68" s="1"/>
      <x:c r="N68" s="1"/>
      <x:c r="O68" s="1"/>
      <x:c r="P68" s="1"/>
      <x:c r="Q68" s="1"/>
      <x:c r="R68" s="1"/>
      <x:c r="S68" s="1"/>
      <x:c r="T68" s="1"/>
    </x:row>
    <x:row r="69" ht="18" customHeight="1">
      <x:c r="A69" s="1"/>
      <x:c r="B69" s="19" t="n">
        <x:v>62</x:v>
      </x:c>
      <x:c r="C69" s="32"/>
      <x:c r="D69" s="33"/>
      <x:c r="E69" s="27"/>
      <x:c r="F69" s="34"/>
      <x:c r="G69" s="34"/>
      <x:c r="H69" s="27"/>
      <x:c r="I69" s="51" t="str">
        <x:f>IF($G69="x",COUNTIF($G$8:$G69,"x"),"")</x:f>
      </x:c>
      <x:c r="J69" s="51" t="n">
        <x:f>IF(OR($E69="",$G69="x"),1E+99,IF($C69="",TODAY()+3650,$C69)+ROW()/100000)</x:f>
        <x:v>1e+99</x:v>
      </x:c>
      <x:c r="K69" s="1"/>
      <x:c r="L69" s="1"/>
      <x:c r="M69" s="1"/>
      <x:c r="N69" s="1"/>
      <x:c r="O69" s="1"/>
      <x:c r="P69" s="1"/>
      <x:c r="Q69" s="1"/>
      <x:c r="R69" s="1"/>
      <x:c r="S69" s="1"/>
      <x:c r="T69" s="1"/>
    </x:row>
    <x:row r="70" ht="18" customHeight="1">
      <x:c r="A70" s="1"/>
      <x:c r="B70" s="19" t="n">
        <x:v>63</x:v>
      </x:c>
      <x:c r="C70" s="32"/>
      <x:c r="D70" s="33"/>
      <x:c r="E70" s="27"/>
      <x:c r="F70" s="34"/>
      <x:c r="G70" s="34"/>
      <x:c r="H70" s="27"/>
      <x:c r="I70" s="51" t="str">
        <x:f>IF($G70="x",COUNTIF($G$8:$G70,"x"),"")</x:f>
      </x:c>
      <x:c r="J70" s="51" t="n">
        <x:f>IF(OR($E70="",$G70="x"),1E+99,IF($C70="",TODAY()+3650,$C70)+ROW()/100000)</x:f>
        <x:v>1e+99</x:v>
      </x:c>
      <x:c r="K70" s="1"/>
      <x:c r="L70" s="1"/>
      <x:c r="M70" s="1"/>
      <x:c r="N70" s="1"/>
      <x:c r="O70" s="1"/>
      <x:c r="P70" s="1"/>
      <x:c r="Q70" s="1"/>
      <x:c r="R70" s="1"/>
      <x:c r="S70" s="1"/>
      <x:c r="T70" s="1"/>
    </x:row>
    <x:row r="71" ht="18" customHeight="1">
      <x:c r="A71" s="1"/>
      <x:c r="B71" s="19" t="n">
        <x:v>64</x:v>
      </x:c>
      <x:c r="C71" s="32"/>
      <x:c r="D71" s="33"/>
      <x:c r="E71" s="27"/>
      <x:c r="F71" s="34"/>
      <x:c r="G71" s="34"/>
      <x:c r="H71" s="27"/>
      <x:c r="I71" s="51" t="str">
        <x:f>IF($G71="x",COUNTIF($G$8:$G71,"x"),"")</x:f>
      </x:c>
      <x:c r="J71" s="51" t="n">
        <x:f>IF(OR($E71="",$G71="x"),1E+99,IF($C71="",TODAY()+3650,$C71)+ROW()/100000)</x:f>
        <x:v>1e+99</x:v>
      </x:c>
      <x:c r="K71" s="1"/>
      <x:c r="L71" s="1"/>
      <x:c r="M71" s="1"/>
      <x:c r="N71" s="1"/>
      <x:c r="O71" s="1"/>
      <x:c r="P71" s="1"/>
      <x:c r="Q71" s="1"/>
      <x:c r="R71" s="1"/>
      <x:c r="S71" s="1"/>
      <x:c r="T71" s="1"/>
    </x:row>
    <x:row r="72" ht="18" customHeight="1">
      <x:c r="A72" s="1"/>
      <x:c r="B72" s="19" t="n">
        <x:v>65</x:v>
      </x:c>
      <x:c r="C72" s="32"/>
      <x:c r="D72" s="33"/>
      <x:c r="E72" s="27"/>
      <x:c r="F72" s="34"/>
      <x:c r="G72" s="34"/>
      <x:c r="H72" s="27"/>
      <x:c r="I72" s="51" t="str">
        <x:f>IF($G72="x",COUNTIF($G$8:$G72,"x"),"")</x:f>
      </x:c>
      <x:c r="J72" s="51" t="n">
        <x:f>IF(OR($E72="",$G72="x"),1E+99,IF($C72="",TODAY()+3650,$C72)+ROW()/100000)</x:f>
        <x:v>1e+99</x:v>
      </x:c>
      <x:c r="K72" s="1"/>
      <x:c r="L72" s="1"/>
      <x:c r="M72" s="1"/>
      <x:c r="N72" s="1"/>
      <x:c r="O72" s="1"/>
      <x:c r="P72" s="1"/>
      <x:c r="Q72" s="1"/>
      <x:c r="R72" s="1"/>
      <x:c r="S72" s="1"/>
      <x:c r="T72" s="1"/>
    </x:row>
    <x:row r="73" ht="18" customHeight="1">
      <x:c r="A73" s="1"/>
      <x:c r="B73" s="19" t="n">
        <x:v>66</x:v>
      </x:c>
      <x:c r="C73" s="32"/>
      <x:c r="D73" s="33"/>
      <x:c r="E73" s="27"/>
      <x:c r="F73" s="34"/>
      <x:c r="G73" s="34"/>
      <x:c r="H73" s="27"/>
      <x:c r="I73" s="51" t="str">
        <x:f>IF($G73="x",COUNTIF($G$8:$G73,"x"),"")</x:f>
      </x:c>
      <x:c r="J73" s="51" t="n">
        <x:f>IF(OR($E73="",$G73="x"),1E+99,IF($C73="",TODAY()+3650,$C73)+ROW()/100000)</x:f>
        <x:v>1e+99</x:v>
      </x:c>
      <x:c r="K73" s="1"/>
      <x:c r="L73" s="1"/>
      <x:c r="M73" s="1"/>
      <x:c r="N73" s="1"/>
      <x:c r="O73" s="1"/>
      <x:c r="P73" s="1"/>
      <x:c r="Q73" s="1"/>
      <x:c r="R73" s="1"/>
      <x:c r="S73" s="1"/>
      <x:c r="T73" s="1"/>
    </x:row>
    <x:row r="74" ht="18" customHeight="1">
      <x:c r="A74" s="1"/>
      <x:c r="B74" s="19" t="n">
        <x:v>67</x:v>
      </x:c>
      <x:c r="C74" s="32"/>
      <x:c r="D74" s="33"/>
      <x:c r="E74" s="27"/>
      <x:c r="F74" s="34"/>
      <x:c r="G74" s="34"/>
      <x:c r="H74" s="27"/>
      <x:c r="I74" s="51" t="str">
        <x:f>IF($G74="x",COUNTIF($G$8:$G74,"x"),"")</x:f>
      </x:c>
      <x:c r="J74" s="51" t="n">
        <x:f>IF(OR($E74="",$G74="x"),1E+99,IF($C74="",TODAY()+3650,$C74)+ROW()/100000)</x:f>
        <x:v>1e+99</x:v>
      </x:c>
      <x:c r="K74" s="1"/>
      <x:c r="L74" s="1"/>
      <x:c r="M74" s="1"/>
      <x:c r="N74" s="1"/>
      <x:c r="O74" s="1"/>
      <x:c r="P74" s="1"/>
      <x:c r="Q74" s="1"/>
      <x:c r="R74" s="1"/>
      <x:c r="S74" s="1"/>
      <x:c r="T74" s="1"/>
    </x:row>
    <x:row r="75" ht="18" customHeight="1">
      <x:c r="A75" s="1"/>
      <x:c r="B75" s="19" t="n">
        <x:v>68</x:v>
      </x:c>
      <x:c r="C75" s="32"/>
      <x:c r="D75" s="33"/>
      <x:c r="E75" s="27"/>
      <x:c r="F75" s="34"/>
      <x:c r="G75" s="34"/>
      <x:c r="H75" s="27"/>
      <x:c r="I75" s="51" t="str">
        <x:f>IF($G75="x",COUNTIF($G$8:$G75,"x"),"")</x:f>
      </x:c>
      <x:c r="J75" s="51" t="n">
        <x:f>IF(OR($E75="",$G75="x"),1E+99,IF($C75="",TODAY()+3650,$C75)+ROW()/100000)</x:f>
        <x:v>1e+99</x:v>
      </x:c>
      <x:c r="K75" s="1"/>
      <x:c r="L75" s="1"/>
      <x:c r="M75" s="1"/>
      <x:c r="N75" s="1"/>
      <x:c r="O75" s="1"/>
      <x:c r="P75" s="1"/>
      <x:c r="Q75" s="1"/>
      <x:c r="R75" s="1"/>
      <x:c r="S75" s="1"/>
      <x:c r="T75" s="1"/>
    </x:row>
    <x:row r="76" ht="18" customHeight="1">
      <x:c r="A76" s="1"/>
      <x:c r="B76" s="19" t="n">
        <x:v>69</x:v>
      </x:c>
      <x:c r="C76" s="32"/>
      <x:c r="D76" s="33"/>
      <x:c r="E76" s="27"/>
      <x:c r="F76" s="34"/>
      <x:c r="G76" s="34"/>
      <x:c r="H76" s="27"/>
      <x:c r="I76" s="51" t="str">
        <x:f>IF($G76="x",COUNTIF($G$8:$G76,"x"),"")</x:f>
      </x:c>
      <x:c r="J76" s="51" t="n">
        <x:f>IF(OR($E76="",$G76="x"),1E+99,IF($C76="",TODAY()+3650,$C76)+ROW()/100000)</x:f>
        <x:v>1e+99</x:v>
      </x:c>
      <x:c r="K76" s="1"/>
      <x:c r="L76" s="1"/>
      <x:c r="M76" s="1"/>
      <x:c r="N76" s="1"/>
      <x:c r="O76" s="1"/>
      <x:c r="P76" s="1"/>
      <x:c r="Q76" s="1"/>
      <x:c r="R76" s="1"/>
      <x:c r="S76" s="1"/>
      <x:c r="T76" s="1"/>
    </x:row>
    <x:row r="77" ht="18" customHeight="1">
      <x:c r="A77" s="1"/>
      <x:c r="B77" s="19" t="n">
        <x:v>70</x:v>
      </x:c>
      <x:c r="C77" s="32"/>
      <x:c r="D77" s="33"/>
      <x:c r="E77" s="27"/>
      <x:c r="F77" s="34"/>
      <x:c r="G77" s="34"/>
      <x:c r="H77" s="27"/>
      <x:c r="I77" s="51" t="str">
        <x:f>IF($G77="x",COUNTIF($G$8:$G77,"x"),"")</x:f>
      </x:c>
      <x:c r="J77" s="51" t="n">
        <x:f>IF(OR($E77="",$G77="x"),1E+99,IF($C77="",TODAY()+3650,$C77)+ROW()/100000)</x:f>
        <x:v>1e+99</x:v>
      </x:c>
      <x:c r="K77" s="1"/>
      <x:c r="L77" s="1"/>
      <x:c r="M77" s="1"/>
      <x:c r="N77" s="1"/>
      <x:c r="O77" s="1"/>
      <x:c r="P77" s="1"/>
      <x:c r="Q77" s="1"/>
      <x:c r="R77" s="1"/>
      <x:c r="S77" s="1"/>
      <x:c r="T77" s="1"/>
    </x:row>
    <x:row r="78" ht="18" customHeight="1">
      <x:c r="A78" s="1"/>
      <x:c r="B78" s="19" t="n">
        <x:v>71</x:v>
      </x:c>
      <x:c r="C78" s="32"/>
      <x:c r="D78" s="33"/>
      <x:c r="E78" s="27"/>
      <x:c r="F78" s="34"/>
      <x:c r="G78" s="34"/>
      <x:c r="H78" s="27"/>
      <x:c r="I78" s="51" t="str">
        <x:f>IF($G78="x",COUNTIF($G$8:$G78,"x"),"")</x:f>
      </x:c>
      <x:c r="J78" s="51" t="n">
        <x:f>IF(OR($E78="",$G78="x"),1E+99,IF($C78="",TODAY()+3650,$C78)+ROW()/100000)</x:f>
        <x:v>1e+99</x:v>
      </x:c>
      <x:c r="K78" s="1"/>
      <x:c r="L78" s="1"/>
      <x:c r="M78" s="1"/>
      <x:c r="N78" s="1"/>
      <x:c r="O78" s="1"/>
      <x:c r="P78" s="1"/>
      <x:c r="Q78" s="1"/>
      <x:c r="R78" s="1"/>
      <x:c r="S78" s="1"/>
      <x:c r="T78" s="1"/>
    </x:row>
    <x:row r="79" ht="18" customHeight="1">
      <x:c r="A79" s="1"/>
      <x:c r="B79" s="19" t="n">
        <x:v>72</x:v>
      </x:c>
      <x:c r="C79" s="32"/>
      <x:c r="D79" s="33"/>
      <x:c r="E79" s="27"/>
      <x:c r="F79" s="34"/>
      <x:c r="G79" s="34"/>
      <x:c r="H79" s="27"/>
      <x:c r="I79" s="51" t="str">
        <x:f>IF($G79="x",COUNTIF($G$8:$G79,"x"),"")</x:f>
      </x:c>
      <x:c r="J79" s="51" t="n">
        <x:f>IF(OR($E79="",$G79="x"),1E+99,IF($C79="",TODAY()+3650,$C79)+ROW()/100000)</x:f>
        <x:v>1e+99</x:v>
      </x:c>
      <x:c r="K79" s="1"/>
      <x:c r="L79" s="1"/>
      <x:c r="M79" s="1"/>
      <x:c r="N79" s="1"/>
      <x:c r="O79" s="1"/>
      <x:c r="P79" s="1"/>
      <x:c r="Q79" s="1"/>
      <x:c r="R79" s="1"/>
      <x:c r="S79" s="1"/>
      <x:c r="T79" s="1"/>
    </x:row>
    <x:row r="80" ht="18" customHeight="1">
      <x:c r="A80" s="1"/>
      <x:c r="B80" s="19" t="n">
        <x:v>73</x:v>
      </x:c>
      <x:c r="C80" s="32"/>
      <x:c r="D80" s="33"/>
      <x:c r="E80" s="27"/>
      <x:c r="F80" s="34"/>
      <x:c r="G80" s="34"/>
      <x:c r="H80" s="27"/>
      <x:c r="I80" s="51" t="str">
        <x:f>IF($G80="x",COUNTIF($G$8:$G80,"x"),"")</x:f>
      </x:c>
      <x:c r="J80" s="51" t="n">
        <x:f>IF(OR($E80="",$G80="x"),1E+99,IF($C80="",TODAY()+3650,$C80)+ROW()/100000)</x:f>
        <x:v>1e+99</x:v>
      </x:c>
      <x:c r="K80" s="1"/>
      <x:c r="L80" s="1"/>
      <x:c r="M80" s="1"/>
      <x:c r="N80" s="1"/>
      <x:c r="O80" s="1"/>
      <x:c r="P80" s="1"/>
      <x:c r="Q80" s="1"/>
      <x:c r="R80" s="1"/>
      <x:c r="S80" s="1"/>
      <x:c r="T80" s="1"/>
    </x:row>
    <x:row r="81" ht="18" customHeight="1">
      <x:c r="A81" s="1"/>
      <x:c r="B81" s="19" t="n">
        <x:v>74</x:v>
      </x:c>
      <x:c r="C81" s="32"/>
      <x:c r="D81" s="33"/>
      <x:c r="E81" s="27"/>
      <x:c r="F81" s="34"/>
      <x:c r="G81" s="34"/>
      <x:c r="H81" s="27"/>
      <x:c r="I81" s="51" t="str">
        <x:f>IF($G81="x",COUNTIF($G$8:$G81,"x"),"")</x:f>
      </x:c>
      <x:c r="J81" s="51" t="n">
        <x:f>IF(OR($E81="",$G81="x"),1E+99,IF($C81="",TODAY()+3650,$C81)+ROW()/100000)</x:f>
        <x:v>1e+99</x:v>
      </x:c>
      <x:c r="K81" s="1"/>
      <x:c r="L81" s="1"/>
      <x:c r="M81" s="1"/>
      <x:c r="N81" s="1"/>
      <x:c r="O81" s="1"/>
      <x:c r="P81" s="1"/>
      <x:c r="Q81" s="1"/>
      <x:c r="R81" s="1"/>
      <x:c r="S81" s="1"/>
      <x:c r="T81" s="1"/>
    </x:row>
    <x:row r="82" ht="18" customHeight="1">
      <x:c r="A82" s="1"/>
      <x:c r="B82" s="19" t="n">
        <x:v>75</x:v>
      </x:c>
      <x:c r="C82" s="32"/>
      <x:c r="D82" s="33"/>
      <x:c r="E82" s="27"/>
      <x:c r="F82" s="34"/>
      <x:c r="G82" s="34"/>
      <x:c r="H82" s="27"/>
      <x:c r="I82" s="51" t="str">
        <x:f>IF($G82="x",COUNTIF($G$8:$G82,"x"),"")</x:f>
      </x:c>
      <x:c r="J82" s="51" t="n">
        <x:f>IF(OR($E82="",$G82="x"),1E+99,IF($C82="",TODAY()+3650,$C82)+ROW()/100000)</x:f>
        <x:v>1e+99</x:v>
      </x:c>
      <x:c r="K82" s="1"/>
      <x:c r="L82" s="1"/>
      <x:c r="M82" s="1"/>
      <x:c r="N82" s="1"/>
      <x:c r="O82" s="1"/>
      <x:c r="P82" s="1"/>
      <x:c r="Q82" s="1"/>
      <x:c r="R82" s="1"/>
      <x:c r="S82" s="1"/>
      <x:c r="T82" s="1"/>
    </x:row>
    <x:row r="83" ht="18" customHeight="1">
      <x:c r="A83" s="1"/>
      <x:c r="B83" s="19" t="n">
        <x:v>76</x:v>
      </x:c>
      <x:c r="C83" s="32"/>
      <x:c r="D83" s="33"/>
      <x:c r="E83" s="27"/>
      <x:c r="F83" s="34"/>
      <x:c r="G83" s="34"/>
      <x:c r="H83" s="27"/>
      <x:c r="I83" s="51" t="str">
        <x:f>IF($G83="x",COUNTIF($G$8:$G83,"x"),"")</x:f>
      </x:c>
      <x:c r="J83" s="51" t="n">
        <x:f>IF(OR($E83="",$G83="x"),1E+99,IF($C83="",TODAY()+3650,$C83)+ROW()/100000)</x:f>
        <x:v>1e+99</x:v>
      </x:c>
      <x:c r="K83" s="1"/>
      <x:c r="L83" s="1"/>
      <x:c r="M83" s="1"/>
      <x:c r="N83" s="1"/>
      <x:c r="O83" s="1"/>
      <x:c r="P83" s="1"/>
      <x:c r="Q83" s="1"/>
      <x:c r="R83" s="1"/>
      <x:c r="S83" s="1"/>
      <x:c r="T83" s="1"/>
    </x:row>
    <x:row r="84" ht="18" customHeight="1">
      <x:c r="A84" s="1"/>
      <x:c r="B84" s="19" t="n">
        <x:v>77</x:v>
      </x:c>
      <x:c r="C84" s="32"/>
      <x:c r="D84" s="33"/>
      <x:c r="E84" s="27"/>
      <x:c r="F84" s="34"/>
      <x:c r="G84" s="34"/>
      <x:c r="H84" s="27"/>
      <x:c r="I84" s="51" t="str">
        <x:f>IF($G84="x",COUNTIF($G$8:$G84,"x"),"")</x:f>
      </x:c>
      <x:c r="J84" s="51" t="n">
        <x:f>IF(OR($E84="",$G84="x"),1E+99,IF($C84="",TODAY()+3650,$C84)+ROW()/100000)</x:f>
        <x:v>1e+99</x:v>
      </x:c>
      <x:c r="K84" s="1"/>
      <x:c r="L84" s="1"/>
      <x:c r="M84" s="1"/>
      <x:c r="N84" s="1"/>
      <x:c r="O84" s="1"/>
      <x:c r="P84" s="1"/>
      <x:c r="Q84" s="1"/>
      <x:c r="R84" s="1"/>
      <x:c r="S84" s="1"/>
      <x:c r="T84" s="1"/>
    </x:row>
    <x:row r="85" ht="18" customHeight="1">
      <x:c r="A85" s="1"/>
      <x:c r="B85" s="19" t="n">
        <x:v>78</x:v>
      </x:c>
      <x:c r="C85" s="32"/>
      <x:c r="D85" s="33"/>
      <x:c r="E85" s="27"/>
      <x:c r="F85" s="34"/>
      <x:c r="G85" s="34"/>
      <x:c r="H85" s="27"/>
      <x:c r="I85" s="51" t="str">
        <x:f>IF($G85="x",COUNTIF($G$8:$G85,"x"),"")</x:f>
      </x:c>
      <x:c r="J85" s="51" t="n">
        <x:f>IF(OR($E85="",$G85="x"),1E+99,IF($C85="",TODAY()+3650,$C85)+ROW()/100000)</x:f>
        <x:v>1e+99</x:v>
      </x:c>
      <x:c r="K85" s="1"/>
      <x:c r="L85" s="1"/>
      <x:c r="M85" s="1"/>
      <x:c r="N85" s="1"/>
      <x:c r="O85" s="1"/>
      <x:c r="P85" s="1"/>
      <x:c r="Q85" s="1"/>
      <x:c r="R85" s="1"/>
      <x:c r="S85" s="1"/>
      <x:c r="T85" s="1"/>
    </x:row>
    <x:row r="86" ht="18" customHeight="1">
      <x:c r="A86" s="1"/>
      <x:c r="B86" s="19" t="n">
        <x:v>79</x:v>
      </x:c>
      <x:c r="C86" s="32"/>
      <x:c r="D86" s="33"/>
      <x:c r="E86" s="27"/>
      <x:c r="F86" s="34"/>
      <x:c r="G86" s="34"/>
      <x:c r="H86" s="27"/>
      <x:c r="I86" s="51" t="str">
        <x:f>IF($G86="x",COUNTIF($G$8:$G86,"x"),"")</x:f>
      </x:c>
      <x:c r="J86" s="51" t="n">
        <x:f>IF(OR($E86="",$G86="x"),1E+99,IF($C86="",TODAY()+3650,$C86)+ROW()/100000)</x:f>
        <x:v>1e+99</x:v>
      </x:c>
      <x:c r="K86" s="1"/>
      <x:c r="L86" s="1"/>
      <x:c r="M86" s="1"/>
      <x:c r="N86" s="1"/>
      <x:c r="O86" s="1"/>
      <x:c r="P86" s="1"/>
      <x:c r="Q86" s="1"/>
      <x:c r="R86" s="1"/>
      <x:c r="S86" s="1"/>
      <x:c r="T86" s="1"/>
    </x:row>
    <x:row r="87" ht="18" customHeight="1">
      <x:c r="A87" s="1"/>
      <x:c r="B87" s="19" t="n">
        <x:v>80</x:v>
      </x:c>
      <x:c r="C87" s="32"/>
      <x:c r="D87" s="33"/>
      <x:c r="E87" s="27"/>
      <x:c r="F87" s="34"/>
      <x:c r="G87" s="34"/>
      <x:c r="H87" s="27"/>
      <x:c r="I87" s="51" t="str">
        <x:f>IF($G87="x",COUNTIF($G$8:$G87,"x"),"")</x:f>
      </x:c>
      <x:c r="J87" s="51" t="n">
        <x:f>IF(OR($E87="",$G87="x"),1E+99,IF($C87="",TODAY()+3650,$C87)+ROW()/100000)</x:f>
        <x:v>1e+99</x:v>
      </x:c>
      <x:c r="K87" s="1"/>
      <x:c r="L87" s="1"/>
      <x:c r="M87" s="1"/>
      <x:c r="N87" s="1"/>
      <x:c r="O87" s="1"/>
      <x:c r="P87" s="1"/>
      <x:c r="Q87" s="1"/>
      <x:c r="R87" s="1"/>
      <x:c r="S87" s="1"/>
      <x:c r="T87" s="1"/>
    </x:row>
    <x:row r="88" ht="18" customHeight="1">
      <x:c r="A88" s="1"/>
      <x:c r="B88" s="19" t="n">
        <x:v>81</x:v>
      </x:c>
      <x:c r="C88" s="32"/>
      <x:c r="D88" s="33"/>
      <x:c r="E88" s="27"/>
      <x:c r="F88" s="34"/>
      <x:c r="G88" s="34"/>
      <x:c r="H88" s="27"/>
      <x:c r="I88" s="51" t="str">
        <x:f>IF($G88="x",COUNTIF($G$8:$G88,"x"),"")</x:f>
      </x:c>
      <x:c r="J88" s="51" t="n">
        <x:f>IF(OR($E88="",$G88="x"),1E+99,IF($C88="",TODAY()+3650,$C88)+ROW()/100000)</x:f>
        <x:v>1e+99</x:v>
      </x:c>
      <x:c r="K88" s="1"/>
      <x:c r="L88" s="1"/>
      <x:c r="M88" s="1"/>
      <x:c r="N88" s="1"/>
      <x:c r="O88" s="1"/>
      <x:c r="P88" s="1"/>
      <x:c r="Q88" s="1"/>
      <x:c r="R88" s="1"/>
      <x:c r="S88" s="1"/>
      <x:c r="T88" s="1"/>
    </x:row>
    <x:row r="89" ht="18" customHeight="1">
      <x:c r="A89" s="1"/>
      <x:c r="B89" s="19" t="n">
        <x:v>82</x:v>
      </x:c>
      <x:c r="C89" s="32"/>
      <x:c r="D89" s="33"/>
      <x:c r="E89" s="27"/>
      <x:c r="F89" s="34"/>
      <x:c r="G89" s="34"/>
      <x:c r="H89" s="27"/>
      <x:c r="I89" s="51" t="str">
        <x:f>IF($G89="x",COUNTIF($G$8:$G89,"x"),"")</x:f>
      </x:c>
      <x:c r="J89" s="51" t="n">
        <x:f>IF(OR($E89="",$G89="x"),1E+99,IF($C89="",TODAY()+3650,$C89)+ROW()/100000)</x:f>
        <x:v>1e+99</x:v>
      </x:c>
      <x:c r="K89" s="1"/>
      <x:c r="L89" s="1"/>
      <x:c r="M89" s="1"/>
      <x:c r="N89" s="1"/>
      <x:c r="O89" s="1"/>
      <x:c r="P89" s="1"/>
      <x:c r="Q89" s="1"/>
      <x:c r="R89" s="1"/>
      <x:c r="S89" s="1"/>
      <x:c r="T89" s="1"/>
    </x:row>
    <x:row r="90" ht="18" customHeight="1">
      <x:c r="A90" s="1"/>
      <x:c r="B90" s="19" t="n">
        <x:v>83</x:v>
      </x:c>
      <x:c r="C90" s="32"/>
      <x:c r="D90" s="33"/>
      <x:c r="E90" s="27"/>
      <x:c r="F90" s="34"/>
      <x:c r="G90" s="34"/>
      <x:c r="H90" s="27"/>
      <x:c r="I90" s="51" t="str">
        <x:f>IF($G90="x",COUNTIF($G$8:$G90,"x"),"")</x:f>
      </x:c>
      <x:c r="J90" s="51" t="n">
        <x:f>IF(OR($E90="",$G90="x"),1E+99,IF($C90="",TODAY()+3650,$C90)+ROW()/100000)</x:f>
        <x:v>1e+99</x:v>
      </x:c>
      <x:c r="K90" s="1"/>
      <x:c r="L90" s="1"/>
      <x:c r="M90" s="1"/>
      <x:c r="N90" s="1"/>
      <x:c r="O90" s="1"/>
      <x:c r="P90" s="1"/>
      <x:c r="Q90" s="1"/>
      <x:c r="R90" s="1"/>
      <x:c r="S90" s="1"/>
      <x:c r="T90" s="1"/>
    </x:row>
    <x:row r="91" ht="18" customHeight="1">
      <x:c r="A91" s="1"/>
      <x:c r="B91" s="19" t="n">
        <x:v>84</x:v>
      </x:c>
      <x:c r="C91" s="32"/>
      <x:c r="D91" s="33"/>
      <x:c r="E91" s="27"/>
      <x:c r="F91" s="34"/>
      <x:c r="G91" s="34"/>
      <x:c r="H91" s="27"/>
      <x:c r="I91" s="51" t="str">
        <x:f>IF($G91="x",COUNTIF($G$8:$G91,"x"),"")</x:f>
      </x:c>
      <x:c r="J91" s="51" t="n">
        <x:f>IF(OR($E91="",$G91="x"),1E+99,IF($C91="",TODAY()+3650,$C91)+ROW()/100000)</x:f>
        <x:v>1e+99</x:v>
      </x:c>
      <x:c r="K91" s="1"/>
      <x:c r="L91" s="1"/>
      <x:c r="M91" s="1"/>
      <x:c r="N91" s="1"/>
      <x:c r="O91" s="1"/>
      <x:c r="P91" s="1"/>
      <x:c r="Q91" s="1"/>
      <x:c r="R91" s="1"/>
      <x:c r="S91" s="1"/>
      <x:c r="T91" s="1"/>
    </x:row>
    <x:row r="92" ht="18" customHeight="1">
      <x:c r="A92" s="1"/>
      <x:c r="B92" s="19" t="n">
        <x:v>85</x:v>
      </x:c>
      <x:c r="C92" s="32"/>
      <x:c r="D92" s="33"/>
      <x:c r="E92" s="27"/>
      <x:c r="F92" s="34"/>
      <x:c r="G92" s="34"/>
      <x:c r="H92" s="27"/>
      <x:c r="I92" s="51" t="str">
        <x:f>IF($G92="x",COUNTIF($G$8:$G92,"x"),"")</x:f>
      </x:c>
      <x:c r="J92" s="51" t="n">
        <x:f>IF(OR($E92="",$G92="x"),1E+99,IF($C92="",TODAY()+3650,$C92)+ROW()/100000)</x:f>
        <x:v>1e+99</x:v>
      </x:c>
      <x:c r="K92" s="1"/>
      <x:c r="L92" s="1"/>
      <x:c r="M92" s="1"/>
      <x:c r="N92" s="1"/>
      <x:c r="O92" s="1"/>
      <x:c r="P92" s="1"/>
      <x:c r="Q92" s="1"/>
      <x:c r="R92" s="1"/>
      <x:c r="S92" s="1"/>
      <x:c r="T92" s="1"/>
    </x:row>
    <x:row r="93" ht="18" customHeight="1">
      <x:c r="A93" s="1"/>
      <x:c r="B93" s="19" t="n">
        <x:v>86</x:v>
      </x:c>
      <x:c r="C93" s="32"/>
      <x:c r="D93" s="33"/>
      <x:c r="E93" s="27"/>
      <x:c r="F93" s="34"/>
      <x:c r="G93" s="34"/>
      <x:c r="H93" s="27"/>
      <x:c r="I93" s="51" t="str">
        <x:f>IF($G93="x",COUNTIF($G$8:$G93,"x"),"")</x:f>
      </x:c>
      <x:c r="J93" s="51" t="n">
        <x:f>IF(OR($E93="",$G93="x"),1E+99,IF($C93="",TODAY()+3650,$C93)+ROW()/100000)</x:f>
        <x:v>1e+99</x:v>
      </x:c>
      <x:c r="K93" s="1"/>
      <x:c r="L93" s="1"/>
      <x:c r="M93" s="1"/>
      <x:c r="N93" s="1"/>
      <x:c r="O93" s="1"/>
      <x:c r="P93" s="1"/>
      <x:c r="Q93" s="1"/>
      <x:c r="R93" s="1"/>
      <x:c r="S93" s="1"/>
      <x:c r="T93" s="1"/>
    </x:row>
    <x:row r="94" ht="18" customHeight="1">
      <x:c r="A94" s="1"/>
      <x:c r="B94" s="19" t="n">
        <x:v>87</x:v>
      </x:c>
      <x:c r="C94" s="32"/>
      <x:c r="D94" s="33"/>
      <x:c r="E94" s="27"/>
      <x:c r="F94" s="34"/>
      <x:c r="G94" s="34"/>
      <x:c r="H94" s="27"/>
      <x:c r="I94" s="51" t="str">
        <x:f>IF($G94="x",COUNTIF($G$8:$G94,"x"),"")</x:f>
      </x:c>
      <x:c r="J94" s="51" t="n">
        <x:f>IF(OR($E94="",$G94="x"),1E+99,IF($C94="",TODAY()+3650,$C94)+ROW()/100000)</x:f>
        <x:v>1e+99</x:v>
      </x:c>
      <x:c r="K94" s="1"/>
      <x:c r="L94" s="1"/>
      <x:c r="M94" s="1"/>
      <x:c r="N94" s="1"/>
      <x:c r="O94" s="1"/>
      <x:c r="P94" s="1"/>
      <x:c r="Q94" s="1"/>
      <x:c r="R94" s="1"/>
      <x:c r="S94" s="1"/>
      <x:c r="T94" s="1"/>
    </x:row>
    <x:row r="95" ht="18" customHeight="1">
      <x:c r="A95" s="1"/>
      <x:c r="B95" s="19" t="n">
        <x:v>88</x:v>
      </x:c>
      <x:c r="C95" s="32"/>
      <x:c r="D95" s="33"/>
      <x:c r="E95" s="27"/>
      <x:c r="F95" s="34"/>
      <x:c r="G95" s="34"/>
      <x:c r="H95" s="27"/>
      <x:c r="I95" s="51" t="str">
        <x:f>IF($G95="x",COUNTIF($G$8:$G95,"x"),"")</x:f>
      </x:c>
      <x:c r="J95" s="51" t="n">
        <x:f>IF(OR($E95="",$G95="x"),1E+99,IF($C95="",TODAY()+3650,$C95)+ROW()/100000)</x:f>
        <x:v>1e+99</x:v>
      </x:c>
      <x:c r="K95" s="1"/>
      <x:c r="L95" s="1"/>
      <x:c r="M95" s="1"/>
      <x:c r="N95" s="1"/>
      <x:c r="O95" s="1"/>
      <x:c r="P95" s="1"/>
      <x:c r="Q95" s="1"/>
      <x:c r="R95" s="1"/>
      <x:c r="S95" s="1"/>
      <x:c r="T95" s="1"/>
    </x:row>
    <x:row r="96" ht="18" customHeight="1">
      <x:c r="A96" s="1"/>
      <x:c r="B96" s="19" t="n">
        <x:v>89</x:v>
      </x:c>
      <x:c r="C96" s="32"/>
      <x:c r="D96" s="33"/>
      <x:c r="E96" s="27"/>
      <x:c r="F96" s="34"/>
      <x:c r="G96" s="34"/>
      <x:c r="H96" s="27"/>
      <x:c r="I96" s="51" t="str">
        <x:f>IF($G96="x",COUNTIF($G$8:$G96,"x"),"")</x:f>
      </x:c>
      <x:c r="J96" s="51" t="n">
        <x:f>IF(OR($E96="",$G96="x"),1E+99,IF($C96="",TODAY()+3650,$C96)+ROW()/100000)</x:f>
        <x:v>1e+99</x:v>
      </x:c>
      <x:c r="K96" s="1"/>
      <x:c r="L96" s="1"/>
      <x:c r="M96" s="1"/>
      <x:c r="N96" s="1"/>
      <x:c r="O96" s="1"/>
      <x:c r="P96" s="1"/>
      <x:c r="Q96" s="1"/>
      <x:c r="R96" s="1"/>
      <x:c r="S96" s="1"/>
      <x:c r="T96" s="1"/>
    </x:row>
    <x:row r="97" ht="18" customHeight="1">
      <x:c r="A97" s="1"/>
      <x:c r="B97" s="19" t="n">
        <x:v>90</x:v>
      </x:c>
      <x:c r="C97" s="32"/>
      <x:c r="D97" s="33"/>
      <x:c r="E97" s="27"/>
      <x:c r="F97" s="34"/>
      <x:c r="G97" s="34"/>
      <x:c r="H97" s="27"/>
      <x:c r="I97" s="51" t="str">
        <x:f>IF($G97="x",COUNTIF($G$8:$G97,"x"),"")</x:f>
      </x:c>
      <x:c r="J97" s="51" t="n">
        <x:f>IF(OR($E97="",$G97="x"),1E+99,IF($C97="",TODAY()+3650,$C97)+ROW()/100000)</x:f>
        <x:v>1e+99</x:v>
      </x:c>
      <x:c r="K97" s="1"/>
      <x:c r="L97" s="1"/>
      <x:c r="M97" s="1"/>
      <x:c r="N97" s="1"/>
      <x:c r="O97" s="1"/>
      <x:c r="P97" s="1"/>
      <x:c r="Q97" s="1"/>
      <x:c r="R97" s="1"/>
      <x:c r="S97" s="1"/>
      <x:c r="T97" s="1"/>
    </x:row>
    <x:row r="98" ht="18" customHeight="1">
      <x:c r="A98" s="1"/>
      <x:c r="B98" s="19" t="n">
        <x:v>91</x:v>
      </x:c>
      <x:c r="C98" s="32"/>
      <x:c r="D98" s="33"/>
      <x:c r="E98" s="27"/>
      <x:c r="F98" s="34"/>
      <x:c r="G98" s="34"/>
      <x:c r="H98" s="27"/>
      <x:c r="I98" s="51" t="str">
        <x:f>IF($G98="x",COUNTIF($G$8:$G98,"x"),"")</x:f>
      </x:c>
      <x:c r="J98" s="51" t="n">
        <x:f>IF(OR($E98="",$G98="x"),1E+99,IF($C98="",TODAY()+3650,$C98)+ROW()/100000)</x:f>
        <x:v>1e+99</x:v>
      </x:c>
      <x:c r="K98" s="1"/>
      <x:c r="L98" s="1"/>
      <x:c r="M98" s="1"/>
      <x:c r="N98" s="1"/>
      <x:c r="O98" s="1"/>
      <x:c r="P98" s="1"/>
      <x:c r="Q98" s="1"/>
      <x:c r="R98" s="1"/>
      <x:c r="S98" s="1"/>
      <x:c r="T98" s="1"/>
    </x:row>
    <x:row r="99" ht="18" customHeight="1">
      <x:c r="A99" s="1"/>
      <x:c r="B99" s="19" t="n">
        <x:v>92</x:v>
      </x:c>
      <x:c r="C99" s="32"/>
      <x:c r="D99" s="33"/>
      <x:c r="E99" s="27"/>
      <x:c r="F99" s="34"/>
      <x:c r="G99" s="34"/>
      <x:c r="H99" s="27"/>
      <x:c r="I99" s="51" t="str">
        <x:f>IF($G99="x",COUNTIF($G$8:$G99,"x"),"")</x:f>
      </x:c>
      <x:c r="J99" s="51" t="n">
        <x:f>IF(OR($E99="",$G99="x"),1E+99,IF($C99="",TODAY()+3650,$C99)+ROW()/100000)</x:f>
        <x:v>1e+99</x:v>
      </x:c>
      <x:c r="K99" s="1"/>
      <x:c r="L99" s="1"/>
      <x:c r="M99" s="1"/>
      <x:c r="N99" s="1"/>
      <x:c r="O99" s="1"/>
      <x:c r="P99" s="1"/>
      <x:c r="Q99" s="1"/>
      <x:c r="R99" s="1"/>
      <x:c r="S99" s="1"/>
      <x:c r="T99" s="1"/>
    </x:row>
    <x:row r="100" ht="18" customHeight="1">
      <x:c r="A100" s="1"/>
      <x:c r="B100" s="19" t="n">
        <x:v>93</x:v>
      </x:c>
      <x:c r="C100" s="32"/>
      <x:c r="D100" s="33"/>
      <x:c r="E100" s="27"/>
      <x:c r="F100" s="34"/>
      <x:c r="G100" s="34"/>
      <x:c r="H100" s="27"/>
      <x:c r="I100" s="51" t="str">
        <x:f>IF($G100="x",COUNTIF($G$8:$G100,"x"),"")</x:f>
      </x:c>
      <x:c r="J100" s="51" t="n">
        <x:f>IF(OR($E100="",$G100="x"),1E+99,IF($C100="",TODAY()+3650,$C100)+ROW()/100000)</x:f>
        <x:v>1e+99</x:v>
      </x:c>
      <x:c r="K100" s="1"/>
      <x:c r="L100" s="1"/>
      <x:c r="M100" s="1"/>
      <x:c r="N100" s="1"/>
      <x:c r="O100" s="1"/>
      <x:c r="P100" s="1"/>
      <x:c r="Q100" s="1"/>
      <x:c r="R100" s="1"/>
      <x:c r="S100" s="1"/>
      <x:c r="T100" s="1"/>
    </x:row>
    <x:row r="101" ht="18" customHeight="1">
      <x:c r="A101" s="1"/>
      <x:c r="B101" s="19" t="n">
        <x:v>94</x:v>
      </x:c>
      <x:c r="C101" s="32"/>
      <x:c r="D101" s="33"/>
      <x:c r="E101" s="27"/>
      <x:c r="F101" s="34"/>
      <x:c r="G101" s="34"/>
      <x:c r="H101" s="27"/>
      <x:c r="I101" s="51" t="str">
        <x:f>IF($G101="x",COUNTIF($G$8:$G101,"x"),"")</x:f>
      </x:c>
      <x:c r="J101" s="51" t="n">
        <x:f>IF(OR($E101="",$G101="x"),1E+99,IF($C101="",TODAY()+3650,$C101)+ROW()/100000)</x:f>
        <x:v>1e+99</x:v>
      </x:c>
      <x:c r="K101" s="1"/>
      <x:c r="L101" s="1"/>
      <x:c r="M101" s="1"/>
      <x:c r="N101" s="1"/>
      <x:c r="O101" s="1"/>
      <x:c r="P101" s="1"/>
      <x:c r="Q101" s="1"/>
      <x:c r="R101" s="1"/>
      <x:c r="S101" s="1"/>
      <x:c r="T101" s="1"/>
    </x:row>
    <x:row r="102" ht="18" customHeight="1">
      <x:c r="A102" s="1"/>
      <x:c r="B102" s="19" t="n">
        <x:v>95</x:v>
      </x:c>
      <x:c r="C102" s="32"/>
      <x:c r="D102" s="33"/>
      <x:c r="E102" s="27"/>
      <x:c r="F102" s="34"/>
      <x:c r="G102" s="34"/>
      <x:c r="H102" s="27"/>
      <x:c r="I102" s="51" t="str">
        <x:f>IF($G102="x",COUNTIF($G$8:$G102,"x"),"")</x:f>
      </x:c>
      <x:c r="J102" s="51" t="n">
        <x:f>IF(OR($E102="",$G102="x"),1E+99,IF($C102="",TODAY()+3650,$C102)+ROW()/100000)</x:f>
        <x:v>1e+99</x:v>
      </x:c>
      <x:c r="K102" s="1"/>
      <x:c r="L102" s="1"/>
      <x:c r="M102" s="1"/>
      <x:c r="N102" s="1"/>
      <x:c r="O102" s="1"/>
      <x:c r="P102" s="1"/>
      <x:c r="Q102" s="1"/>
      <x:c r="R102" s="1"/>
      <x:c r="S102" s="1"/>
      <x:c r="T102" s="1"/>
    </x:row>
    <x:row r="103" ht="18" customHeight="1">
      <x:c r="A103" s="1"/>
      <x:c r="B103" s="19" t="n">
        <x:v>96</x:v>
      </x:c>
      <x:c r="C103" s="32"/>
      <x:c r="D103" s="33"/>
      <x:c r="E103" s="27"/>
      <x:c r="F103" s="34"/>
      <x:c r="G103" s="34"/>
      <x:c r="H103" s="27"/>
      <x:c r="I103" s="51" t="str">
        <x:f>IF($G103="x",COUNTIF($G$8:$G103,"x"),"")</x:f>
      </x:c>
      <x:c r="J103" s="51" t="n">
        <x:f>IF(OR($E103="",$G103="x"),1E+99,IF($C103="",TODAY()+3650,$C103)+ROW()/100000)</x:f>
        <x:v>1e+99</x:v>
      </x:c>
      <x:c r="K103" s="1"/>
      <x:c r="L103" s="1"/>
      <x:c r="M103" s="1"/>
      <x:c r="N103" s="1"/>
      <x:c r="O103" s="1"/>
      <x:c r="P103" s="1"/>
      <x:c r="Q103" s="1"/>
      <x:c r="R103" s="1"/>
      <x:c r="S103" s="1"/>
      <x:c r="T103" s="1"/>
    </x:row>
    <x:row r="104" ht="18" customHeight="1">
      <x:c r="A104" s="1"/>
      <x:c r="B104" s="19" t="n">
        <x:v>97</x:v>
      </x:c>
      <x:c r="C104" s="32"/>
      <x:c r="D104" s="33"/>
      <x:c r="E104" s="27"/>
      <x:c r="F104" s="34"/>
      <x:c r="G104" s="34"/>
      <x:c r="H104" s="27"/>
      <x:c r="I104" s="51" t="str">
        <x:f>IF($G104="x",COUNTIF($G$8:$G104,"x"),"")</x:f>
      </x:c>
      <x:c r="J104" s="51" t="n">
        <x:f>IF(OR($E104="",$G104="x"),1E+99,IF($C104="",TODAY()+3650,$C104)+ROW()/100000)</x:f>
        <x:v>1e+99</x:v>
      </x:c>
      <x:c r="K104" s="1"/>
      <x:c r="L104" s="1"/>
      <x:c r="M104" s="1"/>
      <x:c r="N104" s="1"/>
      <x:c r="O104" s="1"/>
      <x:c r="P104" s="1"/>
      <x:c r="Q104" s="1"/>
      <x:c r="R104" s="1"/>
      <x:c r="S104" s="1"/>
      <x:c r="T104" s="1"/>
    </x:row>
    <x:row r="105" ht="18" customHeight="1">
      <x:c r="A105" s="1"/>
      <x:c r="B105" s="19" t="n">
        <x:v>98</x:v>
      </x:c>
      <x:c r="C105" s="32"/>
      <x:c r="D105" s="33"/>
      <x:c r="E105" s="27"/>
      <x:c r="F105" s="34"/>
      <x:c r="G105" s="34"/>
      <x:c r="H105" s="27"/>
      <x:c r="I105" s="51" t="str">
        <x:f>IF($G105="x",COUNTIF($G$8:$G105,"x"),"")</x:f>
      </x:c>
      <x:c r="J105" s="51" t="n">
        <x:f>IF(OR($E105="",$G105="x"),1E+99,IF($C105="",TODAY()+3650,$C105)+ROW()/100000)</x:f>
        <x:v>1e+99</x:v>
      </x:c>
      <x:c r="K105" s="1"/>
      <x:c r="L105" s="1"/>
      <x:c r="M105" s="1"/>
      <x:c r="N105" s="1"/>
      <x:c r="O105" s="1"/>
      <x:c r="P105" s="1"/>
      <x:c r="Q105" s="1"/>
      <x:c r="R105" s="1"/>
      <x:c r="S105" s="1"/>
      <x:c r="T105" s="1"/>
    </x:row>
    <x:row r="106" ht="18" customHeight="1">
      <x:c r="A106" s="1"/>
      <x:c r="B106" s="19" t="n">
        <x:v>99</x:v>
      </x:c>
      <x:c r="C106" s="32"/>
      <x:c r="D106" s="33"/>
      <x:c r="E106" s="27"/>
      <x:c r="F106" s="34"/>
      <x:c r="G106" s="34"/>
      <x:c r="H106" s="27"/>
      <x:c r="I106" s="51" t="str">
        <x:f>IF($G106="x",COUNTIF($G$8:$G106,"x"),"")</x:f>
      </x:c>
      <x:c r="J106" s="51" t="n">
        <x:f>IF(OR($E106="",$G106="x"),1E+99,IF($C106="",TODAY()+3650,$C106)+ROW()/100000)</x:f>
        <x:v>1e+99</x:v>
      </x:c>
      <x:c r="K106" s="1"/>
      <x:c r="L106" s="1"/>
      <x:c r="M106" s="1"/>
      <x:c r="N106" s="1"/>
      <x:c r="O106" s="1"/>
      <x:c r="P106" s="1"/>
      <x:c r="Q106" s="1"/>
      <x:c r="R106" s="1"/>
      <x:c r="S106" s="1"/>
      <x:c r="T106" s="1"/>
    </x:row>
    <x:row r="107" ht="18" customHeight="1">
      <x:c r="A107" s="1"/>
      <x:c r="B107" s="19" t="n">
        <x:v>100</x:v>
      </x:c>
      <x:c r="C107" s="32"/>
      <x:c r="D107" s="33"/>
      <x:c r="E107" s="27"/>
      <x:c r="F107" s="34"/>
      <x:c r="G107" s="34"/>
      <x:c r="H107" s="27"/>
      <x:c r="I107" s="51" t="str">
        <x:f>IF($G107="x",COUNTIF($G$8:$G107,"x"),"")</x:f>
      </x:c>
      <x:c r="J107" s="51" t="n">
        <x:f>IF(OR($E107="",$G107="x"),1E+99,IF($C107="",TODAY()+3650,$C107)+ROW()/100000)</x:f>
        <x:v>1e+99</x:v>
      </x:c>
      <x:c r="K107" s="1"/>
      <x:c r="L107" s="1"/>
      <x:c r="M107" s="1"/>
      <x:c r="N107" s="1"/>
      <x:c r="O107" s="1"/>
      <x:c r="P107" s="1"/>
      <x:c r="Q107" s="1"/>
      <x:c r="R107" s="1"/>
      <x:c r="S107" s="1"/>
      <x:c r="T107" s="1"/>
    </x:row>
    <x:row r="108" ht="18" customHeight="1">
      <x:c r="A108" s="1"/>
      <x:c r="B108" s="19" t="n">
        <x:v>101</x:v>
      </x:c>
      <x:c r="C108" s="32"/>
      <x:c r="D108" s="33"/>
      <x:c r="E108" s="27"/>
      <x:c r="F108" s="34"/>
      <x:c r="G108" s="34"/>
      <x:c r="H108" s="27"/>
      <x:c r="I108" s="51" t="str">
        <x:f>IF($G108="x",COUNTIF($G$8:$G108,"x"),"")</x:f>
      </x:c>
      <x:c r="J108" s="51" t="n">
        <x:f>IF(OR($E108="",$G108="x"),1E+99,IF($C108="",TODAY()+3650,$C108)+ROW()/100000)</x:f>
        <x:v>1e+99</x:v>
      </x:c>
      <x:c r="K108" s="1"/>
      <x:c r="L108" s="1"/>
      <x:c r="M108" s="1"/>
      <x:c r="N108" s="1"/>
      <x:c r="O108" s="1"/>
      <x:c r="P108" s="1"/>
      <x:c r="Q108" s="1"/>
      <x:c r="R108" s="1"/>
      <x:c r="S108" s="1"/>
      <x:c r="T108" s="1"/>
    </x:row>
    <x:row r="109" ht="18" customHeight="1">
      <x:c r="A109" s="1"/>
      <x:c r="B109" s="19" t="n">
        <x:v>102</x:v>
      </x:c>
      <x:c r="C109" s="32"/>
      <x:c r="D109" s="33"/>
      <x:c r="E109" s="27"/>
      <x:c r="F109" s="34"/>
      <x:c r="G109" s="34"/>
      <x:c r="H109" s="27"/>
      <x:c r="I109" s="51" t="str">
        <x:f>IF($G109="x",COUNTIF($G$8:$G109,"x"),"")</x:f>
      </x:c>
      <x:c r="J109" s="51" t="n">
        <x:f>IF(OR($E109="",$G109="x"),1E+99,IF($C109="",TODAY()+3650,$C109)+ROW()/100000)</x:f>
        <x:v>1e+99</x:v>
      </x:c>
      <x:c r="K109" s="1"/>
      <x:c r="L109" s="1"/>
      <x:c r="M109" s="1"/>
      <x:c r="N109" s="1"/>
      <x:c r="O109" s="1"/>
      <x:c r="P109" s="1"/>
      <x:c r="Q109" s="1"/>
      <x:c r="R109" s="1"/>
      <x:c r="S109" s="1"/>
      <x:c r="T109" s="1"/>
    </x:row>
    <x:row r="110" ht="18" customHeight="1">
      <x:c r="A110" s="1"/>
      <x:c r="B110" s="19" t="n">
        <x:v>103</x:v>
      </x:c>
      <x:c r="C110" s="32"/>
      <x:c r="D110" s="33"/>
      <x:c r="E110" s="27"/>
      <x:c r="F110" s="34"/>
      <x:c r="G110" s="34"/>
      <x:c r="H110" s="27"/>
      <x:c r="I110" s="51" t="str">
        <x:f>IF($G110="x",COUNTIF($G$8:$G110,"x"),"")</x:f>
      </x:c>
      <x:c r="J110" s="51" t="n">
        <x:f>IF(OR($E110="",$G110="x"),1E+99,IF($C110="",TODAY()+3650,$C110)+ROW()/100000)</x:f>
        <x:v>1e+99</x:v>
      </x:c>
      <x:c r="K110" s="1"/>
      <x:c r="L110" s="1"/>
      <x:c r="M110" s="1"/>
      <x:c r="N110" s="1"/>
      <x:c r="O110" s="1"/>
      <x:c r="P110" s="1"/>
      <x:c r="Q110" s="1"/>
      <x:c r="R110" s="1"/>
      <x:c r="S110" s="1"/>
      <x:c r="T110" s="1"/>
    </x:row>
    <x:row r="111" ht="18" customHeight="1">
      <x:c r="A111" s="1"/>
      <x:c r="B111" s="19" t="n">
        <x:v>104</x:v>
      </x:c>
      <x:c r="C111" s="32"/>
      <x:c r="D111" s="33"/>
      <x:c r="E111" s="27"/>
      <x:c r="F111" s="34"/>
      <x:c r="G111" s="34"/>
      <x:c r="H111" s="27"/>
      <x:c r="I111" s="51" t="str">
        <x:f>IF($G111="x",COUNTIF($G$8:$G111,"x"),"")</x:f>
      </x:c>
      <x:c r="J111" s="51" t="n">
        <x:f>IF(OR($E111="",$G111="x"),1E+99,IF($C111="",TODAY()+3650,$C111)+ROW()/100000)</x:f>
        <x:v>1e+99</x:v>
      </x:c>
      <x:c r="K111" s="1"/>
      <x:c r="L111" s="1"/>
      <x:c r="M111" s="1"/>
      <x:c r="N111" s="1"/>
      <x:c r="O111" s="1"/>
      <x:c r="P111" s="1"/>
      <x:c r="Q111" s="1"/>
      <x:c r="R111" s="1"/>
      <x:c r="S111" s="1"/>
      <x:c r="T111" s="1"/>
    </x:row>
    <x:row r="112" ht="18" customHeight="1">
      <x:c r="A112" s="1"/>
      <x:c r="B112" s="19" t="n">
        <x:v>105</x:v>
      </x:c>
      <x:c r="C112" s="32"/>
      <x:c r="D112" s="33"/>
      <x:c r="E112" s="27"/>
      <x:c r="F112" s="34"/>
      <x:c r="G112" s="34"/>
      <x:c r="H112" s="27"/>
      <x:c r="I112" s="51" t="str">
        <x:f>IF($G112="x",COUNTIF($G$8:$G112,"x"),"")</x:f>
      </x:c>
      <x:c r="J112" s="51" t="n">
        <x:f>IF(OR($E112="",$G112="x"),1E+99,IF($C112="",TODAY()+3650,$C112)+ROW()/100000)</x:f>
        <x:v>1e+99</x:v>
      </x:c>
      <x:c r="K112" s="1"/>
      <x:c r="L112" s="1"/>
      <x:c r="M112" s="1"/>
      <x:c r="N112" s="1"/>
      <x:c r="O112" s="1"/>
      <x:c r="P112" s="1"/>
      <x:c r="Q112" s="1"/>
      <x:c r="R112" s="1"/>
      <x:c r="S112" s="1"/>
      <x:c r="T112" s="1"/>
    </x:row>
    <x:row r="113" ht="18" customHeight="1">
      <x:c r="A113" s="1"/>
      <x:c r="B113" s="19" t="n">
        <x:v>106</x:v>
      </x:c>
      <x:c r="C113" s="32"/>
      <x:c r="D113" s="33"/>
      <x:c r="E113" s="27"/>
      <x:c r="F113" s="34"/>
      <x:c r="G113" s="34"/>
      <x:c r="H113" s="27"/>
      <x:c r="I113" s="51" t="str">
        <x:f>IF($G113="x",COUNTIF($G$8:$G113,"x"),"")</x:f>
      </x:c>
      <x:c r="J113" s="51" t="n">
        <x:f>IF(OR($E113="",$G113="x"),1E+99,IF($C113="",TODAY()+3650,$C113)+ROW()/100000)</x:f>
        <x:v>1e+99</x:v>
      </x:c>
      <x:c r="K113" s="1"/>
      <x:c r="L113" s="1"/>
      <x:c r="M113" s="1"/>
      <x:c r="N113" s="1"/>
      <x:c r="O113" s="1"/>
      <x:c r="P113" s="1"/>
      <x:c r="Q113" s="1"/>
      <x:c r="R113" s="1"/>
      <x:c r="S113" s="1"/>
      <x:c r="T113" s="1"/>
    </x:row>
    <x:row r="114" ht="18" customHeight="1">
      <x:c r="A114" s="1"/>
      <x:c r="B114" s="19" t="n">
        <x:v>107</x:v>
      </x:c>
      <x:c r="C114" s="32"/>
      <x:c r="D114" s="33"/>
      <x:c r="E114" s="27"/>
      <x:c r="F114" s="34"/>
      <x:c r="G114" s="34"/>
      <x:c r="H114" s="27"/>
      <x:c r="I114" s="51" t="str">
        <x:f>IF($G114="x",COUNTIF($G$8:$G114,"x"),"")</x:f>
      </x:c>
      <x:c r="J114" s="51" t="n">
        <x:f>IF(OR($E114="",$G114="x"),1E+99,IF($C114="",TODAY()+3650,$C114)+ROW()/100000)</x:f>
        <x:v>1e+99</x:v>
      </x:c>
      <x:c r="K114" s="1"/>
      <x:c r="L114" s="1"/>
      <x:c r="M114" s="1"/>
      <x:c r="N114" s="1"/>
      <x:c r="O114" s="1"/>
      <x:c r="P114" s="1"/>
      <x:c r="Q114" s="1"/>
      <x:c r="R114" s="1"/>
      <x:c r="S114" s="1"/>
      <x:c r="T114" s="1"/>
    </x:row>
    <x:row r="115" ht="18" customHeight="1">
      <x:c r="A115" s="1"/>
      <x:c r="B115" s="19" t="n">
        <x:v>108</x:v>
      </x:c>
      <x:c r="C115" s="32"/>
      <x:c r="D115" s="33"/>
      <x:c r="E115" s="27"/>
      <x:c r="F115" s="34"/>
      <x:c r="G115" s="34"/>
      <x:c r="H115" s="27"/>
      <x:c r="I115" s="51" t="str">
        <x:f>IF($G115="x",COUNTIF($G$8:$G115,"x"),"")</x:f>
      </x:c>
      <x:c r="J115" s="51" t="n">
        <x:f>IF(OR($E115="",$G115="x"),1E+99,IF($C115="",TODAY()+3650,$C115)+ROW()/100000)</x:f>
        <x:v>1e+99</x:v>
      </x:c>
      <x:c r="K115" s="1"/>
      <x:c r="L115" s="1"/>
      <x:c r="M115" s="1"/>
      <x:c r="N115" s="1"/>
      <x:c r="O115" s="1"/>
      <x:c r="P115" s="1"/>
      <x:c r="Q115" s="1"/>
      <x:c r="R115" s="1"/>
      <x:c r="S115" s="1"/>
      <x:c r="T115" s="1"/>
    </x:row>
    <x:row r="116" ht="18" customHeight="1">
      <x:c r="A116" s="1"/>
      <x:c r="B116" s="19" t="n">
        <x:v>109</x:v>
      </x:c>
      <x:c r="C116" s="32"/>
      <x:c r="D116" s="33"/>
      <x:c r="E116" s="27"/>
      <x:c r="F116" s="34"/>
      <x:c r="G116" s="34"/>
      <x:c r="H116" s="27"/>
      <x:c r="I116" s="51" t="str">
        <x:f>IF($G116="x",COUNTIF($G$8:$G116,"x"),"")</x:f>
      </x:c>
      <x:c r="J116" s="51" t="n">
        <x:f>IF(OR($E116="",$G116="x"),1E+99,IF($C116="",TODAY()+3650,$C116)+ROW()/100000)</x:f>
        <x:v>1e+99</x:v>
      </x:c>
      <x:c r="K116" s="1"/>
      <x:c r="L116" s="1"/>
      <x:c r="M116" s="1"/>
      <x:c r="N116" s="1"/>
      <x:c r="O116" s="1"/>
      <x:c r="P116" s="1"/>
      <x:c r="Q116" s="1"/>
      <x:c r="R116" s="1"/>
      <x:c r="S116" s="1"/>
      <x:c r="T116" s="1"/>
    </x:row>
    <x:row r="117" ht="18" customHeight="1">
      <x:c r="A117" s="1"/>
      <x:c r="B117" s="19" t="n">
        <x:v>110</x:v>
      </x:c>
      <x:c r="C117" s="32"/>
      <x:c r="D117" s="33"/>
      <x:c r="E117" s="27"/>
      <x:c r="F117" s="34"/>
      <x:c r="G117" s="34"/>
      <x:c r="H117" s="27"/>
      <x:c r="I117" s="51" t="str">
        <x:f>IF($G117="x",COUNTIF($G$8:$G117,"x"),"")</x:f>
      </x:c>
      <x:c r="J117" s="51" t="n">
        <x:f>IF(OR($E117="",$G117="x"),1E+99,IF($C117="",TODAY()+3650,$C117)+ROW()/100000)</x:f>
        <x:v>1e+99</x:v>
      </x:c>
      <x:c r="K117" s="1"/>
      <x:c r="L117" s="1"/>
      <x:c r="M117" s="1"/>
      <x:c r="N117" s="1"/>
      <x:c r="O117" s="1"/>
      <x:c r="P117" s="1"/>
      <x:c r="Q117" s="1"/>
      <x:c r="R117" s="1"/>
      <x:c r="S117" s="1"/>
      <x:c r="T117" s="1"/>
    </x:row>
    <x:row r="118" ht="18" customHeight="1">
      <x:c r="A118" s="1"/>
      <x:c r="B118" s="19" t="n">
        <x:v>111</x:v>
      </x:c>
      <x:c r="C118" s="32"/>
      <x:c r="D118" s="33"/>
      <x:c r="E118" s="27"/>
      <x:c r="F118" s="34"/>
      <x:c r="G118" s="34"/>
      <x:c r="H118" s="27"/>
      <x:c r="I118" s="51" t="str">
        <x:f>IF($G118="x",COUNTIF($G$8:$G118,"x"),"")</x:f>
      </x:c>
      <x:c r="J118" s="51" t="n">
        <x:f>IF(OR($E118="",$G118="x"),1E+99,IF($C118="",TODAY()+3650,$C118)+ROW()/100000)</x:f>
        <x:v>1e+99</x:v>
      </x:c>
      <x:c r="K118" s="1"/>
      <x:c r="L118" s="1"/>
      <x:c r="M118" s="1"/>
      <x:c r="N118" s="1"/>
      <x:c r="O118" s="1"/>
      <x:c r="P118" s="1"/>
      <x:c r="Q118" s="1"/>
      <x:c r="R118" s="1"/>
      <x:c r="S118" s="1"/>
      <x:c r="T118" s="1"/>
    </x:row>
    <x:row r="119" ht="18" customHeight="1">
      <x:c r="A119" s="1"/>
      <x:c r="B119" s="19" t="n">
        <x:v>112</x:v>
      </x:c>
      <x:c r="C119" s="32"/>
      <x:c r="D119" s="33"/>
      <x:c r="E119" s="27"/>
      <x:c r="F119" s="34"/>
      <x:c r="G119" s="34"/>
      <x:c r="H119" s="27"/>
      <x:c r="I119" s="51" t="str">
        <x:f>IF($G119="x",COUNTIF($G$8:$G119,"x"),"")</x:f>
      </x:c>
      <x:c r="J119" s="51" t="n">
        <x:f>IF(OR($E119="",$G119="x"),1E+99,IF($C119="",TODAY()+3650,$C119)+ROW()/100000)</x:f>
        <x:v>1e+99</x:v>
      </x:c>
      <x:c r="K119" s="1"/>
      <x:c r="L119" s="1"/>
      <x:c r="M119" s="1"/>
      <x:c r="N119" s="1"/>
      <x:c r="O119" s="1"/>
      <x:c r="P119" s="1"/>
      <x:c r="Q119" s="1"/>
      <x:c r="R119" s="1"/>
      <x:c r="S119" s="1"/>
      <x:c r="T119" s="1"/>
    </x:row>
    <x:row r="120" ht="18" customHeight="1">
      <x:c r="A120" s="1"/>
      <x:c r="B120" s="19" t="n">
        <x:v>113</x:v>
      </x:c>
      <x:c r="C120" s="32"/>
      <x:c r="D120" s="33"/>
      <x:c r="E120" s="27"/>
      <x:c r="F120" s="34"/>
      <x:c r="G120" s="34"/>
      <x:c r="H120" s="27"/>
      <x:c r="I120" s="51" t="str">
        <x:f>IF($G120="x",COUNTIF($G$8:$G120,"x"),"")</x:f>
      </x:c>
      <x:c r="J120" s="51" t="n">
        <x:f>IF(OR($E120="",$G120="x"),1E+99,IF($C120="",TODAY()+3650,$C120)+ROW()/100000)</x:f>
        <x:v>1e+99</x:v>
      </x:c>
      <x:c r="K120" s="1"/>
      <x:c r="L120" s="1"/>
      <x:c r="M120" s="1"/>
      <x:c r="N120" s="1"/>
      <x:c r="O120" s="1"/>
      <x:c r="P120" s="1"/>
      <x:c r="Q120" s="1"/>
      <x:c r="R120" s="1"/>
      <x:c r="S120" s="1"/>
      <x:c r="T120" s="1"/>
    </x:row>
    <x:row r="121" ht="18" customHeight="1">
      <x:c r="A121" s="1"/>
      <x:c r="B121" s="19" t="n">
        <x:v>114</x:v>
      </x:c>
      <x:c r="C121" s="32"/>
      <x:c r="D121" s="33"/>
      <x:c r="E121" s="27"/>
      <x:c r="F121" s="34"/>
      <x:c r="G121" s="34"/>
      <x:c r="H121" s="27"/>
      <x:c r="I121" s="51" t="str">
        <x:f>IF($G121="x",COUNTIF($G$8:$G121,"x"),"")</x:f>
      </x:c>
      <x:c r="J121" s="51" t="n">
        <x:f>IF(OR($E121="",$G121="x"),1E+99,IF($C121="",TODAY()+3650,$C121)+ROW()/100000)</x:f>
        <x:v>1e+99</x:v>
      </x:c>
      <x:c r="K121" s="1"/>
      <x:c r="L121" s="1"/>
      <x:c r="M121" s="1"/>
      <x:c r="N121" s="1"/>
      <x:c r="O121" s="1"/>
      <x:c r="P121" s="1"/>
      <x:c r="Q121" s="1"/>
      <x:c r="R121" s="1"/>
      <x:c r="S121" s="1"/>
      <x:c r="T121" s="1"/>
    </x:row>
    <x:row r="122" ht="18" customHeight="1">
      <x:c r="A122" s="1"/>
      <x:c r="B122" s="19" t="n">
        <x:v>115</x:v>
      </x:c>
      <x:c r="C122" s="32"/>
      <x:c r="D122" s="33"/>
      <x:c r="E122" s="27"/>
      <x:c r="F122" s="34"/>
      <x:c r="G122" s="34"/>
      <x:c r="H122" s="27"/>
      <x:c r="I122" s="51" t="str">
        <x:f>IF($G122="x",COUNTIF($G$8:$G122,"x"),"")</x:f>
      </x:c>
      <x:c r="J122" s="51" t="n">
        <x:f>IF(OR($E122="",$G122="x"),1E+99,IF($C122="",TODAY()+3650,$C122)+ROW()/100000)</x:f>
        <x:v>1e+99</x:v>
      </x:c>
      <x:c r="K122" s="1"/>
      <x:c r="L122" s="1"/>
      <x:c r="M122" s="1"/>
      <x:c r="N122" s="1"/>
      <x:c r="O122" s="1"/>
      <x:c r="P122" s="1"/>
      <x:c r="Q122" s="1"/>
      <x:c r="R122" s="1"/>
      <x:c r="S122" s="1"/>
      <x:c r="T122" s="1"/>
    </x:row>
    <x:row r="123" ht="18" customHeight="1">
      <x:c r="A123" s="1"/>
      <x:c r="B123" s="19" t="n">
        <x:v>116</x:v>
      </x:c>
      <x:c r="C123" s="32"/>
      <x:c r="D123" s="33"/>
      <x:c r="E123" s="27"/>
      <x:c r="F123" s="34"/>
      <x:c r="G123" s="34"/>
      <x:c r="H123" s="27"/>
      <x:c r="I123" s="51" t="str">
        <x:f>IF($G123="x",COUNTIF($G$8:$G123,"x"),"")</x:f>
      </x:c>
      <x:c r="J123" s="51" t="n">
        <x:f>IF(OR($E123="",$G123="x"),1E+99,IF($C123="",TODAY()+3650,$C123)+ROW()/100000)</x:f>
        <x:v>1e+99</x:v>
      </x:c>
      <x:c r="K123" s="1"/>
      <x:c r="L123" s="1"/>
      <x:c r="M123" s="1"/>
      <x:c r="N123" s="1"/>
      <x:c r="O123" s="1"/>
      <x:c r="P123" s="1"/>
      <x:c r="Q123" s="1"/>
      <x:c r="R123" s="1"/>
      <x:c r="S123" s="1"/>
      <x:c r="T123" s="1"/>
    </x:row>
    <x:row r="124" ht="18" customHeight="1">
      <x:c r="A124" s="1"/>
      <x:c r="B124" s="19" t="n">
        <x:v>117</x:v>
      </x:c>
      <x:c r="C124" s="32"/>
      <x:c r="D124" s="33"/>
      <x:c r="E124" s="27"/>
      <x:c r="F124" s="34"/>
      <x:c r="G124" s="34"/>
      <x:c r="H124" s="27"/>
      <x:c r="I124" s="51" t="str">
        <x:f>IF($G124="x",COUNTIF($G$8:$G124,"x"),"")</x:f>
      </x:c>
      <x:c r="J124" s="51" t="n">
        <x:f>IF(OR($E124="",$G124="x"),1E+99,IF($C124="",TODAY()+3650,$C124)+ROW()/100000)</x:f>
        <x:v>1e+99</x:v>
      </x:c>
      <x:c r="K124" s="1"/>
      <x:c r="L124" s="1"/>
      <x:c r="M124" s="1"/>
      <x:c r="N124" s="1"/>
      <x:c r="O124" s="1"/>
      <x:c r="P124" s="1"/>
      <x:c r="Q124" s="1"/>
      <x:c r="R124" s="1"/>
      <x:c r="S124" s="1"/>
      <x:c r="T124" s="1"/>
    </x:row>
    <x:row r="125" ht="18" customHeight="1">
      <x:c r="A125" s="1"/>
      <x:c r="B125" s="19" t="n">
        <x:v>118</x:v>
      </x:c>
      <x:c r="C125" s="32"/>
      <x:c r="D125" s="33"/>
      <x:c r="E125" s="27"/>
      <x:c r="F125" s="34"/>
      <x:c r="G125" s="34"/>
      <x:c r="H125" s="27"/>
      <x:c r="I125" s="51" t="str">
        <x:f>IF($G125="x",COUNTIF($G$8:$G125,"x"),"")</x:f>
      </x:c>
      <x:c r="J125" s="51" t="n">
        <x:f>IF(OR($E125="",$G125="x"),1E+99,IF($C125="",TODAY()+3650,$C125)+ROW()/100000)</x:f>
        <x:v>1e+99</x:v>
      </x:c>
      <x:c r="K125" s="1"/>
      <x:c r="L125" s="1"/>
      <x:c r="M125" s="1"/>
      <x:c r="N125" s="1"/>
      <x:c r="O125" s="1"/>
      <x:c r="P125" s="1"/>
      <x:c r="Q125" s="1"/>
      <x:c r="R125" s="1"/>
      <x:c r="S125" s="1"/>
      <x:c r="T125" s="1"/>
    </x:row>
    <x:row r="126" ht="18" customHeight="1">
      <x:c r="A126" s="1"/>
      <x:c r="B126" s="19" t="n">
        <x:v>119</x:v>
      </x:c>
      <x:c r="C126" s="32"/>
      <x:c r="D126" s="33"/>
      <x:c r="E126" s="27"/>
      <x:c r="F126" s="34"/>
      <x:c r="G126" s="34"/>
      <x:c r="H126" s="27"/>
      <x:c r="I126" s="51" t="str">
        <x:f>IF($G126="x",COUNTIF($G$8:$G126,"x"),"")</x:f>
      </x:c>
      <x:c r="J126" s="51" t="n">
        <x:f>IF(OR($E126="",$G126="x"),1E+99,IF($C126="",TODAY()+3650,$C126)+ROW()/100000)</x:f>
        <x:v>1e+99</x:v>
      </x:c>
      <x:c r="K126" s="1"/>
      <x:c r="L126" s="1"/>
      <x:c r="M126" s="1"/>
      <x:c r="N126" s="1"/>
      <x:c r="O126" s="1"/>
      <x:c r="P126" s="1"/>
      <x:c r="Q126" s="1"/>
      <x:c r="R126" s="1"/>
      <x:c r="S126" s="1"/>
      <x:c r="T126" s="1"/>
    </x:row>
    <x:row r="127" ht="18" customHeight="1">
      <x:c r="A127" s="1"/>
      <x:c r="B127" s="19" t="n">
        <x:v>120</x:v>
      </x:c>
      <x:c r="C127" s="32"/>
      <x:c r="D127" s="33"/>
      <x:c r="E127" s="27"/>
      <x:c r="F127" s="34"/>
      <x:c r="G127" s="34"/>
      <x:c r="H127" s="27"/>
      <x:c r="I127" s="51" t="str">
        <x:f>IF($G127="x",COUNTIF($G$8:$G127,"x"),"")</x:f>
      </x:c>
      <x:c r="J127" s="51" t="n">
        <x:f>IF(OR($E127="",$G127="x"),1E+99,IF($C127="",TODAY()+3650,$C127)+ROW()/100000)</x:f>
        <x:v>1e+99</x:v>
      </x:c>
      <x:c r="K127" s="1"/>
      <x:c r="L127" s="1"/>
      <x:c r="M127" s="1"/>
      <x:c r="N127" s="1"/>
      <x:c r="O127" s="1"/>
      <x:c r="P127" s="1"/>
      <x:c r="Q127" s="1"/>
      <x:c r="R127" s="1"/>
      <x:c r="S127" s="1"/>
      <x:c r="T127" s="1"/>
    </x:row>
    <x:row r="128" ht="18" customHeight="1">
      <x:c r="A128" s="1"/>
      <x:c r="B128" s="19" t="n">
        <x:v>121</x:v>
      </x:c>
      <x:c r="C128" s="32"/>
      <x:c r="D128" s="33"/>
      <x:c r="E128" s="27"/>
      <x:c r="F128" s="34"/>
      <x:c r="G128" s="34"/>
      <x:c r="H128" s="27"/>
      <x:c r="I128" s="51" t="str">
        <x:f>IF($G128="x",COUNTIF($G$8:$G128,"x"),"")</x:f>
      </x:c>
      <x:c r="J128" s="51" t="n">
        <x:f>IF(OR($E128="",$G128="x"),1E+99,IF($C128="",TODAY()+3650,$C128)+ROW()/100000)</x:f>
        <x:v>1e+99</x:v>
      </x:c>
      <x:c r="K128" s="1"/>
      <x:c r="L128" s="1"/>
      <x:c r="M128" s="1"/>
      <x:c r="N128" s="1"/>
      <x:c r="O128" s="1"/>
      <x:c r="P128" s="1"/>
      <x:c r="Q128" s="1"/>
      <x:c r="R128" s="1"/>
      <x:c r="S128" s="1"/>
      <x:c r="T128" s="1"/>
    </x:row>
    <x:row r="129" ht="18" customHeight="1">
      <x:c r="A129" s="1"/>
      <x:c r="B129" s="19" t="n">
        <x:v>122</x:v>
      </x:c>
      <x:c r="C129" s="32"/>
      <x:c r="D129" s="33"/>
      <x:c r="E129" s="27"/>
      <x:c r="F129" s="34"/>
      <x:c r="G129" s="34"/>
      <x:c r="H129" s="27"/>
      <x:c r="I129" s="51" t="str">
        <x:f>IF($G129="x",COUNTIF($G$8:$G129,"x"),"")</x:f>
      </x:c>
      <x:c r="J129" s="51" t="n">
        <x:f>IF(OR($E129="",$G129="x"),1E+99,IF($C129="",TODAY()+3650,$C129)+ROW()/100000)</x:f>
        <x:v>1e+99</x:v>
      </x:c>
      <x:c r="K129" s="1"/>
      <x:c r="L129" s="1"/>
      <x:c r="M129" s="1"/>
      <x:c r="N129" s="1"/>
      <x:c r="O129" s="1"/>
      <x:c r="P129" s="1"/>
      <x:c r="Q129" s="1"/>
      <x:c r="R129" s="1"/>
      <x:c r="S129" s="1"/>
      <x:c r="T129" s="1"/>
    </x:row>
    <x:row r="130" ht="18" customHeight="1">
      <x:c r="A130" s="1"/>
      <x:c r="B130" s="19" t="n">
        <x:v>123</x:v>
      </x:c>
      <x:c r="C130" s="32"/>
      <x:c r="D130" s="33"/>
      <x:c r="E130" s="27"/>
      <x:c r="F130" s="34"/>
      <x:c r="G130" s="34"/>
      <x:c r="H130" s="27"/>
      <x:c r="I130" s="51" t="str">
        <x:f>IF($G130="x",COUNTIF($G$8:$G130,"x"),"")</x:f>
      </x:c>
      <x:c r="J130" s="51" t="n">
        <x:f>IF(OR($E130="",$G130="x"),1E+99,IF($C130="",TODAY()+3650,$C130)+ROW()/100000)</x:f>
        <x:v>1e+99</x:v>
      </x:c>
      <x:c r="K130" s="1"/>
      <x:c r="L130" s="1"/>
      <x:c r="M130" s="1"/>
      <x:c r="N130" s="1"/>
      <x:c r="O130" s="1"/>
      <x:c r="P130" s="1"/>
      <x:c r="Q130" s="1"/>
      <x:c r="R130" s="1"/>
      <x:c r="S130" s="1"/>
      <x:c r="T130" s="1"/>
    </x:row>
    <x:row r="131" ht="18" customHeight="1">
      <x:c r="A131" s="1"/>
      <x:c r="B131" s="19" t="n">
        <x:v>124</x:v>
      </x:c>
      <x:c r="C131" s="32"/>
      <x:c r="D131" s="33"/>
      <x:c r="E131" s="27"/>
      <x:c r="F131" s="34"/>
      <x:c r="G131" s="34"/>
      <x:c r="H131" s="27"/>
      <x:c r="I131" s="51" t="str">
        <x:f>IF($G131="x",COUNTIF($G$8:$G131,"x"),"")</x:f>
      </x:c>
      <x:c r="J131" s="51" t="n">
        <x:f>IF(OR($E131="",$G131="x"),1E+99,IF($C131="",TODAY()+3650,$C131)+ROW()/100000)</x:f>
        <x:v>1e+99</x:v>
      </x:c>
      <x:c r="K131" s="1"/>
      <x:c r="L131" s="1"/>
      <x:c r="M131" s="1"/>
      <x:c r="N131" s="1"/>
      <x:c r="O131" s="1"/>
      <x:c r="P131" s="1"/>
      <x:c r="Q131" s="1"/>
      <x:c r="R131" s="1"/>
      <x:c r="S131" s="1"/>
      <x:c r="T131" s="1"/>
    </x:row>
    <x:row r="132" ht="18" customHeight="1">
      <x:c r="A132" s="1"/>
      <x:c r="B132" s="19" t="n">
        <x:v>125</x:v>
      </x:c>
      <x:c r="C132" s="32"/>
      <x:c r="D132" s="33"/>
      <x:c r="E132" s="27"/>
      <x:c r="F132" s="34"/>
      <x:c r="G132" s="34"/>
      <x:c r="H132" s="27"/>
      <x:c r="I132" s="51" t="str">
        <x:f>IF($G132="x",COUNTIF($G$8:$G132,"x"),"")</x:f>
      </x:c>
      <x:c r="J132" s="51" t="n">
        <x:f>IF(OR($E132="",$G132="x"),1E+99,IF($C132="",TODAY()+3650,$C132)+ROW()/100000)</x:f>
        <x:v>1e+99</x:v>
      </x:c>
      <x:c r="K132" s="1"/>
      <x:c r="L132" s="1"/>
      <x:c r="M132" s="1"/>
      <x:c r="N132" s="1"/>
      <x:c r="O132" s="1"/>
      <x:c r="P132" s="1"/>
      <x:c r="Q132" s="1"/>
      <x:c r="R132" s="1"/>
      <x:c r="S132" s="1"/>
      <x:c r="T132" s="1"/>
    </x:row>
    <x:row r="133" ht="18" customHeight="1">
      <x:c r="A133" s="1"/>
      <x:c r="B133" s="19" t="n">
        <x:v>126</x:v>
      </x:c>
      <x:c r="C133" s="32"/>
      <x:c r="D133" s="33"/>
      <x:c r="E133" s="27"/>
      <x:c r="F133" s="34"/>
      <x:c r="G133" s="34"/>
      <x:c r="H133" s="27"/>
      <x:c r="I133" s="51" t="str">
        <x:f>IF($G133="x",COUNTIF($G$8:$G133,"x"),"")</x:f>
      </x:c>
      <x:c r="J133" s="51" t="n">
        <x:f>IF(OR($E133="",$G133="x"),1E+99,IF($C133="",TODAY()+3650,$C133)+ROW()/100000)</x:f>
        <x:v>1e+99</x:v>
      </x:c>
      <x:c r="K133" s="1"/>
      <x:c r="L133" s="1"/>
      <x:c r="M133" s="1"/>
      <x:c r="N133" s="1"/>
      <x:c r="O133" s="1"/>
      <x:c r="P133" s="1"/>
      <x:c r="Q133" s="1"/>
      <x:c r="R133" s="1"/>
      <x:c r="S133" s="1"/>
      <x:c r="T133" s="1"/>
    </x:row>
    <x:row r="134" ht="18" customHeight="1">
      <x:c r="A134" s="1"/>
      <x:c r="B134" s="19" t="n">
        <x:v>127</x:v>
      </x:c>
      <x:c r="C134" s="32"/>
      <x:c r="D134" s="33"/>
      <x:c r="E134" s="27"/>
      <x:c r="F134" s="34"/>
      <x:c r="G134" s="34"/>
      <x:c r="H134" s="27"/>
      <x:c r="I134" s="51" t="str">
        <x:f>IF($G134="x",COUNTIF($G$8:$G134,"x"),"")</x:f>
      </x:c>
      <x:c r="J134" s="51" t="n">
        <x:f>IF(OR($E134="",$G134="x"),1E+99,IF($C134="",TODAY()+3650,$C134)+ROW()/100000)</x:f>
        <x:v>1e+99</x:v>
      </x:c>
      <x:c r="K134" s="1"/>
      <x:c r="L134" s="1"/>
      <x:c r="M134" s="1"/>
      <x:c r="N134" s="1"/>
      <x:c r="O134" s="1"/>
      <x:c r="P134" s="1"/>
      <x:c r="Q134" s="1"/>
      <x:c r="R134" s="1"/>
      <x:c r="S134" s="1"/>
      <x:c r="T134" s="1"/>
    </x:row>
    <x:row r="135" ht="18" customHeight="1">
      <x:c r="A135" s="1"/>
      <x:c r="B135" s="19" t="n">
        <x:v>128</x:v>
      </x:c>
      <x:c r="C135" s="32"/>
      <x:c r="D135" s="33"/>
      <x:c r="E135" s="27"/>
      <x:c r="F135" s="34"/>
      <x:c r="G135" s="34"/>
      <x:c r="H135" s="27"/>
      <x:c r="I135" s="51" t="str">
        <x:f>IF($G135="x",COUNTIF($G$8:$G135,"x"),"")</x:f>
      </x:c>
      <x:c r="J135" s="51" t="n">
        <x:f>IF(OR($E135="",$G135="x"),1E+99,IF($C135="",TODAY()+3650,$C135)+ROW()/100000)</x:f>
        <x:v>1e+99</x:v>
      </x:c>
      <x:c r="K135" s="1"/>
      <x:c r="L135" s="1"/>
      <x:c r="M135" s="1"/>
      <x:c r="N135" s="1"/>
      <x:c r="O135" s="1"/>
      <x:c r="P135" s="1"/>
      <x:c r="Q135" s="1"/>
      <x:c r="R135" s="1"/>
      <x:c r="S135" s="1"/>
      <x:c r="T135" s="1"/>
    </x:row>
    <x:row r="136" ht="18" customHeight="1">
      <x:c r="A136" s="1"/>
      <x:c r="B136" s="19" t="n">
        <x:v>129</x:v>
      </x:c>
      <x:c r="C136" s="32"/>
      <x:c r="D136" s="33"/>
      <x:c r="E136" s="27"/>
      <x:c r="F136" s="34"/>
      <x:c r="G136" s="34"/>
      <x:c r="H136" s="27"/>
      <x:c r="I136" s="51" t="str">
        <x:f>IF($G136="x",COUNTIF($G$8:$G136,"x"),"")</x:f>
      </x:c>
      <x:c r="J136" s="51" t="n">
        <x:f>IF(OR($E136="",$G136="x"),1E+99,IF($C136="",TODAY()+3650,$C136)+ROW()/100000)</x:f>
        <x:v>1e+99</x:v>
      </x:c>
      <x:c r="K136" s="1"/>
      <x:c r="L136" s="1"/>
      <x:c r="M136" s="1"/>
      <x:c r="N136" s="1"/>
      <x:c r="O136" s="1"/>
      <x:c r="P136" s="1"/>
      <x:c r="Q136" s="1"/>
      <x:c r="R136" s="1"/>
      <x:c r="S136" s="1"/>
      <x:c r="T136" s="1"/>
    </x:row>
    <x:row r="137" ht="18" customHeight="1">
      <x:c r="A137" s="1"/>
      <x:c r="B137" s="19" t="n">
        <x:v>130</x:v>
      </x:c>
      <x:c r="C137" s="32"/>
      <x:c r="D137" s="33"/>
      <x:c r="E137" s="27"/>
      <x:c r="F137" s="34"/>
      <x:c r="G137" s="34"/>
      <x:c r="H137" s="27"/>
      <x:c r="I137" s="51" t="str">
        <x:f>IF($G137="x",COUNTIF($G$8:$G137,"x"),"")</x:f>
      </x:c>
      <x:c r="J137" s="51" t="n">
        <x:f>IF(OR($E137="",$G137="x"),1E+99,IF($C137="",TODAY()+3650,$C137)+ROW()/100000)</x:f>
        <x:v>1e+99</x:v>
      </x:c>
      <x:c r="K137" s="1"/>
      <x:c r="L137" s="1"/>
      <x:c r="M137" s="1"/>
      <x:c r="N137" s="1"/>
      <x:c r="O137" s="1"/>
      <x:c r="P137" s="1"/>
      <x:c r="Q137" s="1"/>
      <x:c r="R137" s="1"/>
      <x:c r="S137" s="1"/>
      <x:c r="T137" s="1"/>
    </x:row>
    <x:row r="138" ht="18" customHeight="1">
      <x:c r="A138" s="1"/>
      <x:c r="B138" s="19" t="n">
        <x:v>131</x:v>
      </x:c>
      <x:c r="C138" s="32"/>
      <x:c r="D138" s="33"/>
      <x:c r="E138" s="27"/>
      <x:c r="F138" s="34"/>
      <x:c r="G138" s="34"/>
      <x:c r="H138" s="27"/>
      <x:c r="I138" s="51" t="str">
        <x:f>IF($G138="x",COUNTIF($G$8:$G138,"x"),"")</x:f>
      </x:c>
      <x:c r="J138" s="51" t="n">
        <x:f>IF(OR($E138="",$G138="x"),1E+99,IF($C138="",TODAY()+3650,$C138)+ROW()/100000)</x:f>
        <x:v>1e+99</x:v>
      </x:c>
      <x:c r="K138" s="1"/>
      <x:c r="L138" s="1"/>
      <x:c r="M138" s="1"/>
      <x:c r="N138" s="1"/>
      <x:c r="O138" s="1"/>
      <x:c r="P138" s="1"/>
      <x:c r="Q138" s="1"/>
      <x:c r="R138" s="1"/>
      <x:c r="S138" s="1"/>
      <x:c r="T138" s="1"/>
    </x:row>
    <x:row r="139" ht="18" customHeight="1">
      <x:c r="A139" s="1"/>
      <x:c r="B139" s="19" t="n">
        <x:v>132</x:v>
      </x:c>
      <x:c r="C139" s="32"/>
      <x:c r="D139" s="33"/>
      <x:c r="E139" s="27"/>
      <x:c r="F139" s="34"/>
      <x:c r="G139" s="34"/>
      <x:c r="H139" s="27"/>
      <x:c r="I139" s="51" t="str">
        <x:f>IF($G139="x",COUNTIF($G$8:$G139,"x"),"")</x:f>
      </x:c>
      <x:c r="J139" s="51" t="n">
        <x:f>IF(OR($E139="",$G139="x"),1E+99,IF($C139="",TODAY()+3650,$C139)+ROW()/100000)</x:f>
        <x:v>1e+99</x:v>
      </x:c>
      <x:c r="K139" s="1"/>
      <x:c r="L139" s="1"/>
      <x:c r="M139" s="1"/>
      <x:c r="N139" s="1"/>
      <x:c r="O139" s="1"/>
      <x:c r="P139" s="1"/>
      <x:c r="Q139" s="1"/>
      <x:c r="R139" s="1"/>
      <x:c r="S139" s="1"/>
      <x:c r="T139" s="1"/>
    </x:row>
    <x:row r="140" ht="18" customHeight="1">
      <x:c r="A140" s="1"/>
      <x:c r="B140" s="19" t="n">
        <x:v>133</x:v>
      </x:c>
      <x:c r="C140" s="32"/>
      <x:c r="D140" s="33"/>
      <x:c r="E140" s="27"/>
      <x:c r="F140" s="34"/>
      <x:c r="G140" s="34"/>
      <x:c r="H140" s="27"/>
      <x:c r="I140" s="51" t="str">
        <x:f>IF($G140="x",COUNTIF($G$8:$G140,"x"),"")</x:f>
      </x:c>
      <x:c r="J140" s="51" t="n">
        <x:f>IF(OR($E140="",$G140="x"),1E+99,IF($C140="",TODAY()+3650,$C140)+ROW()/100000)</x:f>
        <x:v>1e+99</x:v>
      </x:c>
      <x:c r="K140" s="1"/>
      <x:c r="L140" s="1"/>
      <x:c r="M140" s="1"/>
      <x:c r="N140" s="1"/>
      <x:c r="O140" s="1"/>
      <x:c r="P140" s="1"/>
      <x:c r="Q140" s="1"/>
      <x:c r="R140" s="1"/>
      <x:c r="S140" s="1"/>
      <x:c r="T140" s="1"/>
    </x:row>
    <x:row r="141" ht="18" customHeight="1">
      <x:c r="A141" s="1"/>
      <x:c r="B141" s="19" t="n">
        <x:v>134</x:v>
      </x:c>
      <x:c r="C141" s="32"/>
      <x:c r="D141" s="33"/>
      <x:c r="E141" s="27"/>
      <x:c r="F141" s="34"/>
      <x:c r="G141" s="34"/>
      <x:c r="H141" s="27"/>
      <x:c r="I141" s="51" t="str">
        <x:f>IF($G141="x",COUNTIF($G$8:$G141,"x"),"")</x:f>
      </x:c>
      <x:c r="J141" s="51" t="n">
        <x:f>IF(OR($E141="",$G141="x"),1E+99,IF($C141="",TODAY()+3650,$C141)+ROW()/100000)</x:f>
        <x:v>1e+99</x:v>
      </x:c>
      <x:c r="K141" s="1"/>
      <x:c r="L141" s="1"/>
      <x:c r="M141" s="1"/>
      <x:c r="N141" s="1"/>
      <x:c r="O141" s="1"/>
      <x:c r="P141" s="1"/>
      <x:c r="Q141" s="1"/>
      <x:c r="R141" s="1"/>
      <x:c r="S141" s="1"/>
      <x:c r="T141" s="1"/>
    </x:row>
    <x:row r="142" ht="18" customHeight="1">
      <x:c r="A142" s="1"/>
      <x:c r="B142" s="19" t="n">
        <x:v>135</x:v>
      </x:c>
      <x:c r="C142" s="32"/>
      <x:c r="D142" s="33"/>
      <x:c r="E142" s="27"/>
      <x:c r="F142" s="34"/>
      <x:c r="G142" s="34"/>
      <x:c r="H142" s="27"/>
      <x:c r="I142" s="51" t="str">
        <x:f>IF($G142="x",COUNTIF($G$8:$G142,"x"),"")</x:f>
      </x:c>
      <x:c r="J142" s="51" t="n">
        <x:f>IF(OR($E142="",$G142="x"),1E+99,IF($C142="",TODAY()+3650,$C142)+ROW()/100000)</x:f>
        <x:v>1e+99</x:v>
      </x:c>
      <x:c r="K142" s="1"/>
      <x:c r="L142" s="1"/>
      <x:c r="M142" s="1"/>
      <x:c r="N142" s="1"/>
      <x:c r="O142" s="1"/>
      <x:c r="P142" s="1"/>
      <x:c r="Q142" s="1"/>
      <x:c r="R142" s="1"/>
      <x:c r="S142" s="1"/>
      <x:c r="T142" s="1"/>
    </x:row>
    <x:row r="143" ht="18" customHeight="1">
      <x:c r="A143" s="1"/>
      <x:c r="B143" s="19" t="n">
        <x:v>136</x:v>
      </x:c>
      <x:c r="C143" s="32"/>
      <x:c r="D143" s="33"/>
      <x:c r="E143" s="27"/>
      <x:c r="F143" s="34"/>
      <x:c r="G143" s="34"/>
      <x:c r="H143" s="27"/>
      <x:c r="I143" s="51" t="str">
        <x:f>IF($G143="x",COUNTIF($G$8:$G143,"x"),"")</x:f>
      </x:c>
      <x:c r="J143" s="51" t="n">
        <x:f>IF(OR($E143="",$G143="x"),1E+99,IF($C143="",TODAY()+3650,$C143)+ROW()/100000)</x:f>
        <x:v>1e+99</x:v>
      </x:c>
      <x:c r="K143" s="1"/>
      <x:c r="L143" s="1"/>
      <x:c r="M143" s="1"/>
      <x:c r="N143" s="1"/>
      <x:c r="O143" s="1"/>
      <x:c r="P143" s="1"/>
      <x:c r="Q143" s="1"/>
      <x:c r="R143" s="1"/>
      <x:c r="S143" s="1"/>
      <x:c r="T143" s="1"/>
    </x:row>
    <x:row r="144" ht="18" customHeight="1">
      <x:c r="A144" s="1"/>
      <x:c r="B144" s="19" t="n">
        <x:v>137</x:v>
      </x:c>
      <x:c r="C144" s="32"/>
      <x:c r="D144" s="33"/>
      <x:c r="E144" s="27"/>
      <x:c r="F144" s="34"/>
      <x:c r="G144" s="34"/>
      <x:c r="H144" s="27"/>
      <x:c r="I144" s="51" t="str">
        <x:f>IF($G144="x",COUNTIF($G$8:$G144,"x"),"")</x:f>
      </x:c>
      <x:c r="J144" s="51" t="n">
        <x:f>IF(OR($E144="",$G144="x"),1E+99,IF($C144="",TODAY()+3650,$C144)+ROW()/100000)</x:f>
        <x:v>1e+99</x:v>
      </x:c>
      <x:c r="K144" s="1"/>
      <x:c r="L144" s="1"/>
      <x:c r="M144" s="1"/>
      <x:c r="N144" s="1"/>
      <x:c r="O144" s="1"/>
      <x:c r="P144" s="1"/>
      <x:c r="Q144" s="1"/>
      <x:c r="R144" s="1"/>
      <x:c r="S144" s="1"/>
      <x:c r="T144" s="1"/>
    </x:row>
    <x:row r="145" ht="18" customHeight="1">
      <x:c r="A145" s="1"/>
      <x:c r="B145" s="19" t="n">
        <x:v>138</x:v>
      </x:c>
      <x:c r="C145" s="32"/>
      <x:c r="D145" s="33"/>
      <x:c r="E145" s="27"/>
      <x:c r="F145" s="34"/>
      <x:c r="G145" s="34"/>
      <x:c r="H145" s="27"/>
      <x:c r="I145" s="51" t="str">
        <x:f>IF($G145="x",COUNTIF($G$8:$G145,"x"),"")</x:f>
      </x:c>
      <x:c r="J145" s="51" t="n">
        <x:f>IF(OR($E145="",$G145="x"),1E+99,IF($C145="",TODAY()+3650,$C145)+ROW()/100000)</x:f>
        <x:v>1e+99</x:v>
      </x:c>
      <x:c r="K145" s="1"/>
      <x:c r="L145" s="1"/>
      <x:c r="M145" s="1"/>
      <x:c r="N145" s="1"/>
      <x:c r="O145" s="1"/>
      <x:c r="P145" s="1"/>
      <x:c r="Q145" s="1"/>
      <x:c r="R145" s="1"/>
      <x:c r="S145" s="1"/>
      <x:c r="T145" s="1"/>
    </x:row>
    <x:row r="146" ht="18" customHeight="1">
      <x:c r="A146" s="1"/>
      <x:c r="B146" s="19" t="n">
        <x:v>139</x:v>
      </x:c>
      <x:c r="C146" s="32"/>
      <x:c r="D146" s="33"/>
      <x:c r="E146" s="27"/>
      <x:c r="F146" s="34"/>
      <x:c r="G146" s="34"/>
      <x:c r="H146" s="27"/>
      <x:c r="I146" s="51" t="str">
        <x:f>IF($G146="x",COUNTIF($G$8:$G146,"x"),"")</x:f>
      </x:c>
      <x:c r="J146" s="51" t="n">
        <x:f>IF(OR($E146="",$G146="x"),1E+99,IF($C146="",TODAY()+3650,$C146)+ROW()/100000)</x:f>
        <x:v>1e+99</x:v>
      </x:c>
      <x:c r="K146" s="1"/>
      <x:c r="L146" s="1"/>
      <x:c r="M146" s="1"/>
      <x:c r="N146" s="1"/>
      <x:c r="O146" s="1"/>
      <x:c r="P146" s="1"/>
      <x:c r="Q146" s="1"/>
      <x:c r="R146" s="1"/>
      <x:c r="S146" s="1"/>
      <x:c r="T146" s="1"/>
    </x:row>
    <x:row r="147" ht="18" customHeight="1">
      <x:c r="A147" s="1"/>
      <x:c r="B147" s="19" t="n">
        <x:v>140</x:v>
      </x:c>
      <x:c r="C147" s="32"/>
      <x:c r="D147" s="33"/>
      <x:c r="E147" s="27"/>
      <x:c r="F147" s="34"/>
      <x:c r="G147" s="34"/>
      <x:c r="H147" s="27"/>
      <x:c r="I147" s="51" t="str">
        <x:f>IF($G147="x",COUNTIF($G$8:$G147,"x"),"")</x:f>
      </x:c>
      <x:c r="J147" s="51" t="n">
        <x:f>IF(OR($E147="",$G147="x"),1E+99,IF($C147="",TODAY()+3650,$C147)+ROW()/100000)</x:f>
        <x:v>1e+99</x:v>
      </x:c>
      <x:c r="K147" s="1"/>
      <x:c r="L147" s="1"/>
      <x:c r="M147" s="1"/>
      <x:c r="N147" s="1"/>
      <x:c r="O147" s="1"/>
      <x:c r="P147" s="1"/>
      <x:c r="Q147" s="1"/>
      <x:c r="R147" s="1"/>
      <x:c r="S147" s="1"/>
      <x:c r="T147" s="1"/>
    </x:row>
    <x:row r="148" ht="18" customHeight="1">
      <x:c r="A148" s="1"/>
      <x:c r="B148" s="19" t="n">
        <x:v>141</x:v>
      </x:c>
      <x:c r="C148" s="32"/>
      <x:c r="D148" s="33"/>
      <x:c r="E148" s="27"/>
      <x:c r="F148" s="34"/>
      <x:c r="G148" s="34"/>
      <x:c r="H148" s="27"/>
      <x:c r="I148" s="51" t="str">
        <x:f>IF($G148="x",COUNTIF($G$8:$G148,"x"),"")</x:f>
      </x:c>
      <x:c r="J148" s="51" t="n">
        <x:f>IF(OR($E148="",$G148="x"),1E+99,IF($C148="",TODAY()+3650,$C148)+ROW()/100000)</x:f>
        <x:v>1e+99</x:v>
      </x:c>
      <x:c r="K148" s="1"/>
      <x:c r="L148" s="1"/>
      <x:c r="M148" s="1"/>
      <x:c r="N148" s="1"/>
      <x:c r="O148" s="1"/>
      <x:c r="P148" s="1"/>
      <x:c r="Q148" s="1"/>
      <x:c r="R148" s="1"/>
      <x:c r="S148" s="1"/>
      <x:c r="T148" s="1"/>
    </x:row>
    <x:row r="149" ht="18" customHeight="1">
      <x:c r="A149" s="1"/>
      <x:c r="B149" s="19" t="n">
        <x:v>142</x:v>
      </x:c>
      <x:c r="C149" s="32"/>
      <x:c r="D149" s="33"/>
      <x:c r="E149" s="27"/>
      <x:c r="F149" s="34"/>
      <x:c r="G149" s="34"/>
      <x:c r="H149" s="27"/>
      <x:c r="I149" s="51" t="str">
        <x:f>IF($G149="x",COUNTIF($G$8:$G149,"x"),"")</x:f>
      </x:c>
      <x:c r="J149" s="51" t="n">
        <x:f>IF(OR($E149="",$G149="x"),1E+99,IF($C149="",TODAY()+3650,$C149)+ROW()/100000)</x:f>
        <x:v>1e+99</x:v>
      </x:c>
      <x:c r="K149" s="1"/>
      <x:c r="L149" s="1"/>
      <x:c r="M149" s="1"/>
      <x:c r="N149" s="1"/>
      <x:c r="O149" s="1"/>
      <x:c r="P149" s="1"/>
      <x:c r="Q149" s="1"/>
      <x:c r="R149" s="1"/>
      <x:c r="S149" s="1"/>
      <x:c r="T149" s="1"/>
    </x:row>
    <x:row r="150" ht="18" customHeight="1">
      <x:c r="A150" s="1"/>
      <x:c r="B150" s="19" t="n">
        <x:v>143</x:v>
      </x:c>
      <x:c r="C150" s="32"/>
      <x:c r="D150" s="33"/>
      <x:c r="E150" s="27"/>
      <x:c r="F150" s="34"/>
      <x:c r="G150" s="34"/>
      <x:c r="H150" s="27"/>
      <x:c r="I150" s="51" t="str">
        <x:f>IF($G150="x",COUNTIF($G$8:$G150,"x"),"")</x:f>
      </x:c>
      <x:c r="J150" s="51" t="n">
        <x:f>IF(OR($E150="",$G150="x"),1E+99,IF($C150="",TODAY()+3650,$C150)+ROW()/100000)</x:f>
        <x:v>1e+99</x:v>
      </x:c>
      <x:c r="K150" s="1"/>
      <x:c r="L150" s="1"/>
      <x:c r="M150" s="1"/>
      <x:c r="N150" s="1"/>
      <x:c r="O150" s="1"/>
      <x:c r="P150" s="1"/>
      <x:c r="Q150" s="1"/>
      <x:c r="R150" s="1"/>
      <x:c r="S150" s="1"/>
      <x:c r="T150" s="1"/>
    </x:row>
    <x:row r="151" ht="18" customHeight="1">
      <x:c r="A151" s="1"/>
      <x:c r="B151" s="19" t="n">
        <x:v>144</x:v>
      </x:c>
      <x:c r="C151" s="32"/>
      <x:c r="D151" s="33"/>
      <x:c r="E151" s="27"/>
      <x:c r="F151" s="34"/>
      <x:c r="G151" s="34"/>
      <x:c r="H151" s="27"/>
      <x:c r="I151" s="51" t="str">
        <x:f>IF($G151="x",COUNTIF($G$8:$G151,"x"),"")</x:f>
      </x:c>
      <x:c r="J151" s="51" t="n">
        <x:f>IF(OR($E151="",$G151="x"),1E+99,IF($C151="",TODAY()+3650,$C151)+ROW()/100000)</x:f>
        <x:v>1e+99</x:v>
      </x:c>
      <x:c r="K151" s="1"/>
      <x:c r="L151" s="1"/>
      <x:c r="M151" s="1"/>
      <x:c r="N151" s="1"/>
      <x:c r="O151" s="1"/>
      <x:c r="P151" s="1"/>
      <x:c r="Q151" s="1"/>
      <x:c r="R151" s="1"/>
      <x:c r="S151" s="1"/>
      <x:c r="T151" s="1"/>
    </x:row>
    <x:row r="152" ht="18" customHeight="1">
      <x:c r="A152" s="1"/>
      <x:c r="B152" s="19" t="n">
        <x:v>145</x:v>
      </x:c>
      <x:c r="C152" s="32"/>
      <x:c r="D152" s="33"/>
      <x:c r="E152" s="27"/>
      <x:c r="F152" s="34"/>
      <x:c r="G152" s="34"/>
      <x:c r="H152" s="27"/>
      <x:c r="I152" s="51" t="str">
        <x:f>IF($G152="x",COUNTIF($G$8:$G152,"x"),"")</x:f>
      </x:c>
      <x:c r="J152" s="51" t="n">
        <x:f>IF(OR($E152="",$G152="x"),1E+99,IF($C152="",TODAY()+3650,$C152)+ROW()/100000)</x:f>
        <x:v>1e+99</x:v>
      </x:c>
      <x:c r="K152" s="1"/>
      <x:c r="L152" s="1"/>
      <x:c r="M152" s="1"/>
      <x:c r="N152" s="1"/>
      <x:c r="O152" s="1"/>
      <x:c r="P152" s="1"/>
      <x:c r="Q152" s="1"/>
      <x:c r="R152" s="1"/>
      <x:c r="S152" s="1"/>
      <x:c r="T152" s="1"/>
    </x:row>
    <x:row r="153" ht="18" customHeight="1">
      <x:c r="A153" s="1"/>
      <x:c r="B153" s="19" t="n">
        <x:v>146</x:v>
      </x:c>
      <x:c r="C153" s="32"/>
      <x:c r="D153" s="33"/>
      <x:c r="E153" s="27"/>
      <x:c r="F153" s="34"/>
      <x:c r="G153" s="34"/>
      <x:c r="H153" s="27"/>
      <x:c r="I153" s="51" t="str">
        <x:f>IF($G153="x",COUNTIF($G$8:$G153,"x"),"")</x:f>
      </x:c>
      <x:c r="J153" s="51" t="n">
        <x:f>IF(OR($E153="",$G153="x"),1E+99,IF($C153="",TODAY()+3650,$C153)+ROW()/100000)</x:f>
        <x:v>1e+99</x:v>
      </x:c>
      <x:c r="K153" s="1"/>
      <x:c r="L153" s="1"/>
      <x:c r="M153" s="1"/>
      <x:c r="N153" s="1"/>
      <x:c r="O153" s="1"/>
      <x:c r="P153" s="1"/>
      <x:c r="Q153" s="1"/>
      <x:c r="R153" s="1"/>
      <x:c r="S153" s="1"/>
      <x:c r="T153" s="1"/>
    </x:row>
    <x:row r="154" ht="18" customHeight="1">
      <x:c r="A154" s="1"/>
      <x:c r="B154" s="19" t="n">
        <x:v>147</x:v>
      </x:c>
      <x:c r="C154" s="32"/>
      <x:c r="D154" s="33"/>
      <x:c r="E154" s="27"/>
      <x:c r="F154" s="34"/>
      <x:c r="G154" s="34"/>
      <x:c r="H154" s="27"/>
      <x:c r="I154" s="51" t="str">
        <x:f>IF($G154="x",COUNTIF($G$8:$G154,"x"),"")</x:f>
      </x:c>
      <x:c r="J154" s="51" t="n">
        <x:f>IF(OR($E154="",$G154="x"),1E+99,IF($C154="",TODAY()+3650,$C154)+ROW()/100000)</x:f>
        <x:v>1e+99</x:v>
      </x:c>
      <x:c r="K154" s="1"/>
      <x:c r="L154" s="1"/>
      <x:c r="M154" s="1"/>
      <x:c r="N154" s="1"/>
      <x:c r="O154" s="1"/>
      <x:c r="P154" s="1"/>
      <x:c r="Q154" s="1"/>
      <x:c r="R154" s="1"/>
      <x:c r="S154" s="1"/>
      <x:c r="T154" s="1"/>
    </x:row>
    <x:row r="155" ht="18" customHeight="1">
      <x:c r="A155" s="1"/>
      <x:c r="B155" s="19" t="n">
        <x:v>148</x:v>
      </x:c>
      <x:c r="C155" s="32"/>
      <x:c r="D155" s="33"/>
      <x:c r="E155" s="27"/>
      <x:c r="F155" s="34"/>
      <x:c r="G155" s="34"/>
      <x:c r="H155" s="27"/>
      <x:c r="I155" s="51" t="str">
        <x:f>IF($G155="x",COUNTIF($G$8:$G155,"x"),"")</x:f>
      </x:c>
      <x:c r="J155" s="51" t="n">
        <x:f>IF(OR($E155="",$G155="x"),1E+99,IF($C155="",TODAY()+3650,$C155)+ROW()/100000)</x:f>
        <x:v>1e+99</x:v>
      </x:c>
      <x:c r="K155" s="1"/>
      <x:c r="L155" s="1"/>
      <x:c r="M155" s="1"/>
      <x:c r="N155" s="1"/>
      <x:c r="O155" s="1"/>
      <x:c r="P155" s="1"/>
      <x:c r="Q155" s="1"/>
      <x:c r="R155" s="1"/>
      <x:c r="S155" s="1"/>
      <x:c r="T155" s="1"/>
    </x:row>
    <x:row r="156" ht="18" customHeight="1">
      <x:c r="A156" s="1"/>
      <x:c r="B156" s="19" t="n">
        <x:v>149</x:v>
      </x:c>
      <x:c r="C156" s="32"/>
      <x:c r="D156" s="33"/>
      <x:c r="E156" s="27"/>
      <x:c r="F156" s="34"/>
      <x:c r="G156" s="34"/>
      <x:c r="H156" s="27"/>
      <x:c r="I156" s="51" t="str">
        <x:f>IF($G156="x",COUNTIF($G$8:$G156,"x"),"")</x:f>
      </x:c>
      <x:c r="J156" s="51" t="n">
        <x:f>IF(OR($E156="",$G156="x"),1E+99,IF($C156="",TODAY()+3650,$C156)+ROW()/100000)</x:f>
        <x:v>1e+99</x:v>
      </x:c>
      <x:c r="K156" s="1"/>
      <x:c r="L156" s="1"/>
      <x:c r="M156" s="1"/>
      <x:c r="N156" s="1"/>
      <x:c r="O156" s="1"/>
      <x:c r="P156" s="1"/>
      <x:c r="Q156" s="1"/>
      <x:c r="R156" s="1"/>
      <x:c r="S156" s="1"/>
      <x:c r="T156" s="1"/>
    </x:row>
    <x:row r="157" ht="18" customHeight="1">
      <x:c r="A157" s="1"/>
      <x:c r="B157" s="19" t="n">
        <x:v>150</x:v>
      </x:c>
      <x:c r="C157" s="32"/>
      <x:c r="D157" s="33"/>
      <x:c r="E157" s="27"/>
      <x:c r="F157" s="34"/>
      <x:c r="G157" s="34"/>
      <x:c r="H157" s="27"/>
      <x:c r="I157" s="51" t="str">
        <x:f>IF($G157="x",COUNTIF($G$8:$G157,"x"),"")</x:f>
      </x:c>
      <x:c r="J157" s="51" t="n">
        <x:f>IF(OR($E157="",$G157="x"),1E+99,IF($C157="",TODAY()+3650,$C157)+ROW()/100000)</x:f>
        <x:v>1e+99</x:v>
      </x:c>
      <x:c r="K157" s="1"/>
      <x:c r="L157" s="1"/>
      <x:c r="M157" s="1"/>
      <x:c r="N157" s="1"/>
      <x:c r="O157" s="1"/>
      <x:c r="P157" s="1"/>
      <x:c r="Q157" s="1"/>
      <x:c r="R157" s="1"/>
      <x:c r="S157" s="1"/>
      <x:c r="T157" s="1"/>
    </x:row>
    <x:row r="158" ht="18" customHeight="1">
      <x:c r="A158" s="1"/>
      <x:c r="B158" s="19" t="n">
        <x:v>151</x:v>
      </x:c>
      <x:c r="C158" s="32"/>
      <x:c r="D158" s="33"/>
      <x:c r="E158" s="27"/>
      <x:c r="F158" s="34"/>
      <x:c r="G158" s="34"/>
      <x:c r="H158" s="27"/>
      <x:c r="I158" s="51" t="str">
        <x:f>IF($G158="x",COUNTIF($G$8:$G158,"x"),"")</x:f>
      </x:c>
      <x:c r="J158" s="51" t="n">
        <x:f>IF(OR($E158="",$G158="x"),1E+99,IF($C158="",TODAY()+3650,$C158)+ROW()/100000)</x:f>
        <x:v>1e+99</x:v>
      </x:c>
      <x:c r="K158" s="1"/>
      <x:c r="L158" s="1"/>
      <x:c r="M158" s="1"/>
      <x:c r="N158" s="1"/>
      <x:c r="O158" s="1"/>
      <x:c r="P158" s="1"/>
      <x:c r="Q158" s="1"/>
      <x:c r="R158" s="1"/>
      <x:c r="S158" s="1"/>
      <x:c r="T158" s="1"/>
    </x:row>
    <x:row r="159" ht="18" customHeight="1">
      <x:c r="A159" s="1"/>
      <x:c r="B159" s="19" t="n">
        <x:v>152</x:v>
      </x:c>
      <x:c r="C159" s="32"/>
      <x:c r="D159" s="33"/>
      <x:c r="E159" s="27"/>
      <x:c r="F159" s="34"/>
      <x:c r="G159" s="34"/>
      <x:c r="H159" s="27"/>
      <x:c r="I159" s="51" t="str">
        <x:f>IF($G159="x",COUNTIF($G$8:$G159,"x"),"")</x:f>
      </x:c>
      <x:c r="J159" s="51" t="n">
        <x:f>IF(OR($E159="",$G159="x"),1E+99,IF($C159="",TODAY()+3650,$C159)+ROW()/100000)</x:f>
        <x:v>1e+99</x:v>
      </x:c>
      <x:c r="K159" s="1"/>
      <x:c r="L159" s="1"/>
      <x:c r="M159" s="1"/>
      <x:c r="N159" s="1"/>
      <x:c r="O159" s="1"/>
      <x:c r="P159" s="1"/>
      <x:c r="Q159" s="1"/>
      <x:c r="R159" s="1"/>
      <x:c r="S159" s="1"/>
      <x:c r="T159" s="1"/>
    </x:row>
    <x:row r="160" ht="18" customHeight="1">
      <x:c r="A160" s="1"/>
      <x:c r="B160" s="19" t="n">
        <x:v>153</x:v>
      </x:c>
      <x:c r="C160" s="32"/>
      <x:c r="D160" s="33"/>
      <x:c r="E160" s="27"/>
      <x:c r="F160" s="34"/>
      <x:c r="G160" s="34"/>
      <x:c r="H160" s="27"/>
      <x:c r="I160" s="51" t="str">
        <x:f>IF($G160="x",COUNTIF($G$8:$G160,"x"),"")</x:f>
      </x:c>
      <x:c r="J160" s="51" t="n">
        <x:f>IF(OR($E160="",$G160="x"),1E+99,IF($C160="",TODAY()+3650,$C160)+ROW()/100000)</x:f>
        <x:v>1e+99</x:v>
      </x:c>
      <x:c r="K160" s="1"/>
      <x:c r="L160" s="1"/>
      <x:c r="M160" s="1"/>
      <x:c r="N160" s="1"/>
      <x:c r="O160" s="1"/>
      <x:c r="P160" s="1"/>
      <x:c r="Q160" s="1"/>
      <x:c r="R160" s="1"/>
      <x:c r="S160" s="1"/>
      <x:c r="T160" s="1"/>
    </x:row>
    <x:row r="161" ht="18" customHeight="1">
      <x:c r="A161" s="1"/>
      <x:c r="B161" s="19" t="n">
        <x:v>154</x:v>
      </x:c>
      <x:c r="C161" s="32"/>
      <x:c r="D161" s="33"/>
      <x:c r="E161" s="27"/>
      <x:c r="F161" s="34"/>
      <x:c r="G161" s="34"/>
      <x:c r="H161" s="27"/>
      <x:c r="I161" s="51" t="str">
        <x:f>IF($G161="x",COUNTIF($G$8:$G161,"x"),"")</x:f>
      </x:c>
      <x:c r="J161" s="51" t="n">
        <x:f>IF(OR($E161="",$G161="x"),1E+99,IF($C161="",TODAY()+3650,$C161)+ROW()/100000)</x:f>
        <x:v>1e+99</x:v>
      </x:c>
      <x:c r="K161" s="1"/>
      <x:c r="L161" s="1"/>
      <x:c r="M161" s="1"/>
      <x:c r="N161" s="1"/>
      <x:c r="O161" s="1"/>
      <x:c r="P161" s="1"/>
      <x:c r="Q161" s="1"/>
      <x:c r="R161" s="1"/>
      <x:c r="S161" s="1"/>
      <x:c r="T161" s="1"/>
    </x:row>
    <x:row r="162" ht="18" customHeight="1">
      <x:c r="A162" s="1"/>
      <x:c r="B162" s="19" t="n">
        <x:v>155</x:v>
      </x:c>
      <x:c r="C162" s="32"/>
      <x:c r="D162" s="33"/>
      <x:c r="E162" s="27"/>
      <x:c r="F162" s="34"/>
      <x:c r="G162" s="34"/>
      <x:c r="H162" s="27"/>
      <x:c r="I162" s="51" t="str">
        <x:f>IF($G162="x",COUNTIF($G$8:$G162,"x"),"")</x:f>
      </x:c>
      <x:c r="J162" s="51" t="n">
        <x:f>IF(OR($E162="",$G162="x"),1E+99,IF($C162="",TODAY()+3650,$C162)+ROW()/100000)</x:f>
        <x:v>1e+99</x:v>
      </x:c>
      <x:c r="K162" s="1"/>
      <x:c r="L162" s="1"/>
      <x:c r="M162" s="1"/>
      <x:c r="N162" s="1"/>
      <x:c r="O162" s="1"/>
      <x:c r="P162" s="1"/>
      <x:c r="Q162" s="1"/>
      <x:c r="R162" s="1"/>
      <x:c r="S162" s="1"/>
      <x:c r="T162" s="1"/>
    </x:row>
    <x:row r="163" ht="18" customHeight="1">
      <x:c r="A163" s="1"/>
      <x:c r="B163" s="19" t="n">
        <x:v>156</x:v>
      </x:c>
      <x:c r="C163" s="32"/>
      <x:c r="D163" s="33"/>
      <x:c r="E163" s="27"/>
      <x:c r="F163" s="34"/>
      <x:c r="G163" s="34"/>
      <x:c r="H163" s="27"/>
      <x:c r="I163" s="51" t="str">
        <x:f>IF($G163="x",COUNTIF($G$8:$G163,"x"),"")</x:f>
      </x:c>
      <x:c r="J163" s="51" t="n">
        <x:f>IF(OR($E163="",$G163="x"),1E+99,IF($C163="",TODAY()+3650,$C163)+ROW()/100000)</x:f>
        <x:v>1e+99</x:v>
      </x:c>
      <x:c r="K163" s="1"/>
      <x:c r="L163" s="1"/>
      <x:c r="M163" s="1"/>
      <x:c r="N163" s="1"/>
      <x:c r="O163" s="1"/>
      <x:c r="P163" s="1"/>
      <x:c r="Q163" s="1"/>
      <x:c r="R163" s="1"/>
      <x:c r="S163" s="1"/>
      <x:c r="T163" s="1"/>
    </x:row>
    <x:row r="164" ht="18" customHeight="1">
      <x:c r="A164" s="1"/>
      <x:c r="B164" s="19" t="n">
        <x:v>157</x:v>
      </x:c>
      <x:c r="C164" s="32"/>
      <x:c r="D164" s="33"/>
      <x:c r="E164" s="27"/>
      <x:c r="F164" s="34"/>
      <x:c r="G164" s="34"/>
      <x:c r="H164" s="27"/>
      <x:c r="I164" s="51" t="str">
        <x:f>IF($G164="x",COUNTIF($G$8:$G164,"x"),"")</x:f>
      </x:c>
      <x:c r="J164" s="51" t="n">
        <x:f>IF(OR($E164="",$G164="x"),1E+99,IF($C164="",TODAY()+3650,$C164)+ROW()/100000)</x:f>
        <x:v>1e+99</x:v>
      </x:c>
      <x:c r="K164" s="1"/>
      <x:c r="L164" s="1"/>
      <x:c r="M164" s="1"/>
      <x:c r="N164" s="1"/>
      <x:c r="O164" s="1"/>
      <x:c r="P164" s="1"/>
      <x:c r="Q164" s="1"/>
      <x:c r="R164" s="1"/>
      <x:c r="S164" s="1"/>
      <x:c r="T164" s="1"/>
    </x:row>
    <x:row r="165" ht="18" customHeight="1">
      <x:c r="A165" s="1"/>
      <x:c r="B165" s="19" t="n">
        <x:v>158</x:v>
      </x:c>
      <x:c r="C165" s="32"/>
      <x:c r="D165" s="33"/>
      <x:c r="E165" s="27"/>
      <x:c r="F165" s="34"/>
      <x:c r="G165" s="34"/>
      <x:c r="H165" s="27"/>
      <x:c r="I165" s="51" t="str">
        <x:f>IF($G165="x",COUNTIF($G$8:$G165,"x"),"")</x:f>
      </x:c>
      <x:c r="J165" s="51" t="n">
        <x:f>IF(OR($E165="",$G165="x"),1E+99,IF($C165="",TODAY()+3650,$C165)+ROW()/100000)</x:f>
        <x:v>1e+99</x:v>
      </x:c>
      <x:c r="K165" s="1"/>
      <x:c r="L165" s="1"/>
      <x:c r="M165" s="1"/>
      <x:c r="N165" s="1"/>
      <x:c r="O165" s="1"/>
      <x:c r="P165" s="1"/>
      <x:c r="Q165" s="1"/>
      <x:c r="R165" s="1"/>
      <x:c r="S165" s="1"/>
      <x:c r="T165" s="1"/>
    </x:row>
    <x:row r="166" ht="18" customHeight="1">
      <x:c r="A166" s="1"/>
      <x:c r="B166" s="19" t="n">
        <x:v>159</x:v>
      </x:c>
      <x:c r="C166" s="32"/>
      <x:c r="D166" s="33"/>
      <x:c r="E166" s="27"/>
      <x:c r="F166" s="34"/>
      <x:c r="G166" s="34"/>
      <x:c r="H166" s="27"/>
      <x:c r="I166" s="51" t="str">
        <x:f>IF($G166="x",COUNTIF($G$8:$G166,"x"),"")</x:f>
      </x:c>
      <x:c r="J166" s="51" t="n">
        <x:f>IF(OR($E166="",$G166="x"),1E+99,IF($C166="",TODAY()+3650,$C166)+ROW()/100000)</x:f>
        <x:v>1e+99</x:v>
      </x:c>
      <x:c r="K166" s="1"/>
      <x:c r="L166" s="1"/>
      <x:c r="M166" s="1"/>
      <x:c r="N166" s="1"/>
      <x:c r="O166" s="1"/>
      <x:c r="P166" s="1"/>
      <x:c r="Q166" s="1"/>
      <x:c r="R166" s="1"/>
      <x:c r="S166" s="1"/>
      <x:c r="T166" s="1"/>
    </x:row>
    <x:row r="167" ht="18" customHeight="1">
      <x:c r="A167" s="1"/>
      <x:c r="B167" s="19" t="n">
        <x:v>160</x:v>
      </x:c>
      <x:c r="C167" s="32"/>
      <x:c r="D167" s="33"/>
      <x:c r="E167" s="27"/>
      <x:c r="F167" s="34"/>
      <x:c r="G167" s="34"/>
      <x:c r="H167" s="27"/>
      <x:c r="I167" s="51" t="str">
        <x:f>IF($G167="x",COUNTIF($G$8:$G167,"x"),"")</x:f>
      </x:c>
      <x:c r="J167" s="51" t="n">
        <x:f>IF(OR($E167="",$G167="x"),1E+99,IF($C167="",TODAY()+3650,$C167)+ROW()/100000)</x:f>
        <x:v>1e+99</x:v>
      </x:c>
      <x:c r="K167" s="1"/>
      <x:c r="L167" s="1"/>
      <x:c r="M167" s="1"/>
      <x:c r="N167" s="1"/>
      <x:c r="O167" s="1"/>
      <x:c r="P167" s="1"/>
      <x:c r="Q167" s="1"/>
      <x:c r="R167" s="1"/>
      <x:c r="S167" s="1"/>
      <x:c r="T167" s="1"/>
    </x:row>
    <x:row r="168" ht="18" customHeight="1">
      <x:c r="A168" s="1"/>
      <x:c r="B168" s="19" t="n">
        <x:v>161</x:v>
      </x:c>
      <x:c r="C168" s="32"/>
      <x:c r="D168" s="33"/>
      <x:c r="E168" s="27"/>
      <x:c r="F168" s="34"/>
      <x:c r="G168" s="34"/>
      <x:c r="H168" s="27"/>
      <x:c r="I168" s="51" t="str">
        <x:f>IF($G168="x",COUNTIF($G$8:$G168,"x"),"")</x:f>
      </x:c>
      <x:c r="J168" s="51" t="n">
        <x:f>IF(OR($E168="",$G168="x"),1E+99,IF($C168="",TODAY()+3650,$C168)+ROW()/100000)</x:f>
        <x:v>1e+99</x:v>
      </x:c>
      <x:c r="K168" s="1"/>
      <x:c r="L168" s="1"/>
      <x:c r="M168" s="1"/>
      <x:c r="N168" s="1"/>
      <x:c r="O168" s="1"/>
      <x:c r="P168" s="1"/>
      <x:c r="Q168" s="1"/>
      <x:c r="R168" s="1"/>
      <x:c r="S168" s="1"/>
      <x:c r="T168" s="1"/>
    </x:row>
    <x:row r="169" ht="18" customHeight="1">
      <x:c r="A169" s="1"/>
      <x:c r="B169" s="19" t="n">
        <x:v>162</x:v>
      </x:c>
      <x:c r="C169" s="32"/>
      <x:c r="D169" s="33"/>
      <x:c r="E169" s="27"/>
      <x:c r="F169" s="34"/>
      <x:c r="G169" s="34"/>
      <x:c r="H169" s="27"/>
      <x:c r="I169" s="51" t="str">
        <x:f>IF($G169="x",COUNTIF($G$8:$G169,"x"),"")</x:f>
      </x:c>
      <x:c r="J169" s="51" t="n">
        <x:f>IF(OR($E169="",$G169="x"),1E+99,IF($C169="",TODAY()+3650,$C169)+ROW()/100000)</x:f>
        <x:v>1e+99</x:v>
      </x:c>
      <x:c r="K169" s="1"/>
      <x:c r="L169" s="1"/>
      <x:c r="M169" s="1"/>
      <x:c r="N169" s="1"/>
      <x:c r="O169" s="1"/>
      <x:c r="P169" s="1"/>
      <x:c r="Q169" s="1"/>
      <x:c r="R169" s="1"/>
      <x:c r="S169" s="1"/>
      <x:c r="T169" s="1"/>
    </x:row>
    <x:row r="170" ht="18" customHeight="1">
      <x:c r="A170" s="1"/>
      <x:c r="B170" s="19" t="n">
        <x:v>163</x:v>
      </x:c>
      <x:c r="C170" s="32"/>
      <x:c r="D170" s="33"/>
      <x:c r="E170" s="27"/>
      <x:c r="F170" s="34"/>
      <x:c r="G170" s="34"/>
      <x:c r="H170" s="27"/>
      <x:c r="I170" s="51" t="str">
        <x:f>IF($G170="x",COUNTIF($G$8:$G170,"x"),"")</x:f>
      </x:c>
      <x:c r="J170" s="51" t="n">
        <x:f>IF(OR($E170="",$G170="x"),1E+99,IF($C170="",TODAY()+3650,$C170)+ROW()/100000)</x:f>
        <x:v>1e+99</x:v>
      </x:c>
      <x:c r="K170" s="1"/>
      <x:c r="L170" s="1"/>
      <x:c r="M170" s="1"/>
      <x:c r="N170" s="1"/>
      <x:c r="O170" s="1"/>
      <x:c r="P170" s="1"/>
      <x:c r="Q170" s="1"/>
      <x:c r="R170" s="1"/>
      <x:c r="S170" s="1"/>
      <x:c r="T170" s="1"/>
    </x:row>
    <x:row r="171" ht="18" customHeight="1">
      <x:c r="A171" s="1"/>
      <x:c r="B171" s="19" t="n">
        <x:v>164</x:v>
      </x:c>
      <x:c r="C171" s="32"/>
      <x:c r="D171" s="33"/>
      <x:c r="E171" s="27"/>
      <x:c r="F171" s="34"/>
      <x:c r="G171" s="34"/>
      <x:c r="H171" s="27"/>
      <x:c r="I171" s="51" t="str">
        <x:f>IF($G171="x",COUNTIF($G$8:$G171,"x"),"")</x:f>
      </x:c>
      <x:c r="J171" s="51" t="n">
        <x:f>IF(OR($E171="",$G171="x"),1E+99,IF($C171="",TODAY()+3650,$C171)+ROW()/100000)</x:f>
        <x:v>1e+99</x:v>
      </x:c>
      <x:c r="K171" s="1"/>
      <x:c r="L171" s="1"/>
      <x:c r="M171" s="1"/>
      <x:c r="N171" s="1"/>
      <x:c r="O171" s="1"/>
      <x:c r="P171" s="1"/>
      <x:c r="Q171" s="1"/>
      <x:c r="R171" s="1"/>
      <x:c r="S171" s="1"/>
      <x:c r="T171" s="1"/>
    </x:row>
    <x:row r="172" ht="18" customHeight="1">
      <x:c r="A172" s="1"/>
      <x:c r="B172" s="19" t="n">
        <x:v>165</x:v>
      </x:c>
      <x:c r="C172" s="32"/>
      <x:c r="D172" s="33"/>
      <x:c r="E172" s="27"/>
      <x:c r="F172" s="34"/>
      <x:c r="G172" s="34"/>
      <x:c r="H172" s="27"/>
      <x:c r="I172" s="51" t="str">
        <x:f>IF($G172="x",COUNTIF($G$8:$G172,"x"),"")</x:f>
      </x:c>
      <x:c r="J172" s="51" t="n">
        <x:f>IF(OR($E172="",$G172="x"),1E+99,IF($C172="",TODAY()+3650,$C172)+ROW()/100000)</x:f>
        <x:v>1e+99</x:v>
      </x:c>
      <x:c r="K172" s="1"/>
      <x:c r="L172" s="1"/>
      <x:c r="M172" s="1"/>
      <x:c r="N172" s="1"/>
      <x:c r="O172" s="1"/>
      <x:c r="P172" s="1"/>
      <x:c r="Q172" s="1"/>
      <x:c r="R172" s="1"/>
      <x:c r="S172" s="1"/>
      <x:c r="T172" s="1"/>
    </x:row>
    <x:row r="173" ht="18" customHeight="1">
      <x:c r="A173" s="1"/>
      <x:c r="B173" s="19" t="n">
        <x:v>166</x:v>
      </x:c>
      <x:c r="C173" s="32"/>
      <x:c r="D173" s="33"/>
      <x:c r="E173" s="27"/>
      <x:c r="F173" s="34"/>
      <x:c r="G173" s="34"/>
      <x:c r="H173" s="27"/>
      <x:c r="I173" s="51" t="str">
        <x:f>IF($G173="x",COUNTIF($G$8:$G173,"x"),"")</x:f>
      </x:c>
      <x:c r="J173" s="51" t="n">
        <x:f>IF(OR($E173="",$G173="x"),1E+99,IF($C173="",TODAY()+3650,$C173)+ROW()/100000)</x:f>
        <x:v>1e+99</x:v>
      </x:c>
      <x:c r="K173" s="1"/>
      <x:c r="L173" s="1"/>
      <x:c r="M173" s="1"/>
      <x:c r="N173" s="1"/>
      <x:c r="O173" s="1"/>
      <x:c r="P173" s="1"/>
      <x:c r="Q173" s="1"/>
      <x:c r="R173" s="1"/>
      <x:c r="S173" s="1"/>
      <x:c r="T173" s="1"/>
    </x:row>
    <x:row r="174" ht="18" customHeight="1">
      <x:c r="A174" s="1"/>
      <x:c r="B174" s="19" t="n">
        <x:v>167</x:v>
      </x:c>
      <x:c r="C174" s="32"/>
      <x:c r="D174" s="33"/>
      <x:c r="E174" s="27"/>
      <x:c r="F174" s="34"/>
      <x:c r="G174" s="34"/>
      <x:c r="H174" s="27"/>
      <x:c r="I174" s="51" t="str">
        <x:f>IF($G174="x",COUNTIF($G$8:$G174,"x"),"")</x:f>
      </x:c>
      <x:c r="J174" s="51" t="n">
        <x:f>IF(OR($E174="",$G174="x"),1E+99,IF($C174="",TODAY()+3650,$C174)+ROW()/100000)</x:f>
        <x:v>1e+99</x:v>
      </x:c>
      <x:c r="K174" s="1"/>
      <x:c r="L174" s="1"/>
      <x:c r="M174" s="1"/>
      <x:c r="N174" s="1"/>
      <x:c r="O174" s="1"/>
      <x:c r="P174" s="1"/>
      <x:c r="Q174" s="1"/>
      <x:c r="R174" s="1"/>
      <x:c r="S174" s="1"/>
      <x:c r="T174" s="1"/>
    </x:row>
    <x:row r="175" ht="18" customHeight="1">
      <x:c r="A175" s="1"/>
      <x:c r="B175" s="19" t="n">
        <x:v>168</x:v>
      </x:c>
      <x:c r="C175" s="32"/>
      <x:c r="D175" s="33"/>
      <x:c r="E175" s="27"/>
      <x:c r="F175" s="34"/>
      <x:c r="G175" s="34"/>
      <x:c r="H175" s="27"/>
      <x:c r="I175" s="51" t="str">
        <x:f>IF($G175="x",COUNTIF($G$8:$G175,"x"),"")</x:f>
      </x:c>
      <x:c r="J175" s="51" t="n">
        <x:f>IF(OR($E175="",$G175="x"),1E+99,IF($C175="",TODAY()+3650,$C175)+ROW()/100000)</x:f>
        <x:v>1e+99</x:v>
      </x:c>
      <x:c r="K175" s="1"/>
      <x:c r="L175" s="1"/>
      <x:c r="M175" s="1"/>
      <x:c r="N175" s="1"/>
      <x:c r="O175" s="1"/>
      <x:c r="P175" s="1"/>
      <x:c r="Q175" s="1"/>
      <x:c r="R175" s="1"/>
      <x:c r="S175" s="1"/>
      <x:c r="T175" s="1"/>
    </x:row>
    <x:row r="176" ht="18" customHeight="1">
      <x:c r="A176" s="1"/>
      <x:c r="B176" s="19" t="n">
        <x:v>169</x:v>
      </x:c>
      <x:c r="C176" s="32"/>
      <x:c r="D176" s="33"/>
      <x:c r="E176" s="27"/>
      <x:c r="F176" s="34"/>
      <x:c r="G176" s="34"/>
      <x:c r="H176" s="27"/>
      <x:c r="I176" s="51" t="str">
        <x:f>IF($G176="x",COUNTIF($G$8:$G176,"x"),"")</x:f>
      </x:c>
      <x:c r="J176" s="51" t="n">
        <x:f>IF(OR($E176="",$G176="x"),1E+99,IF($C176="",TODAY()+3650,$C176)+ROW()/100000)</x:f>
        <x:v>1e+99</x:v>
      </x:c>
      <x:c r="K176" s="1"/>
      <x:c r="L176" s="1"/>
      <x:c r="M176" s="1"/>
      <x:c r="N176" s="1"/>
      <x:c r="O176" s="1"/>
      <x:c r="P176" s="1"/>
      <x:c r="Q176" s="1"/>
      <x:c r="R176" s="1"/>
      <x:c r="S176" s="1"/>
      <x:c r="T176" s="1"/>
    </x:row>
    <x:row r="177" ht="18" customHeight="1">
      <x:c r="A177" s="1"/>
      <x:c r="B177" s="19" t="n">
        <x:v>170</x:v>
      </x:c>
      <x:c r="C177" s="32"/>
      <x:c r="D177" s="33"/>
      <x:c r="E177" s="27"/>
      <x:c r="F177" s="34"/>
      <x:c r="G177" s="34"/>
      <x:c r="H177" s="27"/>
      <x:c r="I177" s="51" t="str">
        <x:f>IF($G177="x",COUNTIF($G$8:$G177,"x"),"")</x:f>
      </x:c>
      <x:c r="J177" s="51" t="n">
        <x:f>IF(OR($E177="",$G177="x"),1E+99,IF($C177="",TODAY()+3650,$C177)+ROW()/100000)</x:f>
        <x:v>1e+99</x:v>
      </x:c>
      <x:c r="K177" s="1"/>
      <x:c r="L177" s="1"/>
      <x:c r="M177" s="1"/>
      <x:c r="N177" s="1"/>
      <x:c r="O177" s="1"/>
      <x:c r="P177" s="1"/>
      <x:c r="Q177" s="1"/>
      <x:c r="R177" s="1"/>
      <x:c r="S177" s="1"/>
      <x:c r="T177" s="1"/>
    </x:row>
    <x:row r="178" ht="18" customHeight="1">
      <x:c r="A178" s="1"/>
      <x:c r="B178" s="19" t="n">
        <x:v>171</x:v>
      </x:c>
      <x:c r="C178" s="32"/>
      <x:c r="D178" s="33"/>
      <x:c r="E178" s="27"/>
      <x:c r="F178" s="34"/>
      <x:c r="G178" s="34"/>
      <x:c r="H178" s="27"/>
      <x:c r="I178" s="51" t="str">
        <x:f>IF($G178="x",COUNTIF($G$8:$G178,"x"),"")</x:f>
      </x:c>
      <x:c r="J178" s="51" t="n">
        <x:f>IF(OR($E178="",$G178="x"),1E+99,IF($C178="",TODAY()+3650,$C178)+ROW()/100000)</x:f>
        <x:v>1e+99</x:v>
      </x:c>
      <x:c r="K178" s="1"/>
      <x:c r="L178" s="1"/>
      <x:c r="M178" s="1"/>
      <x:c r="N178" s="1"/>
      <x:c r="O178" s="1"/>
      <x:c r="P178" s="1"/>
      <x:c r="Q178" s="1"/>
      <x:c r="R178" s="1"/>
      <x:c r="S178" s="1"/>
      <x:c r="T178" s="1"/>
    </x:row>
    <x:row r="179" ht="18" customHeight="1">
      <x:c r="A179" s="1"/>
      <x:c r="B179" s="19" t="n">
        <x:v>172</x:v>
      </x:c>
      <x:c r="C179" s="32"/>
      <x:c r="D179" s="33"/>
      <x:c r="E179" s="27"/>
      <x:c r="F179" s="34"/>
      <x:c r="G179" s="34"/>
      <x:c r="H179" s="27"/>
      <x:c r="I179" s="51" t="str">
        <x:f>IF($G179="x",COUNTIF($G$8:$G179,"x"),"")</x:f>
      </x:c>
      <x:c r="J179" s="51" t="n">
        <x:f>IF(OR($E179="",$G179="x"),1E+99,IF($C179="",TODAY()+3650,$C179)+ROW()/100000)</x:f>
        <x:v>1e+99</x:v>
      </x:c>
      <x:c r="K179" s="1"/>
      <x:c r="L179" s="1"/>
      <x:c r="M179" s="1"/>
      <x:c r="N179" s="1"/>
      <x:c r="O179" s="1"/>
      <x:c r="P179" s="1"/>
      <x:c r="Q179" s="1"/>
      <x:c r="R179" s="1"/>
      <x:c r="S179" s="1"/>
      <x:c r="T179" s="1"/>
    </x:row>
    <x:row r="180" ht="18" customHeight="1">
      <x:c r="A180" s="1"/>
      <x:c r="B180" s="19" t="n">
        <x:v>173</x:v>
      </x:c>
      <x:c r="C180" s="32"/>
      <x:c r="D180" s="33"/>
      <x:c r="E180" s="27"/>
      <x:c r="F180" s="34"/>
      <x:c r="G180" s="34"/>
      <x:c r="H180" s="27"/>
      <x:c r="I180" s="51" t="str">
        <x:f>IF($G180="x",COUNTIF($G$8:$G180,"x"),"")</x:f>
      </x:c>
      <x:c r="J180" s="51" t="n">
        <x:f>IF(OR($E180="",$G180="x"),1E+99,IF($C180="",TODAY()+3650,$C180)+ROW()/100000)</x:f>
        <x:v>1e+99</x:v>
      </x:c>
      <x:c r="K180" s="1"/>
      <x:c r="L180" s="1"/>
      <x:c r="M180" s="1"/>
      <x:c r="N180" s="1"/>
      <x:c r="O180" s="1"/>
      <x:c r="P180" s="1"/>
      <x:c r="Q180" s="1"/>
      <x:c r="R180" s="1"/>
      <x:c r="S180" s="1"/>
      <x:c r="T180" s="1"/>
    </x:row>
    <x:row r="181" ht="18" customHeight="1">
      <x:c r="A181" s="1"/>
      <x:c r="B181" s="19" t="n">
        <x:v>174</x:v>
      </x:c>
      <x:c r="C181" s="32"/>
      <x:c r="D181" s="33"/>
      <x:c r="E181" s="27"/>
      <x:c r="F181" s="34"/>
      <x:c r="G181" s="34"/>
      <x:c r="H181" s="27"/>
      <x:c r="I181" s="51" t="str">
        <x:f>IF($G181="x",COUNTIF($G$8:$G181,"x"),"")</x:f>
      </x:c>
      <x:c r="J181" s="51" t="n">
        <x:f>IF(OR($E181="",$G181="x"),1E+99,IF($C181="",TODAY()+3650,$C181)+ROW()/100000)</x:f>
        <x:v>1e+99</x:v>
      </x:c>
      <x:c r="K181" s="1"/>
      <x:c r="L181" s="1"/>
      <x:c r="M181" s="1"/>
      <x:c r="N181" s="1"/>
      <x:c r="O181" s="1"/>
      <x:c r="P181" s="1"/>
      <x:c r="Q181" s="1"/>
      <x:c r="R181" s="1"/>
      <x:c r="S181" s="1"/>
      <x:c r="T181" s="1"/>
    </x:row>
    <x:row r="182" ht="18" customHeight="1">
      <x:c r="A182" s="1"/>
      <x:c r="B182" s="19" t="n">
        <x:v>175</x:v>
      </x:c>
      <x:c r="C182" s="32"/>
      <x:c r="D182" s="33"/>
      <x:c r="E182" s="27"/>
      <x:c r="F182" s="34"/>
      <x:c r="G182" s="34"/>
      <x:c r="H182" s="27"/>
      <x:c r="I182" s="51" t="str">
        <x:f>IF($G182="x",COUNTIF($G$8:$G182,"x"),"")</x:f>
      </x:c>
      <x:c r="J182" s="51" t="n">
        <x:f>IF(OR($E182="",$G182="x"),1E+99,IF($C182="",TODAY()+3650,$C182)+ROW()/100000)</x:f>
        <x:v>1e+99</x:v>
      </x:c>
      <x:c r="K182" s="1"/>
      <x:c r="L182" s="1"/>
      <x:c r="M182" s="1"/>
      <x:c r="N182" s="1"/>
      <x:c r="O182" s="1"/>
      <x:c r="P182" s="1"/>
      <x:c r="Q182" s="1"/>
      <x:c r="R182" s="1"/>
      <x:c r="S182" s="1"/>
      <x:c r="T182" s="1"/>
    </x:row>
    <x:row r="183" ht="18" customHeight="1">
      <x:c r="A183" s="1"/>
      <x:c r="B183" s="19" t="n">
        <x:v>176</x:v>
      </x:c>
      <x:c r="C183" s="32"/>
      <x:c r="D183" s="33"/>
      <x:c r="E183" s="27"/>
      <x:c r="F183" s="34"/>
      <x:c r="G183" s="34"/>
      <x:c r="H183" s="27"/>
      <x:c r="I183" s="51" t="str">
        <x:f>IF($G183="x",COUNTIF($G$8:$G183,"x"),"")</x:f>
      </x:c>
      <x:c r="J183" s="51" t="n">
        <x:f>IF(OR($E183="",$G183="x"),1E+99,IF($C183="",TODAY()+3650,$C183)+ROW()/100000)</x:f>
        <x:v>1e+99</x:v>
      </x:c>
      <x:c r="K183" s="1"/>
      <x:c r="L183" s="1"/>
      <x:c r="M183" s="1"/>
      <x:c r="N183" s="1"/>
      <x:c r="O183" s="1"/>
      <x:c r="P183" s="1"/>
      <x:c r="Q183" s="1"/>
      <x:c r="R183" s="1"/>
      <x:c r="S183" s="1"/>
      <x:c r="T183" s="1"/>
    </x:row>
    <x:row r="184" ht="18" customHeight="1">
      <x:c r="A184" s="1"/>
      <x:c r="B184" s="19" t="n">
        <x:v>177</x:v>
      </x:c>
      <x:c r="C184" s="32"/>
      <x:c r="D184" s="33"/>
      <x:c r="E184" s="27"/>
      <x:c r="F184" s="34"/>
      <x:c r="G184" s="34"/>
      <x:c r="H184" s="27"/>
      <x:c r="I184" s="51" t="str">
        <x:f>IF($G184="x",COUNTIF($G$8:$G184,"x"),"")</x:f>
      </x:c>
      <x:c r="J184" s="51" t="n">
        <x:f>IF(OR($E184="",$G184="x"),1E+99,IF($C184="",TODAY()+3650,$C184)+ROW()/100000)</x:f>
        <x:v>1e+99</x:v>
      </x:c>
      <x:c r="K184" s="1"/>
      <x:c r="L184" s="1"/>
      <x:c r="M184" s="1"/>
      <x:c r="N184" s="1"/>
      <x:c r="O184" s="1"/>
      <x:c r="P184" s="1"/>
      <x:c r="Q184" s="1"/>
      <x:c r="R184" s="1"/>
      <x:c r="S184" s="1"/>
      <x:c r="T184" s="1"/>
    </x:row>
    <x:row r="185" ht="18" customHeight="1">
      <x:c r="A185" s="1"/>
      <x:c r="B185" s="19" t="n">
        <x:v>178</x:v>
      </x:c>
      <x:c r="C185" s="32"/>
      <x:c r="D185" s="33"/>
      <x:c r="E185" s="27"/>
      <x:c r="F185" s="34"/>
      <x:c r="G185" s="34"/>
      <x:c r="H185" s="27"/>
      <x:c r="I185" s="51" t="str">
        <x:f>IF($G185="x",COUNTIF($G$8:$G185,"x"),"")</x:f>
      </x:c>
      <x:c r="J185" s="51" t="n">
        <x:f>IF(OR($E185="",$G185="x"),1E+99,IF($C185="",TODAY()+3650,$C185)+ROW()/100000)</x:f>
        <x:v>1e+99</x:v>
      </x:c>
      <x:c r="K185" s="1"/>
      <x:c r="L185" s="1"/>
      <x:c r="M185" s="1"/>
      <x:c r="N185" s="1"/>
      <x:c r="O185" s="1"/>
      <x:c r="P185" s="1"/>
      <x:c r="Q185" s="1"/>
      <x:c r="R185" s="1"/>
      <x:c r="S185" s="1"/>
      <x:c r="T185" s="1"/>
    </x:row>
    <x:row r="186" ht="18" customHeight="1">
      <x:c r="A186" s="1"/>
      <x:c r="B186" s="19" t="n">
        <x:v>179</x:v>
      </x:c>
      <x:c r="C186" s="32"/>
      <x:c r="D186" s="33"/>
      <x:c r="E186" s="27"/>
      <x:c r="F186" s="34"/>
      <x:c r="G186" s="34"/>
      <x:c r="H186" s="27"/>
      <x:c r="I186" s="51" t="str">
        <x:f>IF($G186="x",COUNTIF($G$8:$G186,"x"),"")</x:f>
      </x:c>
      <x:c r="J186" s="51" t="n">
        <x:f>IF(OR($E186="",$G186="x"),1E+99,IF($C186="",TODAY()+3650,$C186)+ROW()/100000)</x:f>
        <x:v>1e+99</x:v>
      </x:c>
      <x:c r="K186" s="1"/>
      <x:c r="L186" s="1"/>
      <x:c r="M186" s="1"/>
      <x:c r="N186" s="1"/>
      <x:c r="O186" s="1"/>
      <x:c r="P186" s="1"/>
      <x:c r="Q186" s="1"/>
      <x:c r="R186" s="1"/>
      <x:c r="S186" s="1"/>
      <x:c r="T186" s="1"/>
    </x:row>
    <x:row r="187" ht="18" customHeight="1">
      <x:c r="A187" s="1"/>
      <x:c r="B187" s="19" t="n">
        <x:v>180</x:v>
      </x:c>
      <x:c r="C187" s="32"/>
      <x:c r="D187" s="33"/>
      <x:c r="E187" s="27"/>
      <x:c r="F187" s="34"/>
      <x:c r="G187" s="34"/>
      <x:c r="H187" s="27"/>
      <x:c r="I187" s="51" t="str">
        <x:f>IF($G187="x",COUNTIF($G$8:$G187,"x"),"")</x:f>
      </x:c>
      <x:c r="J187" s="51" t="n">
        <x:f>IF(OR($E187="",$G187="x"),1E+99,IF($C187="",TODAY()+3650,$C187)+ROW()/100000)</x:f>
        <x:v>1e+99</x:v>
      </x:c>
      <x:c r="K187" s="1"/>
      <x:c r="L187" s="1"/>
      <x:c r="M187" s="1"/>
      <x:c r="N187" s="1"/>
      <x:c r="O187" s="1"/>
      <x:c r="P187" s="1"/>
      <x:c r="Q187" s="1"/>
      <x:c r="R187" s="1"/>
      <x:c r="S187" s="1"/>
      <x:c r="T187" s="1"/>
    </x:row>
    <x:row r="188" ht="18" customHeight="1">
      <x:c r="A188" s="1"/>
      <x:c r="B188" s="19" t="n">
        <x:v>181</x:v>
      </x:c>
      <x:c r="C188" s="32"/>
      <x:c r="D188" s="33"/>
      <x:c r="E188" s="27"/>
      <x:c r="F188" s="34"/>
      <x:c r="G188" s="34"/>
      <x:c r="H188" s="27"/>
      <x:c r="I188" s="51" t="str">
        <x:f>IF($G188="x",COUNTIF($G$8:$G188,"x"),"")</x:f>
      </x:c>
      <x:c r="J188" s="51" t="n">
        <x:f>IF(OR($E188="",$G188="x"),1E+99,IF($C188="",TODAY()+3650,$C188)+ROW()/100000)</x:f>
        <x:v>1e+99</x:v>
      </x:c>
      <x:c r="K188" s="1"/>
      <x:c r="L188" s="1"/>
      <x:c r="M188" s="1"/>
      <x:c r="N188" s="1"/>
      <x:c r="O188" s="1"/>
      <x:c r="P188" s="1"/>
      <x:c r="Q188" s="1"/>
      <x:c r="R188" s="1"/>
      <x:c r="S188" s="1"/>
      <x:c r="T188" s="1"/>
    </x:row>
    <x:row r="189" ht="18" customHeight="1">
      <x:c r="A189" s="1"/>
      <x:c r="B189" s="19" t="n">
        <x:v>182</x:v>
      </x:c>
      <x:c r="C189" s="32"/>
      <x:c r="D189" s="33"/>
      <x:c r="E189" s="27"/>
      <x:c r="F189" s="34"/>
      <x:c r="G189" s="34"/>
      <x:c r="H189" s="27"/>
      <x:c r="I189" s="51" t="str">
        <x:f>IF($G189="x",COUNTIF($G$8:$G189,"x"),"")</x:f>
      </x:c>
      <x:c r="J189" s="51" t="n">
        <x:f>IF(OR($E189="",$G189="x"),1E+99,IF($C189="",TODAY()+3650,$C189)+ROW()/100000)</x:f>
        <x:v>1e+99</x:v>
      </x:c>
      <x:c r="K189" s="1"/>
      <x:c r="L189" s="1"/>
      <x:c r="M189" s="1"/>
      <x:c r="N189" s="1"/>
      <x:c r="O189" s="1"/>
      <x:c r="P189" s="1"/>
      <x:c r="Q189" s="1"/>
      <x:c r="R189" s="1"/>
      <x:c r="S189" s="1"/>
      <x:c r="T189" s="1"/>
    </x:row>
    <x:row r="190" ht="18" customHeight="1">
      <x:c r="A190" s="1"/>
      <x:c r="B190" s="19" t="n">
        <x:v>183</x:v>
      </x:c>
      <x:c r="C190" s="32"/>
      <x:c r="D190" s="33"/>
      <x:c r="E190" s="27"/>
      <x:c r="F190" s="34"/>
      <x:c r="G190" s="34"/>
      <x:c r="H190" s="27"/>
      <x:c r="I190" s="51" t="str">
        <x:f>IF($G190="x",COUNTIF($G$8:$G190,"x"),"")</x:f>
      </x:c>
      <x:c r="J190" s="51" t="n">
        <x:f>IF(OR($E190="",$G190="x"),1E+99,IF($C190="",TODAY()+3650,$C190)+ROW()/100000)</x:f>
        <x:v>1e+99</x:v>
      </x:c>
      <x:c r="K190" s="1"/>
      <x:c r="L190" s="1"/>
      <x:c r="M190" s="1"/>
      <x:c r="N190" s="1"/>
      <x:c r="O190" s="1"/>
      <x:c r="P190" s="1"/>
      <x:c r="Q190" s="1"/>
      <x:c r="R190" s="1"/>
      <x:c r="S190" s="1"/>
      <x:c r="T190" s="1"/>
    </x:row>
    <x:row r="191" ht="18" customHeight="1">
      <x:c r="A191" s="1"/>
      <x:c r="B191" s="19" t="n">
        <x:v>184</x:v>
      </x:c>
      <x:c r="C191" s="32"/>
      <x:c r="D191" s="33"/>
      <x:c r="E191" s="27"/>
      <x:c r="F191" s="34"/>
      <x:c r="G191" s="34"/>
      <x:c r="H191" s="27"/>
      <x:c r="I191" s="51" t="str">
        <x:f>IF($G191="x",COUNTIF($G$8:$G191,"x"),"")</x:f>
      </x:c>
      <x:c r="J191" s="51" t="n">
        <x:f>IF(OR($E191="",$G191="x"),1E+99,IF($C191="",TODAY()+3650,$C191)+ROW()/100000)</x:f>
        <x:v>1e+99</x:v>
      </x:c>
      <x:c r="K191" s="1"/>
      <x:c r="L191" s="1"/>
      <x:c r="M191" s="1"/>
      <x:c r="N191" s="1"/>
      <x:c r="O191" s="1"/>
      <x:c r="P191" s="1"/>
      <x:c r="Q191" s="1"/>
      <x:c r="R191" s="1"/>
      <x:c r="S191" s="1"/>
      <x:c r="T191" s="1"/>
    </x:row>
    <x:row r="192" ht="18" customHeight="1">
      <x:c r="A192" s="1"/>
      <x:c r="B192" s="19" t="n">
        <x:v>185</x:v>
      </x:c>
      <x:c r="C192" s="32"/>
      <x:c r="D192" s="33"/>
      <x:c r="E192" s="27"/>
      <x:c r="F192" s="34"/>
      <x:c r="G192" s="34"/>
      <x:c r="H192" s="27"/>
      <x:c r="I192" s="51" t="str">
        <x:f>IF($G192="x",COUNTIF($G$8:$G192,"x"),"")</x:f>
      </x:c>
      <x:c r="J192" s="51" t="n">
        <x:f>IF(OR($E192="",$G192="x"),1E+99,IF($C192="",TODAY()+3650,$C192)+ROW()/100000)</x:f>
        <x:v>1e+99</x:v>
      </x:c>
      <x:c r="K192" s="1"/>
      <x:c r="L192" s="1"/>
      <x:c r="M192" s="1"/>
      <x:c r="N192" s="1"/>
      <x:c r="O192" s="1"/>
      <x:c r="P192" s="1"/>
      <x:c r="Q192" s="1"/>
      <x:c r="R192" s="1"/>
      <x:c r="S192" s="1"/>
      <x:c r="T192" s="1"/>
    </x:row>
    <x:row r="193" ht="18" customHeight="1">
      <x:c r="A193" s="1"/>
      <x:c r="B193" s="19" t="n">
        <x:v>186</x:v>
      </x:c>
      <x:c r="C193" s="32"/>
      <x:c r="D193" s="33"/>
      <x:c r="E193" s="27"/>
      <x:c r="F193" s="34"/>
      <x:c r="G193" s="34"/>
      <x:c r="H193" s="27"/>
      <x:c r="I193" s="51" t="str">
        <x:f>IF($G193="x",COUNTIF($G$8:$G193,"x"),"")</x:f>
      </x:c>
      <x:c r="J193" s="51" t="n">
        <x:f>IF(OR($E193="",$G193="x"),1E+99,IF($C193="",TODAY()+3650,$C193)+ROW()/100000)</x:f>
        <x:v>1e+99</x:v>
      </x:c>
      <x:c r="K193" s="1"/>
      <x:c r="L193" s="1"/>
      <x:c r="M193" s="1"/>
      <x:c r="N193" s="1"/>
      <x:c r="O193" s="1"/>
      <x:c r="P193" s="1"/>
      <x:c r="Q193" s="1"/>
      <x:c r="R193" s="1"/>
      <x:c r="S193" s="1"/>
      <x:c r="T193" s="1"/>
    </x:row>
    <x:row r="194" ht="18" customHeight="1">
      <x:c r="A194" s="1"/>
      <x:c r="B194" s="19" t="n">
        <x:v>187</x:v>
      </x:c>
      <x:c r="C194" s="32"/>
      <x:c r="D194" s="33"/>
      <x:c r="E194" s="27"/>
      <x:c r="F194" s="34"/>
      <x:c r="G194" s="34"/>
      <x:c r="H194" s="27"/>
      <x:c r="I194" s="51" t="str">
        <x:f>IF($G194="x",COUNTIF($G$8:$G194,"x"),"")</x:f>
      </x:c>
      <x:c r="J194" s="51" t="n">
        <x:f>IF(OR($E194="",$G194="x"),1E+99,IF($C194="",TODAY()+3650,$C194)+ROW()/100000)</x:f>
        <x:v>1e+99</x:v>
      </x:c>
      <x:c r="K194" s="1"/>
      <x:c r="L194" s="1"/>
      <x:c r="M194" s="1"/>
      <x:c r="N194" s="1"/>
      <x:c r="O194" s="1"/>
      <x:c r="P194" s="1"/>
      <x:c r="Q194" s="1"/>
      <x:c r="R194" s="1"/>
      <x:c r="S194" s="1"/>
      <x:c r="T194" s="1"/>
    </x:row>
    <x:row r="195" ht="18" customHeight="1">
      <x:c r="A195" s="1"/>
      <x:c r="B195" s="19" t="n">
        <x:v>188</x:v>
      </x:c>
      <x:c r="C195" s="32"/>
      <x:c r="D195" s="33"/>
      <x:c r="E195" s="27"/>
      <x:c r="F195" s="34"/>
      <x:c r="G195" s="34"/>
      <x:c r="H195" s="27"/>
      <x:c r="I195" s="51" t="str">
        <x:f>IF($G195="x",COUNTIF($G$8:$G195,"x"),"")</x:f>
      </x:c>
      <x:c r="J195" s="51" t="n">
        <x:f>IF(OR($E195="",$G195="x"),1E+99,IF($C195="",TODAY()+3650,$C195)+ROW()/100000)</x:f>
        <x:v>1e+99</x:v>
      </x:c>
      <x:c r="K195" s="1"/>
      <x:c r="L195" s="1"/>
      <x:c r="M195" s="1"/>
      <x:c r="N195" s="1"/>
      <x:c r="O195" s="1"/>
      <x:c r="P195" s="1"/>
      <x:c r="Q195" s="1"/>
      <x:c r="R195" s="1"/>
      <x:c r="S195" s="1"/>
      <x:c r="T195" s="1"/>
    </x:row>
    <x:row r="196" ht="18" customHeight="1">
      <x:c r="A196" s="1"/>
      <x:c r="B196" s="19" t="n">
        <x:v>189</x:v>
      </x:c>
      <x:c r="C196" s="32"/>
      <x:c r="D196" s="33"/>
      <x:c r="E196" s="27"/>
      <x:c r="F196" s="34"/>
      <x:c r="G196" s="34"/>
      <x:c r="H196" s="27"/>
      <x:c r="I196" s="51" t="str">
        <x:f>IF($G196="x",COUNTIF($G$8:$G196,"x"),"")</x:f>
      </x:c>
      <x:c r="J196" s="51" t="n">
        <x:f>IF(OR($E196="",$G196="x"),1E+99,IF($C196="",TODAY()+3650,$C196)+ROW()/100000)</x:f>
        <x:v>1e+99</x:v>
      </x:c>
      <x:c r="K196" s="1"/>
      <x:c r="L196" s="1"/>
      <x:c r="M196" s="1"/>
      <x:c r="N196" s="1"/>
      <x:c r="O196" s="1"/>
      <x:c r="P196" s="1"/>
      <x:c r="Q196" s="1"/>
      <x:c r="R196" s="1"/>
      <x:c r="S196" s="1"/>
      <x:c r="T196" s="1"/>
    </x:row>
    <x:row r="197" ht="18" customHeight="1">
      <x:c r="A197" s="1"/>
      <x:c r="B197" s="19" t="n">
        <x:v>190</x:v>
      </x:c>
      <x:c r="C197" s="32"/>
      <x:c r="D197" s="33"/>
      <x:c r="E197" s="27"/>
      <x:c r="F197" s="34"/>
      <x:c r="G197" s="34"/>
      <x:c r="H197" s="27"/>
      <x:c r="I197" s="51" t="str">
        <x:f>IF($G197="x",COUNTIF($G$8:$G197,"x"),"")</x:f>
      </x:c>
      <x:c r="J197" s="51" t="n">
        <x:f>IF(OR($E197="",$G197="x"),1E+99,IF($C197="",TODAY()+3650,$C197)+ROW()/100000)</x:f>
        <x:v>1e+99</x:v>
      </x:c>
      <x:c r="K197" s="1"/>
      <x:c r="L197" s="1"/>
      <x:c r="M197" s="1"/>
      <x:c r="N197" s="1"/>
      <x:c r="O197" s="1"/>
      <x:c r="P197" s="1"/>
      <x:c r="Q197" s="1"/>
      <x:c r="R197" s="1"/>
      <x:c r="S197" s="1"/>
      <x:c r="T197" s="1"/>
    </x:row>
    <x:row r="198" ht="18" customHeight="1">
      <x:c r="A198" s="1"/>
      <x:c r="B198" s="19" t="n">
        <x:v>191</x:v>
      </x:c>
      <x:c r="C198" s="32"/>
      <x:c r="D198" s="33"/>
      <x:c r="E198" s="27"/>
      <x:c r="F198" s="34"/>
      <x:c r="G198" s="34"/>
      <x:c r="H198" s="27"/>
      <x:c r="I198" s="51" t="str">
        <x:f>IF($G198="x",COUNTIF($G$8:$G198,"x"),"")</x:f>
      </x:c>
      <x:c r="J198" s="51" t="n">
        <x:f>IF(OR($E198="",$G198="x"),1E+99,IF($C198="",TODAY()+3650,$C198)+ROW()/100000)</x:f>
        <x:v>1e+99</x:v>
      </x:c>
      <x:c r="K198" s="1"/>
      <x:c r="L198" s="1"/>
      <x:c r="M198" s="1"/>
      <x:c r="N198" s="1"/>
      <x:c r="O198" s="1"/>
      <x:c r="P198" s="1"/>
      <x:c r="Q198" s="1"/>
      <x:c r="R198" s="1"/>
      <x:c r="S198" s="1"/>
      <x:c r="T198" s="1"/>
    </x:row>
    <x:row r="199" ht="18" customHeight="1">
      <x:c r="A199" s="1"/>
      <x:c r="B199" s="19" t="n">
        <x:v>192</x:v>
      </x:c>
      <x:c r="C199" s="32"/>
      <x:c r="D199" s="33"/>
      <x:c r="E199" s="27"/>
      <x:c r="F199" s="34"/>
      <x:c r="G199" s="34"/>
      <x:c r="H199" s="27"/>
      <x:c r="I199" s="51" t="str">
        <x:f>IF($G199="x",COUNTIF($G$8:$G199,"x"),"")</x:f>
      </x:c>
      <x:c r="J199" s="51" t="n">
        <x:f>IF(OR($E199="",$G199="x"),1E+99,IF($C199="",TODAY()+3650,$C199)+ROW()/100000)</x:f>
        <x:v>1e+99</x:v>
      </x:c>
      <x:c r="K199" s="1"/>
      <x:c r="L199" s="1"/>
      <x:c r="M199" s="1"/>
      <x:c r="N199" s="1"/>
      <x:c r="O199" s="1"/>
      <x:c r="P199" s="1"/>
      <x:c r="Q199" s="1"/>
      <x:c r="R199" s="1"/>
      <x:c r="S199" s="1"/>
      <x:c r="T199" s="1"/>
    </x:row>
    <x:row r="200" ht="18" customHeight="1">
      <x:c r="A200" s="1"/>
      <x:c r="B200" s="19" t="n">
        <x:v>193</x:v>
      </x:c>
      <x:c r="C200" s="32"/>
      <x:c r="D200" s="33"/>
      <x:c r="E200" s="27"/>
      <x:c r="F200" s="34"/>
      <x:c r="G200" s="34"/>
      <x:c r="H200" s="27"/>
      <x:c r="I200" s="51" t="str">
        <x:f>IF($G200="x",COUNTIF($G$8:$G200,"x"),"")</x:f>
      </x:c>
      <x:c r="J200" s="51" t="n">
        <x:f>IF(OR($E200="",$G200="x"),1E+99,IF($C200="",TODAY()+3650,$C200)+ROW()/100000)</x:f>
        <x:v>1e+99</x:v>
      </x:c>
      <x:c r="K200" s="1"/>
      <x:c r="L200" s="1"/>
      <x:c r="M200" s="1"/>
      <x:c r="N200" s="1"/>
      <x:c r="O200" s="1"/>
      <x:c r="P200" s="1"/>
      <x:c r="Q200" s="1"/>
      <x:c r="R200" s="1"/>
      <x:c r="S200" s="1"/>
      <x:c r="T200" s="1"/>
    </x:row>
    <x:row r="201" ht="18" customHeight="1">
      <x:c r="A201" s="1"/>
      <x:c r="B201" s="19" t="n">
        <x:v>194</x:v>
      </x:c>
      <x:c r="C201" s="32"/>
      <x:c r="D201" s="33"/>
      <x:c r="E201" s="27"/>
      <x:c r="F201" s="34"/>
      <x:c r="G201" s="34"/>
      <x:c r="H201" s="27"/>
      <x:c r="I201" s="51" t="str">
        <x:f>IF($G201="x",COUNTIF($G$8:$G201,"x"),"")</x:f>
      </x:c>
      <x:c r="J201" s="51" t="n">
        <x:f>IF(OR($E201="",$G201="x"),1E+99,IF($C201="",TODAY()+3650,$C201)+ROW()/100000)</x:f>
        <x:v>1e+99</x:v>
      </x:c>
      <x:c r="K201" s="1"/>
      <x:c r="L201" s="1"/>
      <x:c r="M201" s="1"/>
      <x:c r="N201" s="1"/>
      <x:c r="O201" s="1"/>
      <x:c r="P201" s="1"/>
      <x:c r="Q201" s="1"/>
      <x:c r="R201" s="1"/>
      <x:c r="S201" s="1"/>
      <x:c r="T201" s="1"/>
    </x:row>
    <x:row r="202" ht="18" customHeight="1">
      <x:c r="A202" s="1"/>
      <x:c r="B202" s="19" t="n">
        <x:v>195</x:v>
      </x:c>
      <x:c r="C202" s="32"/>
      <x:c r="D202" s="33"/>
      <x:c r="E202" s="27"/>
      <x:c r="F202" s="34"/>
      <x:c r="G202" s="34"/>
      <x:c r="H202" s="27"/>
      <x:c r="I202" s="51" t="str">
        <x:f>IF($G202="x",COUNTIF($G$8:$G202,"x"),"")</x:f>
      </x:c>
      <x:c r="J202" s="51" t="n">
        <x:f>IF(OR($E202="",$G202="x"),1E+99,IF($C202="",TODAY()+3650,$C202)+ROW()/100000)</x:f>
        <x:v>1e+99</x:v>
      </x:c>
      <x:c r="K202" s="1"/>
      <x:c r="L202" s="1"/>
      <x:c r="M202" s="1"/>
      <x:c r="N202" s="1"/>
      <x:c r="O202" s="1"/>
      <x:c r="P202" s="1"/>
      <x:c r="Q202" s="1"/>
      <x:c r="R202" s="1"/>
      <x:c r="S202" s="1"/>
      <x:c r="T202" s="1"/>
    </x:row>
    <x:row r="203" ht="18" customHeight="1">
      <x:c r="A203" s="1"/>
      <x:c r="B203" s="19" t="n">
        <x:v>196</x:v>
      </x:c>
      <x:c r="C203" s="32"/>
      <x:c r="D203" s="33"/>
      <x:c r="E203" s="27"/>
      <x:c r="F203" s="34"/>
      <x:c r="G203" s="34"/>
      <x:c r="H203" s="27"/>
      <x:c r="I203" s="51" t="str">
        <x:f>IF($G203="x",COUNTIF($G$8:$G203,"x"),"")</x:f>
      </x:c>
      <x:c r="J203" s="51" t="n">
        <x:f>IF(OR($E203="",$G203="x"),1E+99,IF($C203="",TODAY()+3650,$C203)+ROW()/100000)</x:f>
        <x:v>1e+99</x:v>
      </x:c>
      <x:c r="K203" s="1"/>
      <x:c r="L203" s="1"/>
      <x:c r="M203" s="1"/>
      <x:c r="N203" s="1"/>
      <x:c r="O203" s="1"/>
      <x:c r="P203" s="1"/>
      <x:c r="Q203" s="1"/>
      <x:c r="R203" s="1"/>
      <x:c r="S203" s="1"/>
      <x:c r="T203" s="1"/>
    </x:row>
    <x:row r="204" ht="18" customHeight="1">
      <x:c r="A204" s="1"/>
      <x:c r="B204" s="19" t="n">
        <x:v>197</x:v>
      </x:c>
      <x:c r="C204" s="32"/>
      <x:c r="D204" s="33"/>
      <x:c r="E204" s="27"/>
      <x:c r="F204" s="34"/>
      <x:c r="G204" s="34"/>
      <x:c r="H204" s="27"/>
      <x:c r="I204" s="51" t="str">
        <x:f>IF($G204="x",COUNTIF($G$8:$G204,"x"),"")</x:f>
      </x:c>
      <x:c r="J204" s="51" t="n">
        <x:f>IF(OR($E204="",$G204="x"),1E+99,IF($C204="",TODAY()+3650,$C204)+ROW()/100000)</x:f>
        <x:v>1e+99</x:v>
      </x:c>
      <x:c r="K204" s="1"/>
      <x:c r="L204" s="1"/>
      <x:c r="M204" s="1"/>
      <x:c r="N204" s="1"/>
      <x:c r="O204" s="1"/>
      <x:c r="P204" s="1"/>
      <x:c r="Q204" s="1"/>
      <x:c r="R204" s="1"/>
      <x:c r="S204" s="1"/>
      <x:c r="T204" s="1"/>
    </x:row>
    <x:row r="205" ht="18" customHeight="1">
      <x:c r="A205" s="1"/>
      <x:c r="B205" s="19" t="n">
        <x:v>198</x:v>
      </x:c>
      <x:c r="C205" s="32"/>
      <x:c r="D205" s="33"/>
      <x:c r="E205" s="27"/>
      <x:c r="F205" s="34"/>
      <x:c r="G205" s="34"/>
      <x:c r="H205" s="27"/>
      <x:c r="I205" s="51" t="str">
        <x:f>IF($G205="x",COUNTIF($G$8:$G205,"x"),"")</x:f>
      </x:c>
      <x:c r="J205" s="51" t="n">
        <x:f>IF(OR($E205="",$G205="x"),1E+99,IF($C205="",TODAY()+3650,$C205)+ROW()/100000)</x:f>
        <x:v>1e+99</x:v>
      </x:c>
      <x:c r="K205" s="1"/>
      <x:c r="L205" s="1"/>
      <x:c r="M205" s="1"/>
      <x:c r="N205" s="1"/>
      <x:c r="O205" s="1"/>
      <x:c r="P205" s="1"/>
      <x:c r="Q205" s="1"/>
      <x:c r="R205" s="1"/>
      <x:c r="S205" s="1"/>
      <x:c r="T205" s="1"/>
    </x:row>
    <x:row r="206" ht="18" customHeight="1">
      <x:c r="A206" s="1"/>
      <x:c r="B206" s="19" t="n">
        <x:v>199</x:v>
      </x:c>
      <x:c r="C206" s="32"/>
      <x:c r="D206" s="33"/>
      <x:c r="E206" s="27"/>
      <x:c r="F206" s="34"/>
      <x:c r="G206" s="34"/>
      <x:c r="H206" s="27"/>
      <x:c r="I206" s="51" t="str">
        <x:f>IF($G206="x",COUNTIF($G$8:$G206,"x"),"")</x:f>
      </x:c>
      <x:c r="J206" s="51" t="n">
        <x:f>IF(OR($E206="",$G206="x"),1E+99,IF($C206="",TODAY()+3650,$C206)+ROW()/100000)</x:f>
        <x:v>1e+99</x:v>
      </x:c>
      <x:c r="K206" s="1"/>
      <x:c r="L206" s="1"/>
      <x:c r="M206" s="1"/>
      <x:c r="N206" s="1"/>
      <x:c r="O206" s="1"/>
      <x:c r="P206" s="1"/>
      <x:c r="Q206" s="1"/>
      <x:c r="R206" s="1"/>
      <x:c r="S206" s="1"/>
      <x:c r="T206" s="1"/>
    </x:row>
    <x:row r="207" ht="18" customHeight="1">
      <x:c r="A207" s="1"/>
      <x:c r="B207" s="19" t="n">
        <x:v>200</x:v>
      </x:c>
      <x:c r="C207" s="32"/>
      <x:c r="D207" s="33"/>
      <x:c r="E207" s="27"/>
      <x:c r="F207" s="34"/>
      <x:c r="G207" s="34"/>
      <x:c r="H207" s="27"/>
      <x:c r="I207" s="51" t="str">
        <x:f>IF($G207="x",COUNTIF($G$8:$G207,"x"),"")</x:f>
      </x:c>
      <x:c r="J207" s="51" t="n">
        <x:f>IF(OR($E207="",$G207="x"),1E+99,IF($C207="",TODAY()+3650,$C207)+ROW()/100000)</x:f>
        <x:v>1e+99</x:v>
      </x:c>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row r="221" ht="18" customHeight="1">
      <x:c r="A221" s="1"/>
      <x:c r="B221" s="1"/>
      <x:c r="C221" s="1"/>
      <x:c r="D221" s="1"/>
      <x:c r="E221" s="1"/>
      <x:c r="F221" s="1"/>
      <x:c r="G221" s="1"/>
      <x:c r="H221" s="1"/>
      <x:c r="I221" s="1"/>
      <x:c r="J221" s="1"/>
      <x:c r="K221" s="1"/>
      <x:c r="L221" s="1"/>
      <x:c r="M221" s="1"/>
      <x:c r="N221" s="1"/>
      <x:c r="O221" s="1"/>
      <x:c r="P221" s="1"/>
      <x:c r="Q221" s="1"/>
      <x:c r="R221" s="1"/>
      <x:c r="S221" s="1"/>
      <x:c r="T221" s="1"/>
    </x:row>
    <x:row r="222" ht="18" customHeight="1">
      <x:c r="A222" s="1"/>
      <x:c r="B222" s="1"/>
      <x:c r="C222" s="1"/>
      <x:c r="D222" s="1"/>
      <x:c r="E222" s="1"/>
      <x:c r="F222" s="1"/>
      <x:c r="G222" s="1"/>
      <x:c r="H222" s="1"/>
      <x:c r="I222" s="1"/>
      <x:c r="J222" s="1"/>
      <x:c r="K222" s="1"/>
      <x:c r="L222" s="1"/>
      <x:c r="M222" s="1"/>
      <x:c r="N222" s="1"/>
      <x:c r="O222" s="1"/>
      <x:c r="P222" s="1"/>
      <x:c r="Q222" s="1"/>
      <x:c r="R222" s="1"/>
      <x:c r="S222" s="1"/>
      <x:c r="T222" s="1"/>
    </x:row>
  </x:sheetData>
  <x:mergeCells>
    <x:mergeCell ref="B3:H3"/>
    <x:mergeCell ref="B4:H4"/>
  </x:mergeCells>
  <x:conditionalFormatting sqref="B8:H207">
    <x:cfRule type="expression" dxfId="0" priority="1">
      <x:formula>$G8="x"</x:formula>
    </x:cfRule>
    <x:cfRule type="expression" dxfId="1" priority="2">
      <x:formula>AND($C8&lt;TODAY(),$C8&lt;&gt;"",$G8&lt;&gt;"x")</x:formula>
    </x:cfRule>
  </x:conditionalFormatting>
  <x:dataValidations count="2">
    <x:dataValidation type="list" sqref="F8:F207">
      <x:formula1>"A,B,C"</x:formula1>
    </x:dataValidation>
    <x:dataValidation type="list" sqref="G8:G207">
      <x:formula1>",x"</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6" hidden="0" customWidth="1"/>
    <x:col min="3" max="3" width="13" hidden="0" customWidth="1"/>
    <x:col min="4" max="4" width="15" hidden="0" customWidth="1"/>
    <x:col min="5" max="5" width="43.0099983215332" hidden="0" customWidth="1"/>
    <x:col min="6" max="6" width="10" hidden="0" customWidth="1"/>
    <x:col min="7" max="7" width="10" hidden="0" customWidth="1"/>
    <x:col min="8" max="8" width="35.0099983215332"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Agenda</x:v>
      </x:c>
      <x:c r="C3" s="5"/>
      <x:c r="D3" s="5"/>
      <x:c r="E3" s="5"/>
      <x:c r="F3" s="5"/>
      <x:c r="G3" s="5"/>
      <x:c r="H3" s="5"/>
      <x:c r="I3" s="1"/>
      <x:c r="J3" s="1"/>
      <x:c r="K3" s="1"/>
      <x:c r="L3" s="1"/>
      <x:c r="M3" s="1"/>
      <x:c r="N3" s="1"/>
      <x:c r="O3" s="1"/>
      <x:c r="P3" s="1"/>
      <x:c r="Q3" s="1"/>
      <x:c r="R3" s="1"/>
      <x:c r="S3" s="1"/>
      <x:c r="T3" s="1"/>
    </x:row>
    <x:row r="4" ht="20.017499923706055" customHeight="1">
      <x:c r="A4" s="1"/>
      <x:c r="B4" s="8" t="str">
        <x:v>Automatische Ansicht · Eingabe ausschließlich im Blatt „Offene Vorgänge“</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40" t="str">
        <x:v>Nr.</x:v>
      </x:c>
      <x:c r="C7" s="40" t="str">
        <x:v>Fällig</x:v>
      </x:c>
      <x:c r="D7" s="40" t="str">
        <x:v>Schüler/in / Bereich</x:v>
      </x:c>
      <x:c r="E7" s="40" t="str">
        <x:v>Vorgang</x:v>
      </x:c>
      <x:c r="F7" s="40" t="str">
        <x:v>Priorität</x:v>
      </x:c>
      <x:c r="G7" s="40" t="str">
        <x:v>Status</x:v>
      </x:c>
      <x:c r="H7" s="40" t="str">
        <x:v>Notiz</x:v>
      </x:c>
      <x:c r="I7" s="1"/>
      <x:c r="J7" s="1"/>
      <x:c r="K7" s="1"/>
      <x:c r="L7" s="1"/>
      <x:c r="M7" s="1"/>
      <x:c r="N7" s="1"/>
      <x:c r="O7" s="1"/>
      <x:c r="P7" s="1"/>
      <x:c r="Q7" s="1"/>
      <x:c r="R7" s="1"/>
      <x:c r="S7" s="1"/>
      <x:c r="T7" s="1"/>
    </x:row>
    <x:row r="8" ht="18" customHeight="1">
      <x:c r="A8" s="1"/>
      <x:c r="B8" s="47" t="n">
        <x:f>IF($E8="","",1)</x:f>
        <x:v>1</x:v>
      </x:c>
      <x:c r="C8" s="49" t="n">
        <x:f>IFERROR(IF(SMALL('Offene Vorgänge'!$J$8:$J$207,1)&gt;=1E+90,"",INDEX('Offene Vorgänge'!$C$8:$C$207,MATCH(SMALL('Offene Vorgänge'!$J$8:$J$207,1),'Offene Vorgänge'!$J$8:$J$207,0))),"")</x:f>
        <x:v>46237</x:v>
      </x:c>
      <x:c r="D8" s="50" t="str">
        <x:f>IFERROR(IF(SMALL('Offene Vorgänge'!$J$8:$J$207,1)&gt;=1E+90,"",INDEX('Offene Vorgänge'!$D$8:$D$207,MATCH(SMALL('Offene Vorgänge'!$J$8:$J$207,1),'Offene Vorgänge'!$J$8:$J$207,0))),"")</x:f>
        <x:v>Anna Beispiel</x:v>
      </x:c>
      <x:c r="E8" s="44" t="str">
        <x:f>IFERROR(IF(SMALL('Offene Vorgänge'!$J$8:$J$207,1)&gt;=1E+90,"",INDEX('Offene Vorgänge'!$E$8:$E$207,MATCH(SMALL('Offene Vorgänge'!$J$8:$J$207,1),'Offene Vorgänge'!$J$8:$J$207,0))),"")</x:f>
        <x:v>Entschuldigung für den Fehltag prüfen</x:v>
      </x:c>
      <x:c r="F8" s="50" t="str">
        <x:f>IFERROR(IF(SMALL('Offene Vorgänge'!$J$8:$J$207,1)&gt;=1E+90,"",INDEX('Offene Vorgänge'!$F$8:$F$207,MATCH(SMALL('Offene Vorgänge'!$J$8:$J$207,1),'Offene Vorgänge'!$J$8:$J$207,0))),"")</x:f>
        <x:v>A</x:v>
      </x:c>
      <x:c r="G8" s="50" t="str">
        <x:f>IF($E8="","",IF($C8="","ohne Frist",IF($C8&lt;TODAY(),"überfällig","offen")))</x:f>
        <x:v>überfällig</x:v>
      </x:c>
      <x:c r="H8" s="44" t="str">
        <x:f>IFERROR(IF(SMALL('Offene Vorgänge'!$J$8:$J$207,1)&gt;=1E+90,"",INDEX('Offene Vorgänge'!$H$8:$H$207,MATCH(SMALL('Offene Vorgänge'!$J$8:$J$207,1),'Offene Vorgänge'!$J$8:$J$207,0))),"")</x:f>
        <x:v>Beispiel: überfällig · später löschen</x:v>
      </x:c>
      <x:c r="I8" s="1"/>
      <x:c r="J8" s="1"/>
      <x:c r="K8" s="1"/>
      <x:c r="L8" s="1"/>
      <x:c r="M8" s="1"/>
      <x:c r="N8" s="1"/>
      <x:c r="O8" s="1"/>
      <x:c r="P8" s="1"/>
      <x:c r="Q8" s="1"/>
      <x:c r="R8" s="1"/>
      <x:c r="S8" s="1"/>
      <x:c r="T8" s="1"/>
    </x:row>
    <x:row r="9" ht="18" customHeight="1">
      <x:c r="A9" s="1"/>
      <x:c r="B9" s="47" t="n">
        <x:f>IF($E9="","",2)</x:f>
        <x:v>2</x:v>
      </x:c>
      <x:c r="C9" s="49" t="n">
        <x:f>IFERROR(IF(SMALL('Offene Vorgänge'!$J$8:$J$207,2)&gt;=1E+90,"",INDEX('Offene Vorgänge'!$C$8:$C$207,MATCH(SMALL('Offene Vorgänge'!$J$8:$J$207,2),'Offene Vorgänge'!$J$8:$J$207,0))),"")</x:f>
        <x:v>46245</x:v>
      </x:c>
      <x:c r="D9" s="50" t="str">
        <x:f>IFERROR(IF(SMALL('Offene Vorgänge'!$J$8:$J$207,2)&gt;=1E+90,"",INDEX('Offene Vorgänge'!$D$8:$D$207,MATCH(SMALL('Offene Vorgänge'!$J$8:$J$207,2),'Offene Vorgänge'!$J$8:$J$207,0))),"")</x:f>
        <x:v>Klasse 8a</x:v>
      </x:c>
      <x:c r="E9" s="44" t="str">
        <x:f>IFERROR(IF(SMALL('Offene Vorgänge'!$J$8:$J$207,2)&gt;=1E+90,"",INDEX('Offene Vorgänge'!$E$8:$E$207,MATCH(SMALL('Offene Vorgänge'!$J$8:$J$207,2),'Offene Vorgänge'!$J$8:$J$207,0))),"")</x:f>
        <x:v>Rückläufe zum Wandertag prüfen</x:v>
      </x:c>
      <x:c r="F9" s="50" t="str">
        <x:f>IFERROR(IF(SMALL('Offene Vorgänge'!$J$8:$J$207,2)&gt;=1E+90,"",INDEX('Offene Vorgänge'!$F$8:$F$207,MATCH(SMALL('Offene Vorgänge'!$J$8:$J$207,2),'Offene Vorgänge'!$J$8:$J$207,0))),"")</x:f>
        <x:v>B</x:v>
      </x:c>
      <x:c r="G9" s="50" t="str">
        <x:f>IF($E9="","",IF($C9="","ohne Frist",IF($C9&lt;TODAY(),"überfällig","offen")))</x:f>
        <x:v>offen</x:v>
      </x:c>
      <x:c r="H9" s="44" t="str">
        <x:f>IFERROR(IF(SMALL('Offene Vorgänge'!$J$8:$J$207,2)&gt;=1E+90,"",INDEX('Offene Vorgänge'!$H$8:$H$207,MATCH(SMALL('Offene Vorgänge'!$J$8:$J$207,2),'Offene Vorgänge'!$J$8:$J$207,0))),"")</x:f>
        <x:v>Beispiel: demnächst fällig · später löschen</x:v>
      </x:c>
      <x:c r="I9" s="1"/>
      <x:c r="J9" s="1"/>
      <x:c r="K9" s="1"/>
      <x:c r="L9" s="1"/>
      <x:c r="M9" s="1"/>
      <x:c r="N9" s="1"/>
      <x:c r="O9" s="1"/>
      <x:c r="P9" s="1"/>
      <x:c r="Q9" s="1"/>
      <x:c r="R9" s="1"/>
      <x:c r="S9" s="1"/>
      <x:c r="T9" s="1"/>
    </x:row>
    <x:row r="10" ht="18" customHeight="1">
      <x:c r="A10" s="1"/>
      <x:c r="B10" s="47" t="str">
        <x:f>IF($E10="","",3)</x:f>
      </x:c>
      <x:c r="C10" s="49" t="str">
        <x:f>IFERROR(IF(SMALL('Offene Vorgänge'!$J$8:$J$207,3)&gt;=1E+90,"",INDEX('Offene Vorgänge'!$C$8:$C$207,MATCH(SMALL('Offene Vorgänge'!$J$8:$J$207,3),'Offene Vorgänge'!$J$8:$J$207,0))),"")</x:f>
      </x:c>
      <x:c r="D10" s="50" t="str">
        <x:f>IFERROR(IF(SMALL('Offene Vorgänge'!$J$8:$J$207,3)&gt;=1E+90,"",INDEX('Offene Vorgänge'!$D$8:$D$207,MATCH(SMALL('Offene Vorgänge'!$J$8:$J$207,3),'Offene Vorgänge'!$J$8:$J$207,0))),"")</x:f>
      </x:c>
      <x:c r="E10" s="44" t="str">
        <x:f>IFERROR(IF(SMALL('Offene Vorgänge'!$J$8:$J$207,3)&gt;=1E+90,"",INDEX('Offene Vorgänge'!$E$8:$E$207,MATCH(SMALL('Offene Vorgänge'!$J$8:$J$207,3),'Offene Vorgänge'!$J$8:$J$207,0))),"")</x:f>
      </x:c>
      <x:c r="F10" s="50" t="str">
        <x:f>IFERROR(IF(SMALL('Offene Vorgänge'!$J$8:$J$207,3)&gt;=1E+90,"",INDEX('Offene Vorgänge'!$F$8:$F$207,MATCH(SMALL('Offene Vorgänge'!$J$8:$J$207,3),'Offene Vorgänge'!$J$8:$J$207,0))),"")</x:f>
      </x:c>
      <x:c r="G10" s="50" t="str">
        <x:f>IF($E10="","",IF($C10="","ohne Frist",IF($C10&lt;TODAY(),"überfällig","offen")))</x:f>
      </x:c>
      <x:c r="H10" s="44" t="str">
        <x:f>IFERROR(IF(SMALL('Offene Vorgänge'!$J$8:$J$207,3)&gt;=1E+90,"",INDEX('Offene Vorgänge'!$H$8:$H$207,MATCH(SMALL('Offene Vorgänge'!$J$8:$J$207,3),'Offene Vorgänge'!$J$8:$J$207,0))),"")</x:f>
      </x:c>
      <x:c r="I10" s="1"/>
      <x:c r="J10" s="1"/>
      <x:c r="K10" s="1"/>
      <x:c r="L10" s="1"/>
      <x:c r="M10" s="1"/>
      <x:c r="N10" s="1"/>
      <x:c r="O10" s="1"/>
      <x:c r="P10" s="1"/>
      <x:c r="Q10" s="1"/>
      <x:c r="R10" s="1"/>
      <x:c r="S10" s="1"/>
      <x:c r="T10" s="1"/>
    </x:row>
    <x:row r="11" ht="18" customHeight="1">
      <x:c r="A11" s="1"/>
      <x:c r="B11" s="47" t="str">
        <x:f>IF($E11="","",4)</x:f>
      </x:c>
      <x:c r="C11" s="49" t="str">
        <x:f>IFERROR(IF(SMALL('Offene Vorgänge'!$J$8:$J$207,4)&gt;=1E+90,"",INDEX('Offene Vorgänge'!$C$8:$C$207,MATCH(SMALL('Offene Vorgänge'!$J$8:$J$207,4),'Offene Vorgänge'!$J$8:$J$207,0))),"")</x:f>
      </x:c>
      <x:c r="D11" s="50" t="str">
        <x:f>IFERROR(IF(SMALL('Offene Vorgänge'!$J$8:$J$207,4)&gt;=1E+90,"",INDEX('Offene Vorgänge'!$D$8:$D$207,MATCH(SMALL('Offene Vorgänge'!$J$8:$J$207,4),'Offene Vorgänge'!$J$8:$J$207,0))),"")</x:f>
      </x:c>
      <x:c r="E11" s="44" t="str">
        <x:f>IFERROR(IF(SMALL('Offene Vorgänge'!$J$8:$J$207,4)&gt;=1E+90,"",INDEX('Offene Vorgänge'!$E$8:$E$207,MATCH(SMALL('Offene Vorgänge'!$J$8:$J$207,4),'Offene Vorgänge'!$J$8:$J$207,0))),"")</x:f>
      </x:c>
      <x:c r="F11" s="50" t="str">
        <x:f>IFERROR(IF(SMALL('Offene Vorgänge'!$J$8:$J$207,4)&gt;=1E+90,"",INDEX('Offene Vorgänge'!$F$8:$F$207,MATCH(SMALL('Offene Vorgänge'!$J$8:$J$207,4),'Offene Vorgänge'!$J$8:$J$207,0))),"")</x:f>
      </x:c>
      <x:c r="G11" s="50" t="str">
        <x:f>IF($E11="","",IF($C11="","ohne Frist",IF($C11&lt;TODAY(),"überfällig","offen")))</x:f>
      </x:c>
      <x:c r="H11" s="44" t="str">
        <x:f>IFERROR(IF(SMALL('Offene Vorgänge'!$J$8:$J$207,4)&gt;=1E+90,"",INDEX('Offene Vorgänge'!$H$8:$H$207,MATCH(SMALL('Offene Vorgänge'!$J$8:$J$207,4),'Offene Vorgänge'!$J$8:$J$207,0))),"")</x:f>
      </x:c>
      <x:c r="I11" s="1"/>
      <x:c r="J11" s="1"/>
      <x:c r="K11" s="1"/>
      <x:c r="L11" s="1"/>
      <x:c r="M11" s="1"/>
      <x:c r="N11" s="1"/>
      <x:c r="O11" s="1"/>
      <x:c r="P11" s="1"/>
      <x:c r="Q11" s="1"/>
      <x:c r="R11" s="1"/>
      <x:c r="S11" s="1"/>
      <x:c r="T11" s="1"/>
    </x:row>
    <x:row r="12" ht="18" customHeight="1">
      <x:c r="A12" s="1"/>
      <x:c r="B12" s="47" t="str">
        <x:f>IF($E12="","",5)</x:f>
      </x:c>
      <x:c r="C12" s="49" t="str">
        <x:f>IFERROR(IF(SMALL('Offene Vorgänge'!$J$8:$J$207,5)&gt;=1E+90,"",INDEX('Offene Vorgänge'!$C$8:$C$207,MATCH(SMALL('Offene Vorgänge'!$J$8:$J$207,5),'Offene Vorgänge'!$J$8:$J$207,0))),"")</x:f>
      </x:c>
      <x:c r="D12" s="50" t="str">
        <x:f>IFERROR(IF(SMALL('Offene Vorgänge'!$J$8:$J$207,5)&gt;=1E+90,"",INDEX('Offene Vorgänge'!$D$8:$D$207,MATCH(SMALL('Offene Vorgänge'!$J$8:$J$207,5),'Offene Vorgänge'!$J$8:$J$207,0))),"")</x:f>
      </x:c>
      <x:c r="E12" s="44" t="str">
        <x:f>IFERROR(IF(SMALL('Offene Vorgänge'!$J$8:$J$207,5)&gt;=1E+90,"",INDEX('Offene Vorgänge'!$E$8:$E$207,MATCH(SMALL('Offene Vorgänge'!$J$8:$J$207,5),'Offene Vorgänge'!$J$8:$J$207,0))),"")</x:f>
      </x:c>
      <x:c r="F12" s="50" t="str">
        <x:f>IFERROR(IF(SMALL('Offene Vorgänge'!$J$8:$J$207,5)&gt;=1E+90,"",INDEX('Offene Vorgänge'!$F$8:$F$207,MATCH(SMALL('Offene Vorgänge'!$J$8:$J$207,5),'Offene Vorgänge'!$J$8:$J$207,0))),"")</x:f>
      </x:c>
      <x:c r="G12" s="50" t="str">
        <x:f>IF($E12="","",IF($C12="","ohne Frist",IF($C12&lt;TODAY(),"überfällig","offen")))</x:f>
      </x:c>
      <x:c r="H12" s="44" t="str">
        <x:f>IFERROR(IF(SMALL('Offene Vorgänge'!$J$8:$J$207,5)&gt;=1E+90,"",INDEX('Offene Vorgänge'!$H$8:$H$207,MATCH(SMALL('Offene Vorgänge'!$J$8:$J$207,5),'Offene Vorgänge'!$J$8:$J$207,0))),"")</x:f>
      </x:c>
      <x:c r="I12" s="1"/>
      <x:c r="J12" s="1"/>
      <x:c r="K12" s="1"/>
      <x:c r="L12" s="1"/>
      <x:c r="M12" s="1"/>
      <x:c r="N12" s="1"/>
      <x:c r="O12" s="1"/>
      <x:c r="P12" s="1"/>
      <x:c r="Q12" s="1"/>
      <x:c r="R12" s="1"/>
      <x:c r="S12" s="1"/>
      <x:c r="T12" s="1"/>
    </x:row>
    <x:row r="13" ht="18" customHeight="1">
      <x:c r="A13" s="1"/>
      <x:c r="B13" s="47" t="str">
        <x:f>IF($E13="","",6)</x:f>
      </x:c>
      <x:c r="C13" s="49" t="str">
        <x:f>IFERROR(IF(SMALL('Offene Vorgänge'!$J$8:$J$207,6)&gt;=1E+90,"",INDEX('Offene Vorgänge'!$C$8:$C$207,MATCH(SMALL('Offene Vorgänge'!$J$8:$J$207,6),'Offene Vorgänge'!$J$8:$J$207,0))),"")</x:f>
      </x:c>
      <x:c r="D13" s="50" t="str">
        <x:f>IFERROR(IF(SMALL('Offene Vorgänge'!$J$8:$J$207,6)&gt;=1E+90,"",INDEX('Offene Vorgänge'!$D$8:$D$207,MATCH(SMALL('Offene Vorgänge'!$J$8:$J$207,6),'Offene Vorgänge'!$J$8:$J$207,0))),"")</x:f>
      </x:c>
      <x:c r="E13" s="44" t="str">
        <x:f>IFERROR(IF(SMALL('Offene Vorgänge'!$J$8:$J$207,6)&gt;=1E+90,"",INDEX('Offene Vorgänge'!$E$8:$E$207,MATCH(SMALL('Offene Vorgänge'!$J$8:$J$207,6),'Offene Vorgänge'!$J$8:$J$207,0))),"")</x:f>
      </x:c>
      <x:c r="F13" s="50" t="str">
        <x:f>IFERROR(IF(SMALL('Offene Vorgänge'!$J$8:$J$207,6)&gt;=1E+90,"",INDEX('Offene Vorgänge'!$F$8:$F$207,MATCH(SMALL('Offene Vorgänge'!$J$8:$J$207,6),'Offene Vorgänge'!$J$8:$J$207,0))),"")</x:f>
      </x:c>
      <x:c r="G13" s="50" t="str">
        <x:f>IF($E13="","",IF($C13="","ohne Frist",IF($C13&lt;TODAY(),"überfällig","offen")))</x:f>
      </x:c>
      <x:c r="H13" s="44" t="str">
        <x:f>IFERROR(IF(SMALL('Offene Vorgänge'!$J$8:$J$207,6)&gt;=1E+90,"",INDEX('Offene Vorgänge'!$H$8:$H$207,MATCH(SMALL('Offene Vorgänge'!$J$8:$J$207,6),'Offene Vorgänge'!$J$8:$J$207,0))),"")</x:f>
      </x:c>
      <x:c r="I13" s="1"/>
      <x:c r="J13" s="1"/>
      <x:c r="K13" s="1"/>
      <x:c r="L13" s="1"/>
      <x:c r="M13" s="1"/>
      <x:c r="N13" s="1"/>
      <x:c r="O13" s="1"/>
      <x:c r="P13" s="1"/>
      <x:c r="Q13" s="1"/>
      <x:c r="R13" s="1"/>
      <x:c r="S13" s="1"/>
      <x:c r="T13" s="1"/>
    </x:row>
    <x:row r="14" ht="18" customHeight="1">
      <x:c r="A14" s="1"/>
      <x:c r="B14" s="47" t="str">
        <x:f>IF($E14="","",7)</x:f>
      </x:c>
      <x:c r="C14" s="49" t="str">
        <x:f>IFERROR(IF(SMALL('Offene Vorgänge'!$J$8:$J$207,7)&gt;=1E+90,"",INDEX('Offene Vorgänge'!$C$8:$C$207,MATCH(SMALL('Offene Vorgänge'!$J$8:$J$207,7),'Offene Vorgänge'!$J$8:$J$207,0))),"")</x:f>
      </x:c>
      <x:c r="D14" s="50" t="str">
        <x:f>IFERROR(IF(SMALL('Offene Vorgänge'!$J$8:$J$207,7)&gt;=1E+90,"",INDEX('Offene Vorgänge'!$D$8:$D$207,MATCH(SMALL('Offene Vorgänge'!$J$8:$J$207,7),'Offene Vorgänge'!$J$8:$J$207,0))),"")</x:f>
      </x:c>
      <x:c r="E14" s="44" t="str">
        <x:f>IFERROR(IF(SMALL('Offene Vorgänge'!$J$8:$J$207,7)&gt;=1E+90,"",INDEX('Offene Vorgänge'!$E$8:$E$207,MATCH(SMALL('Offene Vorgänge'!$J$8:$J$207,7),'Offene Vorgänge'!$J$8:$J$207,0))),"")</x:f>
      </x:c>
      <x:c r="F14" s="50" t="str">
        <x:f>IFERROR(IF(SMALL('Offene Vorgänge'!$J$8:$J$207,7)&gt;=1E+90,"",INDEX('Offene Vorgänge'!$F$8:$F$207,MATCH(SMALL('Offene Vorgänge'!$J$8:$J$207,7),'Offene Vorgänge'!$J$8:$J$207,0))),"")</x:f>
      </x:c>
      <x:c r="G14" s="50" t="str">
        <x:f>IF($E14="","",IF($C14="","ohne Frist",IF($C14&lt;TODAY(),"überfällig","offen")))</x:f>
      </x:c>
      <x:c r="H14" s="44" t="str">
        <x:f>IFERROR(IF(SMALL('Offene Vorgänge'!$J$8:$J$207,7)&gt;=1E+90,"",INDEX('Offene Vorgänge'!$H$8:$H$207,MATCH(SMALL('Offene Vorgänge'!$J$8:$J$207,7),'Offene Vorgänge'!$J$8:$J$207,0))),"")</x:f>
      </x:c>
      <x:c r="I14" s="1"/>
      <x:c r="J14" s="1"/>
      <x:c r="K14" s="1"/>
      <x:c r="L14" s="1"/>
      <x:c r="M14" s="1"/>
      <x:c r="N14" s="1"/>
      <x:c r="O14" s="1"/>
      <x:c r="P14" s="1"/>
      <x:c r="Q14" s="1"/>
      <x:c r="R14" s="1"/>
      <x:c r="S14" s="1"/>
      <x:c r="T14" s="1"/>
    </x:row>
    <x:row r="15" ht="18" customHeight="1">
      <x:c r="A15" s="1"/>
      <x:c r="B15" s="47" t="str">
        <x:f>IF($E15="","",8)</x:f>
      </x:c>
      <x:c r="C15" s="49" t="str">
        <x:f>IFERROR(IF(SMALL('Offene Vorgänge'!$J$8:$J$207,8)&gt;=1E+90,"",INDEX('Offene Vorgänge'!$C$8:$C$207,MATCH(SMALL('Offene Vorgänge'!$J$8:$J$207,8),'Offene Vorgänge'!$J$8:$J$207,0))),"")</x:f>
      </x:c>
      <x:c r="D15" s="50" t="str">
        <x:f>IFERROR(IF(SMALL('Offene Vorgänge'!$J$8:$J$207,8)&gt;=1E+90,"",INDEX('Offene Vorgänge'!$D$8:$D$207,MATCH(SMALL('Offene Vorgänge'!$J$8:$J$207,8),'Offene Vorgänge'!$J$8:$J$207,0))),"")</x:f>
      </x:c>
      <x:c r="E15" s="44" t="str">
        <x:f>IFERROR(IF(SMALL('Offene Vorgänge'!$J$8:$J$207,8)&gt;=1E+90,"",INDEX('Offene Vorgänge'!$E$8:$E$207,MATCH(SMALL('Offene Vorgänge'!$J$8:$J$207,8),'Offene Vorgänge'!$J$8:$J$207,0))),"")</x:f>
      </x:c>
      <x:c r="F15" s="50" t="str">
        <x:f>IFERROR(IF(SMALL('Offene Vorgänge'!$J$8:$J$207,8)&gt;=1E+90,"",INDEX('Offene Vorgänge'!$F$8:$F$207,MATCH(SMALL('Offene Vorgänge'!$J$8:$J$207,8),'Offene Vorgänge'!$J$8:$J$207,0))),"")</x:f>
      </x:c>
      <x:c r="G15" s="50" t="str">
        <x:f>IF($E15="","",IF($C15="","ohne Frist",IF($C15&lt;TODAY(),"überfällig","offen")))</x:f>
      </x:c>
      <x:c r="H15" s="44" t="str">
        <x:f>IFERROR(IF(SMALL('Offene Vorgänge'!$J$8:$J$207,8)&gt;=1E+90,"",INDEX('Offene Vorgänge'!$H$8:$H$207,MATCH(SMALL('Offene Vorgänge'!$J$8:$J$207,8),'Offene Vorgänge'!$J$8:$J$207,0))),"")</x:f>
      </x:c>
      <x:c r="I15" s="1"/>
      <x:c r="J15" s="1"/>
      <x:c r="K15" s="1"/>
      <x:c r="L15" s="1"/>
      <x:c r="M15" s="1"/>
      <x:c r="N15" s="1"/>
      <x:c r="O15" s="1"/>
      <x:c r="P15" s="1"/>
      <x:c r="Q15" s="1"/>
      <x:c r="R15" s="1"/>
      <x:c r="S15" s="1"/>
      <x:c r="T15" s="1"/>
    </x:row>
    <x:row r="16" ht="18" customHeight="1">
      <x:c r="A16" s="1"/>
      <x:c r="B16" s="47" t="str">
        <x:f>IF($E16="","",9)</x:f>
      </x:c>
      <x:c r="C16" s="49" t="str">
        <x:f>IFERROR(IF(SMALL('Offene Vorgänge'!$J$8:$J$207,9)&gt;=1E+90,"",INDEX('Offene Vorgänge'!$C$8:$C$207,MATCH(SMALL('Offene Vorgänge'!$J$8:$J$207,9),'Offene Vorgänge'!$J$8:$J$207,0))),"")</x:f>
      </x:c>
      <x:c r="D16" s="50" t="str">
        <x:f>IFERROR(IF(SMALL('Offene Vorgänge'!$J$8:$J$207,9)&gt;=1E+90,"",INDEX('Offene Vorgänge'!$D$8:$D$207,MATCH(SMALL('Offene Vorgänge'!$J$8:$J$207,9),'Offene Vorgänge'!$J$8:$J$207,0))),"")</x:f>
      </x:c>
      <x:c r="E16" s="44" t="str">
        <x:f>IFERROR(IF(SMALL('Offene Vorgänge'!$J$8:$J$207,9)&gt;=1E+90,"",INDEX('Offene Vorgänge'!$E$8:$E$207,MATCH(SMALL('Offene Vorgänge'!$J$8:$J$207,9),'Offene Vorgänge'!$J$8:$J$207,0))),"")</x:f>
      </x:c>
      <x:c r="F16" s="50" t="str">
        <x:f>IFERROR(IF(SMALL('Offene Vorgänge'!$J$8:$J$207,9)&gt;=1E+90,"",INDEX('Offene Vorgänge'!$F$8:$F$207,MATCH(SMALL('Offene Vorgänge'!$J$8:$J$207,9),'Offene Vorgänge'!$J$8:$J$207,0))),"")</x:f>
      </x:c>
      <x:c r="G16" s="50" t="str">
        <x:f>IF($E16="","",IF($C16="","ohne Frist",IF($C16&lt;TODAY(),"überfällig","offen")))</x:f>
      </x:c>
      <x:c r="H16" s="44" t="str">
        <x:f>IFERROR(IF(SMALL('Offene Vorgänge'!$J$8:$J$207,9)&gt;=1E+90,"",INDEX('Offene Vorgänge'!$H$8:$H$207,MATCH(SMALL('Offene Vorgänge'!$J$8:$J$207,9),'Offene Vorgänge'!$J$8:$J$207,0))),"")</x:f>
      </x:c>
      <x:c r="I16" s="1"/>
      <x:c r="J16" s="1"/>
      <x:c r="K16" s="1"/>
      <x:c r="L16" s="1"/>
      <x:c r="M16" s="1"/>
      <x:c r="N16" s="1"/>
      <x:c r="O16" s="1"/>
      <x:c r="P16" s="1"/>
      <x:c r="Q16" s="1"/>
      <x:c r="R16" s="1"/>
      <x:c r="S16" s="1"/>
      <x:c r="T16" s="1"/>
    </x:row>
    <x:row r="17" ht="18" customHeight="1">
      <x:c r="A17" s="1"/>
      <x:c r="B17" s="47" t="str">
        <x:f>IF($E17="","",10)</x:f>
      </x:c>
      <x:c r="C17" s="49" t="str">
        <x:f>IFERROR(IF(SMALL('Offene Vorgänge'!$J$8:$J$207,10)&gt;=1E+90,"",INDEX('Offene Vorgänge'!$C$8:$C$207,MATCH(SMALL('Offene Vorgänge'!$J$8:$J$207,10),'Offene Vorgänge'!$J$8:$J$207,0))),"")</x:f>
      </x:c>
      <x:c r="D17" s="50" t="str">
        <x:f>IFERROR(IF(SMALL('Offene Vorgänge'!$J$8:$J$207,10)&gt;=1E+90,"",INDEX('Offene Vorgänge'!$D$8:$D$207,MATCH(SMALL('Offene Vorgänge'!$J$8:$J$207,10),'Offene Vorgänge'!$J$8:$J$207,0))),"")</x:f>
      </x:c>
      <x:c r="E17" s="44" t="str">
        <x:f>IFERROR(IF(SMALL('Offene Vorgänge'!$J$8:$J$207,10)&gt;=1E+90,"",INDEX('Offene Vorgänge'!$E$8:$E$207,MATCH(SMALL('Offene Vorgänge'!$J$8:$J$207,10),'Offene Vorgänge'!$J$8:$J$207,0))),"")</x:f>
      </x:c>
      <x:c r="F17" s="50" t="str">
        <x:f>IFERROR(IF(SMALL('Offene Vorgänge'!$J$8:$J$207,10)&gt;=1E+90,"",INDEX('Offene Vorgänge'!$F$8:$F$207,MATCH(SMALL('Offene Vorgänge'!$J$8:$J$207,10),'Offene Vorgänge'!$J$8:$J$207,0))),"")</x:f>
      </x:c>
      <x:c r="G17" s="50" t="str">
        <x:f>IF($E17="","",IF($C17="","ohne Frist",IF($C17&lt;TODAY(),"überfällig","offen")))</x:f>
      </x:c>
      <x:c r="H17" s="44" t="str">
        <x:f>IFERROR(IF(SMALL('Offene Vorgänge'!$J$8:$J$207,10)&gt;=1E+90,"",INDEX('Offene Vorgänge'!$H$8:$H$207,MATCH(SMALL('Offene Vorgänge'!$J$8:$J$207,10),'Offene Vorgänge'!$J$8:$J$207,0))),"")</x:f>
      </x:c>
      <x:c r="I17" s="1"/>
      <x:c r="J17" s="1"/>
      <x:c r="K17" s="1"/>
      <x:c r="L17" s="1"/>
      <x:c r="M17" s="1"/>
      <x:c r="N17" s="1"/>
      <x:c r="O17" s="1"/>
      <x:c r="P17" s="1"/>
      <x:c r="Q17" s="1"/>
      <x:c r="R17" s="1"/>
      <x:c r="S17" s="1"/>
      <x:c r="T17" s="1"/>
    </x:row>
    <x:row r="18" ht="18" customHeight="1">
      <x:c r="A18" s="1"/>
      <x:c r="B18" s="47" t="str">
        <x:f>IF($E18="","",11)</x:f>
      </x:c>
      <x:c r="C18" s="49" t="str">
        <x:f>IFERROR(IF(SMALL('Offene Vorgänge'!$J$8:$J$207,11)&gt;=1E+90,"",INDEX('Offene Vorgänge'!$C$8:$C$207,MATCH(SMALL('Offene Vorgänge'!$J$8:$J$207,11),'Offene Vorgänge'!$J$8:$J$207,0))),"")</x:f>
      </x:c>
      <x:c r="D18" s="50" t="str">
        <x:f>IFERROR(IF(SMALL('Offene Vorgänge'!$J$8:$J$207,11)&gt;=1E+90,"",INDEX('Offene Vorgänge'!$D$8:$D$207,MATCH(SMALL('Offene Vorgänge'!$J$8:$J$207,11),'Offene Vorgänge'!$J$8:$J$207,0))),"")</x:f>
      </x:c>
      <x:c r="E18" s="44" t="str">
        <x:f>IFERROR(IF(SMALL('Offene Vorgänge'!$J$8:$J$207,11)&gt;=1E+90,"",INDEX('Offene Vorgänge'!$E$8:$E$207,MATCH(SMALL('Offene Vorgänge'!$J$8:$J$207,11),'Offene Vorgänge'!$J$8:$J$207,0))),"")</x:f>
      </x:c>
      <x:c r="F18" s="50" t="str">
        <x:f>IFERROR(IF(SMALL('Offene Vorgänge'!$J$8:$J$207,11)&gt;=1E+90,"",INDEX('Offene Vorgänge'!$F$8:$F$207,MATCH(SMALL('Offene Vorgänge'!$J$8:$J$207,11),'Offene Vorgänge'!$J$8:$J$207,0))),"")</x:f>
      </x:c>
      <x:c r="G18" s="50" t="str">
        <x:f>IF($E18="","",IF($C18="","ohne Frist",IF($C18&lt;TODAY(),"überfällig","offen")))</x:f>
      </x:c>
      <x:c r="H18" s="44" t="str">
        <x:f>IFERROR(IF(SMALL('Offene Vorgänge'!$J$8:$J$207,11)&gt;=1E+90,"",INDEX('Offene Vorgänge'!$H$8:$H$207,MATCH(SMALL('Offene Vorgänge'!$J$8:$J$207,11),'Offene Vorgänge'!$J$8:$J$207,0))),"")</x:f>
      </x:c>
      <x:c r="I18" s="1"/>
      <x:c r="J18" s="1"/>
      <x:c r="K18" s="1"/>
      <x:c r="L18" s="1"/>
      <x:c r="M18" s="1"/>
      <x:c r="N18" s="1"/>
      <x:c r="O18" s="1"/>
      <x:c r="P18" s="1"/>
      <x:c r="Q18" s="1"/>
      <x:c r="R18" s="1"/>
      <x:c r="S18" s="1"/>
      <x:c r="T18" s="1"/>
    </x:row>
    <x:row r="19" ht="18" customHeight="1">
      <x:c r="A19" s="1"/>
      <x:c r="B19" s="47" t="str">
        <x:f>IF($E19="","",12)</x:f>
      </x:c>
      <x:c r="C19" s="49" t="str">
        <x:f>IFERROR(IF(SMALL('Offene Vorgänge'!$J$8:$J$207,12)&gt;=1E+90,"",INDEX('Offene Vorgänge'!$C$8:$C$207,MATCH(SMALL('Offene Vorgänge'!$J$8:$J$207,12),'Offene Vorgänge'!$J$8:$J$207,0))),"")</x:f>
      </x:c>
      <x:c r="D19" s="50" t="str">
        <x:f>IFERROR(IF(SMALL('Offene Vorgänge'!$J$8:$J$207,12)&gt;=1E+90,"",INDEX('Offene Vorgänge'!$D$8:$D$207,MATCH(SMALL('Offene Vorgänge'!$J$8:$J$207,12),'Offene Vorgänge'!$J$8:$J$207,0))),"")</x:f>
      </x:c>
      <x:c r="E19" s="44" t="str">
        <x:f>IFERROR(IF(SMALL('Offene Vorgänge'!$J$8:$J$207,12)&gt;=1E+90,"",INDEX('Offene Vorgänge'!$E$8:$E$207,MATCH(SMALL('Offene Vorgänge'!$J$8:$J$207,12),'Offene Vorgänge'!$J$8:$J$207,0))),"")</x:f>
      </x:c>
      <x:c r="F19" s="50" t="str">
        <x:f>IFERROR(IF(SMALL('Offene Vorgänge'!$J$8:$J$207,12)&gt;=1E+90,"",INDEX('Offene Vorgänge'!$F$8:$F$207,MATCH(SMALL('Offene Vorgänge'!$J$8:$J$207,12),'Offene Vorgänge'!$J$8:$J$207,0))),"")</x:f>
      </x:c>
      <x:c r="G19" s="50" t="str">
        <x:f>IF($E19="","",IF($C19="","ohne Frist",IF($C19&lt;TODAY(),"überfällig","offen")))</x:f>
      </x:c>
      <x:c r="H19" s="44" t="str">
        <x:f>IFERROR(IF(SMALL('Offene Vorgänge'!$J$8:$J$207,12)&gt;=1E+90,"",INDEX('Offene Vorgänge'!$H$8:$H$207,MATCH(SMALL('Offene Vorgänge'!$J$8:$J$207,12),'Offene Vorgänge'!$J$8:$J$207,0))),"")</x:f>
      </x:c>
      <x:c r="I19" s="1"/>
      <x:c r="J19" s="1"/>
      <x:c r="K19" s="1"/>
      <x:c r="L19" s="1"/>
      <x:c r="M19" s="1"/>
      <x:c r="N19" s="1"/>
      <x:c r="O19" s="1"/>
      <x:c r="P19" s="1"/>
      <x:c r="Q19" s="1"/>
      <x:c r="R19" s="1"/>
      <x:c r="S19" s="1"/>
      <x:c r="T19" s="1"/>
    </x:row>
    <x:row r="20" ht="18" customHeight="1">
      <x:c r="A20" s="1"/>
      <x:c r="B20" s="47" t="str">
        <x:f>IF($E20="","",13)</x:f>
      </x:c>
      <x:c r="C20" s="49" t="str">
        <x:f>IFERROR(IF(SMALL('Offene Vorgänge'!$J$8:$J$207,13)&gt;=1E+90,"",INDEX('Offene Vorgänge'!$C$8:$C$207,MATCH(SMALL('Offene Vorgänge'!$J$8:$J$207,13),'Offene Vorgänge'!$J$8:$J$207,0))),"")</x:f>
      </x:c>
      <x:c r="D20" s="50" t="str">
        <x:f>IFERROR(IF(SMALL('Offene Vorgänge'!$J$8:$J$207,13)&gt;=1E+90,"",INDEX('Offene Vorgänge'!$D$8:$D$207,MATCH(SMALL('Offene Vorgänge'!$J$8:$J$207,13),'Offene Vorgänge'!$J$8:$J$207,0))),"")</x:f>
      </x:c>
      <x:c r="E20" s="44" t="str">
        <x:f>IFERROR(IF(SMALL('Offene Vorgänge'!$J$8:$J$207,13)&gt;=1E+90,"",INDEX('Offene Vorgänge'!$E$8:$E$207,MATCH(SMALL('Offene Vorgänge'!$J$8:$J$207,13),'Offene Vorgänge'!$J$8:$J$207,0))),"")</x:f>
      </x:c>
      <x:c r="F20" s="50" t="str">
        <x:f>IFERROR(IF(SMALL('Offene Vorgänge'!$J$8:$J$207,13)&gt;=1E+90,"",INDEX('Offene Vorgänge'!$F$8:$F$207,MATCH(SMALL('Offene Vorgänge'!$J$8:$J$207,13),'Offene Vorgänge'!$J$8:$J$207,0))),"")</x:f>
      </x:c>
      <x:c r="G20" s="50" t="str">
        <x:f>IF($E20="","",IF($C20="","ohne Frist",IF($C20&lt;TODAY(),"überfällig","offen")))</x:f>
      </x:c>
      <x:c r="H20" s="44" t="str">
        <x:f>IFERROR(IF(SMALL('Offene Vorgänge'!$J$8:$J$207,13)&gt;=1E+90,"",INDEX('Offene Vorgänge'!$H$8:$H$207,MATCH(SMALL('Offene Vorgänge'!$J$8:$J$207,13),'Offene Vorgänge'!$J$8:$J$207,0))),"")</x:f>
      </x:c>
      <x:c r="I20" s="1"/>
      <x:c r="J20" s="1"/>
      <x:c r="K20" s="1"/>
      <x:c r="L20" s="1"/>
      <x:c r="M20" s="1"/>
      <x:c r="N20" s="1"/>
      <x:c r="O20" s="1"/>
      <x:c r="P20" s="1"/>
      <x:c r="Q20" s="1"/>
      <x:c r="R20" s="1"/>
      <x:c r="S20" s="1"/>
      <x:c r="T20" s="1"/>
    </x:row>
    <x:row r="21" ht="18" customHeight="1">
      <x:c r="A21" s="1"/>
      <x:c r="B21" s="47" t="str">
        <x:f>IF($E21="","",14)</x:f>
      </x:c>
      <x:c r="C21" s="49" t="str">
        <x:f>IFERROR(IF(SMALL('Offene Vorgänge'!$J$8:$J$207,14)&gt;=1E+90,"",INDEX('Offene Vorgänge'!$C$8:$C$207,MATCH(SMALL('Offene Vorgänge'!$J$8:$J$207,14),'Offene Vorgänge'!$J$8:$J$207,0))),"")</x:f>
      </x:c>
      <x:c r="D21" s="50" t="str">
        <x:f>IFERROR(IF(SMALL('Offene Vorgänge'!$J$8:$J$207,14)&gt;=1E+90,"",INDEX('Offene Vorgänge'!$D$8:$D$207,MATCH(SMALL('Offene Vorgänge'!$J$8:$J$207,14),'Offene Vorgänge'!$J$8:$J$207,0))),"")</x:f>
      </x:c>
      <x:c r="E21" s="44" t="str">
        <x:f>IFERROR(IF(SMALL('Offene Vorgänge'!$J$8:$J$207,14)&gt;=1E+90,"",INDEX('Offene Vorgänge'!$E$8:$E$207,MATCH(SMALL('Offene Vorgänge'!$J$8:$J$207,14),'Offene Vorgänge'!$J$8:$J$207,0))),"")</x:f>
      </x:c>
      <x:c r="F21" s="50" t="str">
        <x:f>IFERROR(IF(SMALL('Offene Vorgänge'!$J$8:$J$207,14)&gt;=1E+90,"",INDEX('Offene Vorgänge'!$F$8:$F$207,MATCH(SMALL('Offene Vorgänge'!$J$8:$J$207,14),'Offene Vorgänge'!$J$8:$J$207,0))),"")</x:f>
      </x:c>
      <x:c r="G21" s="50" t="str">
        <x:f>IF($E21="","",IF($C21="","ohne Frist",IF($C21&lt;TODAY(),"überfällig","offen")))</x:f>
      </x:c>
      <x:c r="H21" s="44" t="str">
        <x:f>IFERROR(IF(SMALL('Offene Vorgänge'!$J$8:$J$207,14)&gt;=1E+90,"",INDEX('Offene Vorgänge'!$H$8:$H$207,MATCH(SMALL('Offene Vorgänge'!$J$8:$J$207,14),'Offene Vorgänge'!$J$8:$J$207,0))),"")</x:f>
      </x:c>
      <x:c r="I21" s="1"/>
      <x:c r="J21" s="1"/>
      <x:c r="K21" s="1"/>
      <x:c r="L21" s="1"/>
      <x:c r="M21" s="1"/>
      <x:c r="N21" s="1"/>
      <x:c r="O21" s="1"/>
      <x:c r="P21" s="1"/>
      <x:c r="Q21" s="1"/>
      <x:c r="R21" s="1"/>
      <x:c r="S21" s="1"/>
      <x:c r="T21" s="1"/>
    </x:row>
    <x:row r="22" ht="18" customHeight="1">
      <x:c r="A22" s="1"/>
      <x:c r="B22" s="47" t="str">
        <x:f>IF($E22="","",15)</x:f>
      </x:c>
      <x:c r="C22" s="49" t="str">
        <x:f>IFERROR(IF(SMALL('Offene Vorgänge'!$J$8:$J$207,15)&gt;=1E+90,"",INDEX('Offene Vorgänge'!$C$8:$C$207,MATCH(SMALL('Offene Vorgänge'!$J$8:$J$207,15),'Offene Vorgänge'!$J$8:$J$207,0))),"")</x:f>
      </x:c>
      <x:c r="D22" s="50" t="str">
        <x:f>IFERROR(IF(SMALL('Offene Vorgänge'!$J$8:$J$207,15)&gt;=1E+90,"",INDEX('Offene Vorgänge'!$D$8:$D$207,MATCH(SMALL('Offene Vorgänge'!$J$8:$J$207,15),'Offene Vorgänge'!$J$8:$J$207,0))),"")</x:f>
      </x:c>
      <x:c r="E22" s="44" t="str">
        <x:f>IFERROR(IF(SMALL('Offene Vorgänge'!$J$8:$J$207,15)&gt;=1E+90,"",INDEX('Offene Vorgänge'!$E$8:$E$207,MATCH(SMALL('Offene Vorgänge'!$J$8:$J$207,15),'Offene Vorgänge'!$J$8:$J$207,0))),"")</x:f>
      </x:c>
      <x:c r="F22" s="50" t="str">
        <x:f>IFERROR(IF(SMALL('Offene Vorgänge'!$J$8:$J$207,15)&gt;=1E+90,"",INDEX('Offene Vorgänge'!$F$8:$F$207,MATCH(SMALL('Offene Vorgänge'!$J$8:$J$207,15),'Offene Vorgänge'!$J$8:$J$207,0))),"")</x:f>
      </x:c>
      <x:c r="G22" s="50" t="str">
        <x:f>IF($E22="","",IF($C22="","ohne Frist",IF($C22&lt;TODAY(),"überfällig","offen")))</x:f>
      </x:c>
      <x:c r="H22" s="44" t="str">
        <x:f>IFERROR(IF(SMALL('Offene Vorgänge'!$J$8:$J$207,15)&gt;=1E+90,"",INDEX('Offene Vorgänge'!$H$8:$H$207,MATCH(SMALL('Offene Vorgänge'!$J$8:$J$207,15),'Offene Vorgänge'!$J$8:$J$207,0))),"")</x:f>
      </x:c>
      <x:c r="I22" s="1"/>
      <x:c r="J22" s="1"/>
      <x:c r="K22" s="1"/>
      <x:c r="L22" s="1"/>
      <x:c r="M22" s="1"/>
      <x:c r="N22" s="1"/>
      <x:c r="O22" s="1"/>
      <x:c r="P22" s="1"/>
      <x:c r="Q22" s="1"/>
      <x:c r="R22" s="1"/>
      <x:c r="S22" s="1"/>
      <x:c r="T22" s="1"/>
    </x:row>
    <x:row r="23" ht="18" customHeight="1">
      <x:c r="A23" s="1"/>
      <x:c r="B23" s="47" t="str">
        <x:f>IF($E23="","",16)</x:f>
      </x:c>
      <x:c r="C23" s="49" t="str">
        <x:f>IFERROR(IF(SMALL('Offene Vorgänge'!$J$8:$J$207,16)&gt;=1E+90,"",INDEX('Offene Vorgänge'!$C$8:$C$207,MATCH(SMALL('Offene Vorgänge'!$J$8:$J$207,16),'Offene Vorgänge'!$J$8:$J$207,0))),"")</x:f>
      </x:c>
      <x:c r="D23" s="50" t="str">
        <x:f>IFERROR(IF(SMALL('Offene Vorgänge'!$J$8:$J$207,16)&gt;=1E+90,"",INDEX('Offene Vorgänge'!$D$8:$D$207,MATCH(SMALL('Offene Vorgänge'!$J$8:$J$207,16),'Offene Vorgänge'!$J$8:$J$207,0))),"")</x:f>
      </x:c>
      <x:c r="E23" s="44" t="str">
        <x:f>IFERROR(IF(SMALL('Offene Vorgänge'!$J$8:$J$207,16)&gt;=1E+90,"",INDEX('Offene Vorgänge'!$E$8:$E$207,MATCH(SMALL('Offene Vorgänge'!$J$8:$J$207,16),'Offene Vorgänge'!$J$8:$J$207,0))),"")</x:f>
      </x:c>
      <x:c r="F23" s="50" t="str">
        <x:f>IFERROR(IF(SMALL('Offene Vorgänge'!$J$8:$J$207,16)&gt;=1E+90,"",INDEX('Offene Vorgänge'!$F$8:$F$207,MATCH(SMALL('Offene Vorgänge'!$J$8:$J$207,16),'Offene Vorgänge'!$J$8:$J$207,0))),"")</x:f>
      </x:c>
      <x:c r="G23" s="50" t="str">
        <x:f>IF($E23="","",IF($C23="","ohne Frist",IF($C23&lt;TODAY(),"überfällig","offen")))</x:f>
      </x:c>
      <x:c r="H23" s="44" t="str">
        <x:f>IFERROR(IF(SMALL('Offene Vorgänge'!$J$8:$J$207,16)&gt;=1E+90,"",INDEX('Offene Vorgänge'!$H$8:$H$207,MATCH(SMALL('Offene Vorgänge'!$J$8:$J$207,16),'Offene Vorgänge'!$J$8:$J$207,0))),"")</x:f>
      </x:c>
      <x:c r="I23" s="1"/>
      <x:c r="J23" s="1"/>
      <x:c r="K23" s="1"/>
      <x:c r="L23" s="1"/>
      <x:c r="M23" s="1"/>
      <x:c r="N23" s="1"/>
      <x:c r="O23" s="1"/>
      <x:c r="P23" s="1"/>
      <x:c r="Q23" s="1"/>
      <x:c r="R23" s="1"/>
      <x:c r="S23" s="1"/>
      <x:c r="T23" s="1"/>
    </x:row>
    <x:row r="24" ht="18" customHeight="1">
      <x:c r="A24" s="1"/>
      <x:c r="B24" s="47" t="str">
        <x:f>IF($E24="","",17)</x:f>
      </x:c>
      <x:c r="C24" s="49" t="str">
        <x:f>IFERROR(IF(SMALL('Offene Vorgänge'!$J$8:$J$207,17)&gt;=1E+90,"",INDEX('Offene Vorgänge'!$C$8:$C$207,MATCH(SMALL('Offene Vorgänge'!$J$8:$J$207,17),'Offene Vorgänge'!$J$8:$J$207,0))),"")</x:f>
      </x:c>
      <x:c r="D24" s="50" t="str">
        <x:f>IFERROR(IF(SMALL('Offene Vorgänge'!$J$8:$J$207,17)&gt;=1E+90,"",INDEX('Offene Vorgänge'!$D$8:$D$207,MATCH(SMALL('Offene Vorgänge'!$J$8:$J$207,17),'Offene Vorgänge'!$J$8:$J$207,0))),"")</x:f>
      </x:c>
      <x:c r="E24" s="44" t="str">
        <x:f>IFERROR(IF(SMALL('Offene Vorgänge'!$J$8:$J$207,17)&gt;=1E+90,"",INDEX('Offene Vorgänge'!$E$8:$E$207,MATCH(SMALL('Offene Vorgänge'!$J$8:$J$207,17),'Offene Vorgänge'!$J$8:$J$207,0))),"")</x:f>
      </x:c>
      <x:c r="F24" s="50" t="str">
        <x:f>IFERROR(IF(SMALL('Offene Vorgänge'!$J$8:$J$207,17)&gt;=1E+90,"",INDEX('Offene Vorgänge'!$F$8:$F$207,MATCH(SMALL('Offene Vorgänge'!$J$8:$J$207,17),'Offene Vorgänge'!$J$8:$J$207,0))),"")</x:f>
      </x:c>
      <x:c r="G24" s="50" t="str">
        <x:f>IF($E24="","",IF($C24="","ohne Frist",IF($C24&lt;TODAY(),"überfällig","offen")))</x:f>
      </x:c>
      <x:c r="H24" s="44" t="str">
        <x:f>IFERROR(IF(SMALL('Offene Vorgänge'!$J$8:$J$207,17)&gt;=1E+90,"",INDEX('Offene Vorgänge'!$H$8:$H$207,MATCH(SMALL('Offene Vorgänge'!$J$8:$J$207,17),'Offene Vorgänge'!$J$8:$J$207,0))),"")</x:f>
      </x:c>
      <x:c r="I24" s="1"/>
      <x:c r="J24" s="1"/>
      <x:c r="K24" s="1"/>
      <x:c r="L24" s="1"/>
      <x:c r="M24" s="1"/>
      <x:c r="N24" s="1"/>
      <x:c r="O24" s="1"/>
      <x:c r="P24" s="1"/>
      <x:c r="Q24" s="1"/>
      <x:c r="R24" s="1"/>
      <x:c r="S24" s="1"/>
      <x:c r="T24" s="1"/>
    </x:row>
    <x:row r="25" ht="18" customHeight="1">
      <x:c r="A25" s="1"/>
      <x:c r="B25" s="47" t="str">
        <x:f>IF($E25="","",18)</x:f>
      </x:c>
      <x:c r="C25" s="49" t="str">
        <x:f>IFERROR(IF(SMALL('Offene Vorgänge'!$J$8:$J$207,18)&gt;=1E+90,"",INDEX('Offene Vorgänge'!$C$8:$C$207,MATCH(SMALL('Offene Vorgänge'!$J$8:$J$207,18),'Offene Vorgänge'!$J$8:$J$207,0))),"")</x:f>
      </x:c>
      <x:c r="D25" s="50" t="str">
        <x:f>IFERROR(IF(SMALL('Offene Vorgänge'!$J$8:$J$207,18)&gt;=1E+90,"",INDEX('Offene Vorgänge'!$D$8:$D$207,MATCH(SMALL('Offene Vorgänge'!$J$8:$J$207,18),'Offene Vorgänge'!$J$8:$J$207,0))),"")</x:f>
      </x:c>
      <x:c r="E25" s="44" t="str">
        <x:f>IFERROR(IF(SMALL('Offene Vorgänge'!$J$8:$J$207,18)&gt;=1E+90,"",INDEX('Offene Vorgänge'!$E$8:$E$207,MATCH(SMALL('Offene Vorgänge'!$J$8:$J$207,18),'Offene Vorgänge'!$J$8:$J$207,0))),"")</x:f>
      </x:c>
      <x:c r="F25" s="50" t="str">
        <x:f>IFERROR(IF(SMALL('Offene Vorgänge'!$J$8:$J$207,18)&gt;=1E+90,"",INDEX('Offene Vorgänge'!$F$8:$F$207,MATCH(SMALL('Offene Vorgänge'!$J$8:$J$207,18),'Offene Vorgänge'!$J$8:$J$207,0))),"")</x:f>
      </x:c>
      <x:c r="G25" s="50" t="str">
        <x:f>IF($E25="","",IF($C25="","ohne Frist",IF($C25&lt;TODAY(),"überfällig","offen")))</x:f>
      </x:c>
      <x:c r="H25" s="44" t="str">
        <x:f>IFERROR(IF(SMALL('Offene Vorgänge'!$J$8:$J$207,18)&gt;=1E+90,"",INDEX('Offene Vorgänge'!$H$8:$H$207,MATCH(SMALL('Offene Vorgänge'!$J$8:$J$207,18),'Offene Vorgänge'!$J$8:$J$207,0))),"")</x:f>
      </x:c>
      <x:c r="I25" s="1"/>
      <x:c r="J25" s="1"/>
      <x:c r="K25" s="1"/>
      <x:c r="L25" s="1"/>
      <x:c r="M25" s="1"/>
      <x:c r="N25" s="1"/>
      <x:c r="O25" s="1"/>
      <x:c r="P25" s="1"/>
      <x:c r="Q25" s="1"/>
      <x:c r="R25" s="1"/>
      <x:c r="S25" s="1"/>
      <x:c r="T25" s="1"/>
    </x:row>
    <x:row r="26" ht="18" customHeight="1">
      <x:c r="A26" s="1"/>
      <x:c r="B26" s="47" t="str">
        <x:f>IF($E26="","",19)</x:f>
      </x:c>
      <x:c r="C26" s="49" t="str">
        <x:f>IFERROR(IF(SMALL('Offene Vorgänge'!$J$8:$J$207,19)&gt;=1E+90,"",INDEX('Offene Vorgänge'!$C$8:$C$207,MATCH(SMALL('Offene Vorgänge'!$J$8:$J$207,19),'Offene Vorgänge'!$J$8:$J$207,0))),"")</x:f>
      </x:c>
      <x:c r="D26" s="50" t="str">
        <x:f>IFERROR(IF(SMALL('Offene Vorgänge'!$J$8:$J$207,19)&gt;=1E+90,"",INDEX('Offene Vorgänge'!$D$8:$D$207,MATCH(SMALL('Offene Vorgänge'!$J$8:$J$207,19),'Offene Vorgänge'!$J$8:$J$207,0))),"")</x:f>
      </x:c>
      <x:c r="E26" s="44" t="str">
        <x:f>IFERROR(IF(SMALL('Offene Vorgänge'!$J$8:$J$207,19)&gt;=1E+90,"",INDEX('Offene Vorgänge'!$E$8:$E$207,MATCH(SMALL('Offene Vorgänge'!$J$8:$J$207,19),'Offene Vorgänge'!$J$8:$J$207,0))),"")</x:f>
      </x:c>
      <x:c r="F26" s="50" t="str">
        <x:f>IFERROR(IF(SMALL('Offene Vorgänge'!$J$8:$J$207,19)&gt;=1E+90,"",INDEX('Offene Vorgänge'!$F$8:$F$207,MATCH(SMALL('Offene Vorgänge'!$J$8:$J$207,19),'Offene Vorgänge'!$J$8:$J$207,0))),"")</x:f>
      </x:c>
      <x:c r="G26" s="50" t="str">
        <x:f>IF($E26="","",IF($C26="","ohne Frist",IF($C26&lt;TODAY(),"überfällig","offen")))</x:f>
      </x:c>
      <x:c r="H26" s="44" t="str">
        <x:f>IFERROR(IF(SMALL('Offene Vorgänge'!$J$8:$J$207,19)&gt;=1E+90,"",INDEX('Offene Vorgänge'!$H$8:$H$207,MATCH(SMALL('Offene Vorgänge'!$J$8:$J$207,19),'Offene Vorgänge'!$J$8:$J$207,0))),"")</x:f>
      </x:c>
      <x:c r="I26" s="1"/>
      <x:c r="J26" s="1"/>
      <x:c r="K26" s="1"/>
      <x:c r="L26" s="1"/>
      <x:c r="M26" s="1"/>
      <x:c r="N26" s="1"/>
      <x:c r="O26" s="1"/>
      <x:c r="P26" s="1"/>
      <x:c r="Q26" s="1"/>
      <x:c r="R26" s="1"/>
      <x:c r="S26" s="1"/>
      <x:c r="T26" s="1"/>
    </x:row>
    <x:row r="27" ht="18" customHeight="1">
      <x:c r="A27" s="1"/>
      <x:c r="B27" s="47" t="str">
        <x:f>IF($E27="","",20)</x:f>
      </x:c>
      <x:c r="C27" s="49" t="str">
        <x:f>IFERROR(IF(SMALL('Offene Vorgänge'!$J$8:$J$207,20)&gt;=1E+90,"",INDEX('Offene Vorgänge'!$C$8:$C$207,MATCH(SMALL('Offene Vorgänge'!$J$8:$J$207,20),'Offene Vorgänge'!$J$8:$J$207,0))),"")</x:f>
      </x:c>
      <x:c r="D27" s="50" t="str">
        <x:f>IFERROR(IF(SMALL('Offene Vorgänge'!$J$8:$J$207,20)&gt;=1E+90,"",INDEX('Offene Vorgänge'!$D$8:$D$207,MATCH(SMALL('Offene Vorgänge'!$J$8:$J$207,20),'Offene Vorgänge'!$J$8:$J$207,0))),"")</x:f>
      </x:c>
      <x:c r="E27" s="44" t="str">
        <x:f>IFERROR(IF(SMALL('Offene Vorgänge'!$J$8:$J$207,20)&gt;=1E+90,"",INDEX('Offene Vorgänge'!$E$8:$E$207,MATCH(SMALL('Offene Vorgänge'!$J$8:$J$207,20),'Offene Vorgänge'!$J$8:$J$207,0))),"")</x:f>
      </x:c>
      <x:c r="F27" s="50" t="str">
        <x:f>IFERROR(IF(SMALL('Offene Vorgänge'!$J$8:$J$207,20)&gt;=1E+90,"",INDEX('Offene Vorgänge'!$F$8:$F$207,MATCH(SMALL('Offene Vorgänge'!$J$8:$J$207,20),'Offene Vorgänge'!$J$8:$J$207,0))),"")</x:f>
      </x:c>
      <x:c r="G27" s="50" t="str">
        <x:f>IF($E27="","",IF($C27="","ohne Frist",IF($C27&lt;TODAY(),"überfällig","offen")))</x:f>
      </x:c>
      <x:c r="H27" s="44" t="str">
        <x:f>IFERROR(IF(SMALL('Offene Vorgänge'!$J$8:$J$207,20)&gt;=1E+90,"",INDEX('Offene Vorgänge'!$H$8:$H$207,MATCH(SMALL('Offene Vorgänge'!$J$8:$J$207,20),'Offene Vorgänge'!$J$8:$J$207,0))),"")</x:f>
      </x:c>
      <x:c r="I27" s="1"/>
      <x:c r="J27" s="1"/>
      <x:c r="K27" s="1"/>
      <x:c r="L27" s="1"/>
      <x:c r="M27" s="1"/>
      <x:c r="N27" s="1"/>
      <x:c r="O27" s="1"/>
      <x:c r="P27" s="1"/>
      <x:c r="Q27" s="1"/>
      <x:c r="R27" s="1"/>
      <x:c r="S27" s="1"/>
      <x:c r="T27" s="1"/>
    </x:row>
    <x:row r="28" ht="18" customHeight="1">
      <x:c r="A28" s="1"/>
      <x:c r="B28" s="47" t="str">
        <x:f>IF($E28="","",21)</x:f>
      </x:c>
      <x:c r="C28" s="49" t="str">
        <x:f>IFERROR(IF(SMALL('Offene Vorgänge'!$J$8:$J$207,21)&gt;=1E+90,"",INDEX('Offene Vorgänge'!$C$8:$C$207,MATCH(SMALL('Offene Vorgänge'!$J$8:$J$207,21),'Offene Vorgänge'!$J$8:$J$207,0))),"")</x:f>
      </x:c>
      <x:c r="D28" s="50" t="str">
        <x:f>IFERROR(IF(SMALL('Offene Vorgänge'!$J$8:$J$207,21)&gt;=1E+90,"",INDEX('Offene Vorgänge'!$D$8:$D$207,MATCH(SMALL('Offene Vorgänge'!$J$8:$J$207,21),'Offene Vorgänge'!$J$8:$J$207,0))),"")</x:f>
      </x:c>
      <x:c r="E28" s="44" t="str">
        <x:f>IFERROR(IF(SMALL('Offene Vorgänge'!$J$8:$J$207,21)&gt;=1E+90,"",INDEX('Offene Vorgänge'!$E$8:$E$207,MATCH(SMALL('Offene Vorgänge'!$J$8:$J$207,21),'Offene Vorgänge'!$J$8:$J$207,0))),"")</x:f>
      </x:c>
      <x:c r="F28" s="50" t="str">
        <x:f>IFERROR(IF(SMALL('Offene Vorgänge'!$J$8:$J$207,21)&gt;=1E+90,"",INDEX('Offene Vorgänge'!$F$8:$F$207,MATCH(SMALL('Offene Vorgänge'!$J$8:$J$207,21),'Offene Vorgänge'!$J$8:$J$207,0))),"")</x:f>
      </x:c>
      <x:c r="G28" s="50" t="str">
        <x:f>IF($E28="","",IF($C28="","ohne Frist",IF($C28&lt;TODAY(),"überfällig","offen")))</x:f>
      </x:c>
      <x:c r="H28" s="44" t="str">
        <x:f>IFERROR(IF(SMALL('Offene Vorgänge'!$J$8:$J$207,21)&gt;=1E+90,"",INDEX('Offene Vorgänge'!$H$8:$H$207,MATCH(SMALL('Offene Vorgänge'!$J$8:$J$207,21),'Offene Vorgänge'!$J$8:$J$207,0))),"")</x:f>
      </x:c>
      <x:c r="I28" s="1"/>
      <x:c r="J28" s="1"/>
      <x:c r="K28" s="1"/>
      <x:c r="L28" s="1"/>
      <x:c r="M28" s="1"/>
      <x:c r="N28" s="1"/>
      <x:c r="O28" s="1"/>
      <x:c r="P28" s="1"/>
      <x:c r="Q28" s="1"/>
      <x:c r="R28" s="1"/>
      <x:c r="S28" s="1"/>
      <x:c r="T28" s="1"/>
    </x:row>
    <x:row r="29" ht="18" customHeight="1">
      <x:c r="A29" s="1"/>
      <x:c r="B29" s="47" t="str">
        <x:f>IF($E29="","",22)</x:f>
      </x:c>
      <x:c r="C29" s="49" t="str">
        <x:f>IFERROR(IF(SMALL('Offene Vorgänge'!$J$8:$J$207,22)&gt;=1E+90,"",INDEX('Offene Vorgänge'!$C$8:$C$207,MATCH(SMALL('Offene Vorgänge'!$J$8:$J$207,22),'Offene Vorgänge'!$J$8:$J$207,0))),"")</x:f>
      </x:c>
      <x:c r="D29" s="50" t="str">
        <x:f>IFERROR(IF(SMALL('Offene Vorgänge'!$J$8:$J$207,22)&gt;=1E+90,"",INDEX('Offene Vorgänge'!$D$8:$D$207,MATCH(SMALL('Offene Vorgänge'!$J$8:$J$207,22),'Offene Vorgänge'!$J$8:$J$207,0))),"")</x:f>
      </x:c>
      <x:c r="E29" s="44" t="str">
        <x:f>IFERROR(IF(SMALL('Offene Vorgänge'!$J$8:$J$207,22)&gt;=1E+90,"",INDEX('Offene Vorgänge'!$E$8:$E$207,MATCH(SMALL('Offene Vorgänge'!$J$8:$J$207,22),'Offene Vorgänge'!$J$8:$J$207,0))),"")</x:f>
      </x:c>
      <x:c r="F29" s="50" t="str">
        <x:f>IFERROR(IF(SMALL('Offene Vorgänge'!$J$8:$J$207,22)&gt;=1E+90,"",INDEX('Offene Vorgänge'!$F$8:$F$207,MATCH(SMALL('Offene Vorgänge'!$J$8:$J$207,22),'Offene Vorgänge'!$J$8:$J$207,0))),"")</x:f>
      </x:c>
      <x:c r="G29" s="50" t="str">
        <x:f>IF($E29="","",IF($C29="","ohne Frist",IF($C29&lt;TODAY(),"überfällig","offen")))</x:f>
      </x:c>
      <x:c r="H29" s="44" t="str">
        <x:f>IFERROR(IF(SMALL('Offene Vorgänge'!$J$8:$J$207,22)&gt;=1E+90,"",INDEX('Offene Vorgänge'!$H$8:$H$207,MATCH(SMALL('Offene Vorgänge'!$J$8:$J$207,22),'Offene Vorgänge'!$J$8:$J$207,0))),"")</x:f>
      </x:c>
      <x:c r="I29" s="1"/>
      <x:c r="J29" s="1"/>
      <x:c r="K29" s="1"/>
      <x:c r="L29" s="1"/>
      <x:c r="M29" s="1"/>
      <x:c r="N29" s="1"/>
      <x:c r="O29" s="1"/>
      <x:c r="P29" s="1"/>
      <x:c r="Q29" s="1"/>
      <x:c r="R29" s="1"/>
      <x:c r="S29" s="1"/>
      <x:c r="T29" s="1"/>
    </x:row>
    <x:row r="30" ht="18" customHeight="1">
      <x:c r="A30" s="1"/>
      <x:c r="B30" s="47" t="str">
        <x:f>IF($E30="","",23)</x:f>
      </x:c>
      <x:c r="C30" s="49" t="str">
        <x:f>IFERROR(IF(SMALL('Offene Vorgänge'!$J$8:$J$207,23)&gt;=1E+90,"",INDEX('Offene Vorgänge'!$C$8:$C$207,MATCH(SMALL('Offene Vorgänge'!$J$8:$J$207,23),'Offene Vorgänge'!$J$8:$J$207,0))),"")</x:f>
      </x:c>
      <x:c r="D30" s="50" t="str">
        <x:f>IFERROR(IF(SMALL('Offene Vorgänge'!$J$8:$J$207,23)&gt;=1E+90,"",INDEX('Offene Vorgänge'!$D$8:$D$207,MATCH(SMALL('Offene Vorgänge'!$J$8:$J$207,23),'Offene Vorgänge'!$J$8:$J$207,0))),"")</x:f>
      </x:c>
      <x:c r="E30" s="44" t="str">
        <x:f>IFERROR(IF(SMALL('Offene Vorgänge'!$J$8:$J$207,23)&gt;=1E+90,"",INDEX('Offene Vorgänge'!$E$8:$E$207,MATCH(SMALL('Offene Vorgänge'!$J$8:$J$207,23),'Offene Vorgänge'!$J$8:$J$207,0))),"")</x:f>
      </x:c>
      <x:c r="F30" s="50" t="str">
        <x:f>IFERROR(IF(SMALL('Offene Vorgänge'!$J$8:$J$207,23)&gt;=1E+90,"",INDEX('Offene Vorgänge'!$F$8:$F$207,MATCH(SMALL('Offene Vorgänge'!$J$8:$J$207,23),'Offene Vorgänge'!$J$8:$J$207,0))),"")</x:f>
      </x:c>
      <x:c r="G30" s="50" t="str">
        <x:f>IF($E30="","",IF($C30="","ohne Frist",IF($C30&lt;TODAY(),"überfällig","offen")))</x:f>
      </x:c>
      <x:c r="H30" s="44" t="str">
        <x:f>IFERROR(IF(SMALL('Offene Vorgänge'!$J$8:$J$207,23)&gt;=1E+90,"",INDEX('Offene Vorgänge'!$H$8:$H$207,MATCH(SMALL('Offene Vorgänge'!$J$8:$J$207,23),'Offene Vorgänge'!$J$8:$J$207,0))),"")</x:f>
      </x:c>
      <x:c r="I30" s="1"/>
      <x:c r="J30" s="1"/>
      <x:c r="K30" s="1"/>
      <x:c r="L30" s="1"/>
      <x:c r="M30" s="1"/>
      <x:c r="N30" s="1"/>
      <x:c r="O30" s="1"/>
      <x:c r="P30" s="1"/>
      <x:c r="Q30" s="1"/>
      <x:c r="R30" s="1"/>
      <x:c r="S30" s="1"/>
      <x:c r="T30" s="1"/>
    </x:row>
    <x:row r="31" ht="18" customHeight="1">
      <x:c r="A31" s="1"/>
      <x:c r="B31" s="47" t="str">
        <x:f>IF($E31="","",24)</x:f>
      </x:c>
      <x:c r="C31" s="49" t="str">
        <x:f>IFERROR(IF(SMALL('Offene Vorgänge'!$J$8:$J$207,24)&gt;=1E+90,"",INDEX('Offene Vorgänge'!$C$8:$C$207,MATCH(SMALL('Offene Vorgänge'!$J$8:$J$207,24),'Offene Vorgänge'!$J$8:$J$207,0))),"")</x:f>
      </x:c>
      <x:c r="D31" s="50" t="str">
        <x:f>IFERROR(IF(SMALL('Offene Vorgänge'!$J$8:$J$207,24)&gt;=1E+90,"",INDEX('Offene Vorgänge'!$D$8:$D$207,MATCH(SMALL('Offene Vorgänge'!$J$8:$J$207,24),'Offene Vorgänge'!$J$8:$J$207,0))),"")</x:f>
      </x:c>
      <x:c r="E31" s="44" t="str">
        <x:f>IFERROR(IF(SMALL('Offene Vorgänge'!$J$8:$J$207,24)&gt;=1E+90,"",INDEX('Offene Vorgänge'!$E$8:$E$207,MATCH(SMALL('Offene Vorgänge'!$J$8:$J$207,24),'Offene Vorgänge'!$J$8:$J$207,0))),"")</x:f>
      </x:c>
      <x:c r="F31" s="50" t="str">
        <x:f>IFERROR(IF(SMALL('Offene Vorgänge'!$J$8:$J$207,24)&gt;=1E+90,"",INDEX('Offene Vorgänge'!$F$8:$F$207,MATCH(SMALL('Offene Vorgänge'!$J$8:$J$207,24),'Offene Vorgänge'!$J$8:$J$207,0))),"")</x:f>
      </x:c>
      <x:c r="G31" s="50" t="str">
        <x:f>IF($E31="","",IF($C31="","ohne Frist",IF($C31&lt;TODAY(),"überfällig","offen")))</x:f>
      </x:c>
      <x:c r="H31" s="44" t="str">
        <x:f>IFERROR(IF(SMALL('Offene Vorgänge'!$J$8:$J$207,24)&gt;=1E+90,"",INDEX('Offene Vorgänge'!$H$8:$H$207,MATCH(SMALL('Offene Vorgänge'!$J$8:$J$207,24),'Offene Vorgänge'!$J$8:$J$207,0))),"")</x:f>
      </x:c>
      <x:c r="I31" s="1"/>
      <x:c r="J31" s="1"/>
      <x:c r="K31" s="1"/>
      <x:c r="L31" s="1"/>
      <x:c r="M31" s="1"/>
      <x:c r="N31" s="1"/>
      <x:c r="O31" s="1"/>
      <x:c r="P31" s="1"/>
      <x:c r="Q31" s="1"/>
      <x:c r="R31" s="1"/>
      <x:c r="S31" s="1"/>
      <x:c r="T31" s="1"/>
    </x:row>
    <x:row r="32" ht="18" customHeight="1">
      <x:c r="A32" s="1"/>
      <x:c r="B32" s="47" t="str">
        <x:f>IF($E32="","",25)</x:f>
      </x:c>
      <x:c r="C32" s="49" t="str">
        <x:f>IFERROR(IF(SMALL('Offene Vorgänge'!$J$8:$J$207,25)&gt;=1E+90,"",INDEX('Offene Vorgänge'!$C$8:$C$207,MATCH(SMALL('Offene Vorgänge'!$J$8:$J$207,25),'Offene Vorgänge'!$J$8:$J$207,0))),"")</x:f>
      </x:c>
      <x:c r="D32" s="50" t="str">
        <x:f>IFERROR(IF(SMALL('Offene Vorgänge'!$J$8:$J$207,25)&gt;=1E+90,"",INDEX('Offene Vorgänge'!$D$8:$D$207,MATCH(SMALL('Offene Vorgänge'!$J$8:$J$207,25),'Offene Vorgänge'!$J$8:$J$207,0))),"")</x:f>
      </x:c>
      <x:c r="E32" s="44" t="str">
        <x:f>IFERROR(IF(SMALL('Offene Vorgänge'!$J$8:$J$207,25)&gt;=1E+90,"",INDEX('Offene Vorgänge'!$E$8:$E$207,MATCH(SMALL('Offene Vorgänge'!$J$8:$J$207,25),'Offene Vorgänge'!$J$8:$J$207,0))),"")</x:f>
      </x:c>
      <x:c r="F32" s="50" t="str">
        <x:f>IFERROR(IF(SMALL('Offene Vorgänge'!$J$8:$J$207,25)&gt;=1E+90,"",INDEX('Offene Vorgänge'!$F$8:$F$207,MATCH(SMALL('Offene Vorgänge'!$J$8:$J$207,25),'Offene Vorgänge'!$J$8:$J$207,0))),"")</x:f>
      </x:c>
      <x:c r="G32" s="50" t="str">
        <x:f>IF($E32="","",IF($C32="","ohne Frist",IF($C32&lt;TODAY(),"überfällig","offen")))</x:f>
      </x:c>
      <x:c r="H32" s="44" t="str">
        <x:f>IFERROR(IF(SMALL('Offene Vorgänge'!$J$8:$J$207,25)&gt;=1E+90,"",INDEX('Offene Vorgänge'!$H$8:$H$207,MATCH(SMALL('Offene Vorgänge'!$J$8:$J$207,25),'Offene Vorgänge'!$J$8:$J$207,0))),"")</x:f>
      </x:c>
      <x:c r="I32" s="1"/>
      <x:c r="J32" s="1"/>
      <x:c r="K32" s="1"/>
      <x:c r="L32" s="1"/>
      <x:c r="M32" s="1"/>
      <x:c r="N32" s="1"/>
      <x:c r="O32" s="1"/>
      <x:c r="P32" s="1"/>
      <x:c r="Q32" s="1"/>
      <x:c r="R32" s="1"/>
      <x:c r="S32" s="1"/>
      <x:c r="T32" s="1"/>
    </x:row>
    <x:row r="33" ht="18" customHeight="1">
      <x:c r="A33" s="1"/>
      <x:c r="B33" s="47" t="str">
        <x:f>IF($E33="","",26)</x:f>
      </x:c>
      <x:c r="C33" s="49" t="str">
        <x:f>IFERROR(IF(SMALL('Offene Vorgänge'!$J$8:$J$207,26)&gt;=1E+90,"",INDEX('Offene Vorgänge'!$C$8:$C$207,MATCH(SMALL('Offene Vorgänge'!$J$8:$J$207,26),'Offene Vorgänge'!$J$8:$J$207,0))),"")</x:f>
      </x:c>
      <x:c r="D33" s="50" t="str">
        <x:f>IFERROR(IF(SMALL('Offene Vorgänge'!$J$8:$J$207,26)&gt;=1E+90,"",INDEX('Offene Vorgänge'!$D$8:$D$207,MATCH(SMALL('Offene Vorgänge'!$J$8:$J$207,26),'Offene Vorgänge'!$J$8:$J$207,0))),"")</x:f>
      </x:c>
      <x:c r="E33" s="44" t="str">
        <x:f>IFERROR(IF(SMALL('Offene Vorgänge'!$J$8:$J$207,26)&gt;=1E+90,"",INDEX('Offene Vorgänge'!$E$8:$E$207,MATCH(SMALL('Offene Vorgänge'!$J$8:$J$207,26),'Offene Vorgänge'!$J$8:$J$207,0))),"")</x:f>
      </x:c>
      <x:c r="F33" s="50" t="str">
        <x:f>IFERROR(IF(SMALL('Offene Vorgänge'!$J$8:$J$207,26)&gt;=1E+90,"",INDEX('Offene Vorgänge'!$F$8:$F$207,MATCH(SMALL('Offene Vorgänge'!$J$8:$J$207,26),'Offene Vorgänge'!$J$8:$J$207,0))),"")</x:f>
      </x:c>
      <x:c r="G33" s="50" t="str">
        <x:f>IF($E33="","",IF($C33="","ohne Frist",IF($C33&lt;TODAY(),"überfällig","offen")))</x:f>
      </x:c>
      <x:c r="H33" s="44" t="str">
        <x:f>IFERROR(IF(SMALL('Offene Vorgänge'!$J$8:$J$207,26)&gt;=1E+90,"",INDEX('Offene Vorgänge'!$H$8:$H$207,MATCH(SMALL('Offene Vorgänge'!$J$8:$J$207,26),'Offene Vorgänge'!$J$8:$J$207,0))),"")</x:f>
      </x:c>
      <x:c r="I33" s="1"/>
      <x:c r="J33" s="1"/>
      <x:c r="K33" s="1"/>
      <x:c r="L33" s="1"/>
      <x:c r="M33" s="1"/>
      <x:c r="N33" s="1"/>
      <x:c r="O33" s="1"/>
      <x:c r="P33" s="1"/>
      <x:c r="Q33" s="1"/>
      <x:c r="R33" s="1"/>
      <x:c r="S33" s="1"/>
      <x:c r="T33" s="1"/>
    </x:row>
    <x:row r="34" ht="18" customHeight="1">
      <x:c r="A34" s="1"/>
      <x:c r="B34" s="47" t="str">
        <x:f>IF($E34="","",27)</x:f>
      </x:c>
      <x:c r="C34" s="49" t="str">
        <x:f>IFERROR(IF(SMALL('Offene Vorgänge'!$J$8:$J$207,27)&gt;=1E+90,"",INDEX('Offene Vorgänge'!$C$8:$C$207,MATCH(SMALL('Offene Vorgänge'!$J$8:$J$207,27),'Offene Vorgänge'!$J$8:$J$207,0))),"")</x:f>
      </x:c>
      <x:c r="D34" s="50" t="str">
        <x:f>IFERROR(IF(SMALL('Offene Vorgänge'!$J$8:$J$207,27)&gt;=1E+90,"",INDEX('Offene Vorgänge'!$D$8:$D$207,MATCH(SMALL('Offene Vorgänge'!$J$8:$J$207,27),'Offene Vorgänge'!$J$8:$J$207,0))),"")</x:f>
      </x:c>
      <x:c r="E34" s="44" t="str">
        <x:f>IFERROR(IF(SMALL('Offene Vorgänge'!$J$8:$J$207,27)&gt;=1E+90,"",INDEX('Offene Vorgänge'!$E$8:$E$207,MATCH(SMALL('Offene Vorgänge'!$J$8:$J$207,27),'Offene Vorgänge'!$J$8:$J$207,0))),"")</x:f>
      </x:c>
      <x:c r="F34" s="50" t="str">
        <x:f>IFERROR(IF(SMALL('Offene Vorgänge'!$J$8:$J$207,27)&gt;=1E+90,"",INDEX('Offene Vorgänge'!$F$8:$F$207,MATCH(SMALL('Offene Vorgänge'!$J$8:$J$207,27),'Offene Vorgänge'!$J$8:$J$207,0))),"")</x:f>
      </x:c>
      <x:c r="G34" s="50" t="str">
        <x:f>IF($E34="","",IF($C34="","ohne Frist",IF($C34&lt;TODAY(),"überfällig","offen")))</x:f>
      </x:c>
      <x:c r="H34" s="44" t="str">
        <x:f>IFERROR(IF(SMALL('Offene Vorgänge'!$J$8:$J$207,27)&gt;=1E+90,"",INDEX('Offene Vorgänge'!$H$8:$H$207,MATCH(SMALL('Offene Vorgänge'!$J$8:$J$207,27),'Offene Vorgänge'!$J$8:$J$207,0))),"")</x:f>
      </x:c>
      <x:c r="I34" s="1"/>
      <x:c r="J34" s="1"/>
      <x:c r="K34" s="1"/>
      <x:c r="L34" s="1"/>
      <x:c r="M34" s="1"/>
      <x:c r="N34" s="1"/>
      <x:c r="O34" s="1"/>
      <x:c r="P34" s="1"/>
      <x:c r="Q34" s="1"/>
      <x:c r="R34" s="1"/>
      <x:c r="S34" s="1"/>
      <x:c r="T34" s="1"/>
    </x:row>
    <x:row r="35" ht="18" customHeight="1">
      <x:c r="A35" s="1"/>
      <x:c r="B35" s="47" t="str">
        <x:f>IF($E35="","",28)</x:f>
      </x:c>
      <x:c r="C35" s="49" t="str">
        <x:f>IFERROR(IF(SMALL('Offene Vorgänge'!$J$8:$J$207,28)&gt;=1E+90,"",INDEX('Offene Vorgänge'!$C$8:$C$207,MATCH(SMALL('Offene Vorgänge'!$J$8:$J$207,28),'Offene Vorgänge'!$J$8:$J$207,0))),"")</x:f>
      </x:c>
      <x:c r="D35" s="50" t="str">
        <x:f>IFERROR(IF(SMALL('Offene Vorgänge'!$J$8:$J$207,28)&gt;=1E+90,"",INDEX('Offene Vorgänge'!$D$8:$D$207,MATCH(SMALL('Offene Vorgänge'!$J$8:$J$207,28),'Offene Vorgänge'!$J$8:$J$207,0))),"")</x:f>
      </x:c>
      <x:c r="E35" s="44" t="str">
        <x:f>IFERROR(IF(SMALL('Offene Vorgänge'!$J$8:$J$207,28)&gt;=1E+90,"",INDEX('Offene Vorgänge'!$E$8:$E$207,MATCH(SMALL('Offene Vorgänge'!$J$8:$J$207,28),'Offene Vorgänge'!$J$8:$J$207,0))),"")</x:f>
      </x:c>
      <x:c r="F35" s="50" t="str">
        <x:f>IFERROR(IF(SMALL('Offene Vorgänge'!$J$8:$J$207,28)&gt;=1E+90,"",INDEX('Offene Vorgänge'!$F$8:$F$207,MATCH(SMALL('Offene Vorgänge'!$J$8:$J$207,28),'Offene Vorgänge'!$J$8:$J$207,0))),"")</x:f>
      </x:c>
      <x:c r="G35" s="50" t="str">
        <x:f>IF($E35="","",IF($C35="","ohne Frist",IF($C35&lt;TODAY(),"überfällig","offen")))</x:f>
      </x:c>
      <x:c r="H35" s="44" t="str">
        <x:f>IFERROR(IF(SMALL('Offene Vorgänge'!$J$8:$J$207,28)&gt;=1E+90,"",INDEX('Offene Vorgänge'!$H$8:$H$207,MATCH(SMALL('Offene Vorgänge'!$J$8:$J$207,28),'Offene Vorgänge'!$J$8:$J$207,0))),"")</x:f>
      </x:c>
      <x:c r="I35" s="1"/>
      <x:c r="J35" s="1"/>
      <x:c r="K35" s="1"/>
      <x:c r="L35" s="1"/>
      <x:c r="M35" s="1"/>
      <x:c r="N35" s="1"/>
      <x:c r="O35" s="1"/>
      <x:c r="P35" s="1"/>
      <x:c r="Q35" s="1"/>
      <x:c r="R35" s="1"/>
      <x:c r="S35" s="1"/>
      <x:c r="T35" s="1"/>
    </x:row>
    <x:row r="36" ht="18" customHeight="1">
      <x:c r="A36" s="1"/>
      <x:c r="B36" s="47" t="str">
        <x:f>IF($E36="","",29)</x:f>
      </x:c>
      <x:c r="C36" s="49" t="str">
        <x:f>IFERROR(IF(SMALL('Offene Vorgänge'!$J$8:$J$207,29)&gt;=1E+90,"",INDEX('Offene Vorgänge'!$C$8:$C$207,MATCH(SMALL('Offene Vorgänge'!$J$8:$J$207,29),'Offene Vorgänge'!$J$8:$J$207,0))),"")</x:f>
      </x:c>
      <x:c r="D36" s="50" t="str">
        <x:f>IFERROR(IF(SMALL('Offene Vorgänge'!$J$8:$J$207,29)&gt;=1E+90,"",INDEX('Offene Vorgänge'!$D$8:$D$207,MATCH(SMALL('Offene Vorgänge'!$J$8:$J$207,29),'Offene Vorgänge'!$J$8:$J$207,0))),"")</x:f>
      </x:c>
      <x:c r="E36" s="44" t="str">
        <x:f>IFERROR(IF(SMALL('Offene Vorgänge'!$J$8:$J$207,29)&gt;=1E+90,"",INDEX('Offene Vorgänge'!$E$8:$E$207,MATCH(SMALL('Offene Vorgänge'!$J$8:$J$207,29),'Offene Vorgänge'!$J$8:$J$207,0))),"")</x:f>
      </x:c>
      <x:c r="F36" s="50" t="str">
        <x:f>IFERROR(IF(SMALL('Offene Vorgänge'!$J$8:$J$207,29)&gt;=1E+90,"",INDEX('Offene Vorgänge'!$F$8:$F$207,MATCH(SMALL('Offene Vorgänge'!$J$8:$J$207,29),'Offene Vorgänge'!$J$8:$J$207,0))),"")</x:f>
      </x:c>
      <x:c r="G36" s="50" t="str">
        <x:f>IF($E36="","",IF($C36="","ohne Frist",IF($C36&lt;TODAY(),"überfällig","offen")))</x:f>
      </x:c>
      <x:c r="H36" s="44" t="str">
        <x:f>IFERROR(IF(SMALL('Offene Vorgänge'!$J$8:$J$207,29)&gt;=1E+90,"",INDEX('Offene Vorgänge'!$H$8:$H$207,MATCH(SMALL('Offene Vorgänge'!$J$8:$J$207,29),'Offene Vorgänge'!$J$8:$J$207,0))),"")</x:f>
      </x:c>
      <x:c r="I36" s="1"/>
      <x:c r="J36" s="1"/>
      <x:c r="K36" s="1"/>
      <x:c r="L36" s="1"/>
      <x:c r="M36" s="1"/>
      <x:c r="N36" s="1"/>
      <x:c r="O36" s="1"/>
      <x:c r="P36" s="1"/>
      <x:c r="Q36" s="1"/>
      <x:c r="R36" s="1"/>
      <x:c r="S36" s="1"/>
      <x:c r="T36" s="1"/>
    </x:row>
    <x:row r="37" ht="18" customHeight="1">
      <x:c r="A37" s="1"/>
      <x:c r="B37" s="47" t="str">
        <x:f>IF($E37="","",30)</x:f>
      </x:c>
      <x:c r="C37" s="49" t="str">
        <x:f>IFERROR(IF(SMALL('Offene Vorgänge'!$J$8:$J$207,30)&gt;=1E+90,"",INDEX('Offene Vorgänge'!$C$8:$C$207,MATCH(SMALL('Offene Vorgänge'!$J$8:$J$207,30),'Offene Vorgänge'!$J$8:$J$207,0))),"")</x:f>
      </x:c>
      <x:c r="D37" s="50" t="str">
        <x:f>IFERROR(IF(SMALL('Offene Vorgänge'!$J$8:$J$207,30)&gt;=1E+90,"",INDEX('Offene Vorgänge'!$D$8:$D$207,MATCH(SMALL('Offene Vorgänge'!$J$8:$J$207,30),'Offene Vorgänge'!$J$8:$J$207,0))),"")</x:f>
      </x:c>
      <x:c r="E37" s="44" t="str">
        <x:f>IFERROR(IF(SMALL('Offene Vorgänge'!$J$8:$J$207,30)&gt;=1E+90,"",INDEX('Offene Vorgänge'!$E$8:$E$207,MATCH(SMALL('Offene Vorgänge'!$J$8:$J$207,30),'Offene Vorgänge'!$J$8:$J$207,0))),"")</x:f>
      </x:c>
      <x:c r="F37" s="50" t="str">
        <x:f>IFERROR(IF(SMALL('Offene Vorgänge'!$J$8:$J$207,30)&gt;=1E+90,"",INDEX('Offene Vorgänge'!$F$8:$F$207,MATCH(SMALL('Offene Vorgänge'!$J$8:$J$207,30),'Offene Vorgänge'!$J$8:$J$207,0))),"")</x:f>
      </x:c>
      <x:c r="G37" s="50" t="str">
        <x:f>IF($E37="","",IF($C37="","ohne Frist",IF($C37&lt;TODAY(),"überfällig","offen")))</x:f>
      </x:c>
      <x:c r="H37" s="44" t="str">
        <x:f>IFERROR(IF(SMALL('Offene Vorgänge'!$J$8:$J$207,30)&gt;=1E+90,"",INDEX('Offene Vorgänge'!$H$8:$H$207,MATCH(SMALL('Offene Vorgänge'!$J$8:$J$207,30),'Offene Vorgänge'!$J$8:$J$207,0))),"")</x:f>
      </x:c>
      <x:c r="I37" s="1"/>
      <x:c r="J37" s="1"/>
      <x:c r="K37" s="1"/>
      <x:c r="L37" s="1"/>
      <x:c r="M37" s="1"/>
      <x:c r="N37" s="1"/>
      <x:c r="O37" s="1"/>
      <x:c r="P37" s="1"/>
      <x:c r="Q37" s="1"/>
      <x:c r="R37" s="1"/>
      <x:c r="S37" s="1"/>
      <x:c r="T37" s="1"/>
    </x:row>
    <x:row r="38" ht="18" customHeight="1">
      <x:c r="A38" s="1"/>
      <x:c r="B38" s="47" t="str">
        <x:f>IF($E38="","",31)</x:f>
      </x:c>
      <x:c r="C38" s="49" t="str">
        <x:f>IFERROR(IF(SMALL('Offene Vorgänge'!$J$8:$J$207,31)&gt;=1E+90,"",INDEX('Offene Vorgänge'!$C$8:$C$207,MATCH(SMALL('Offene Vorgänge'!$J$8:$J$207,31),'Offene Vorgänge'!$J$8:$J$207,0))),"")</x:f>
      </x:c>
      <x:c r="D38" s="50" t="str">
        <x:f>IFERROR(IF(SMALL('Offene Vorgänge'!$J$8:$J$207,31)&gt;=1E+90,"",INDEX('Offene Vorgänge'!$D$8:$D$207,MATCH(SMALL('Offene Vorgänge'!$J$8:$J$207,31),'Offene Vorgänge'!$J$8:$J$207,0))),"")</x:f>
      </x:c>
      <x:c r="E38" s="44" t="str">
        <x:f>IFERROR(IF(SMALL('Offene Vorgänge'!$J$8:$J$207,31)&gt;=1E+90,"",INDEX('Offene Vorgänge'!$E$8:$E$207,MATCH(SMALL('Offene Vorgänge'!$J$8:$J$207,31),'Offene Vorgänge'!$J$8:$J$207,0))),"")</x:f>
      </x:c>
      <x:c r="F38" s="50" t="str">
        <x:f>IFERROR(IF(SMALL('Offene Vorgänge'!$J$8:$J$207,31)&gt;=1E+90,"",INDEX('Offene Vorgänge'!$F$8:$F$207,MATCH(SMALL('Offene Vorgänge'!$J$8:$J$207,31),'Offene Vorgänge'!$J$8:$J$207,0))),"")</x:f>
      </x:c>
      <x:c r="G38" s="50" t="str">
        <x:f>IF($E38="","",IF($C38="","ohne Frist",IF($C38&lt;TODAY(),"überfällig","offen")))</x:f>
      </x:c>
      <x:c r="H38" s="44" t="str">
        <x:f>IFERROR(IF(SMALL('Offene Vorgänge'!$J$8:$J$207,31)&gt;=1E+90,"",INDEX('Offene Vorgänge'!$H$8:$H$207,MATCH(SMALL('Offene Vorgänge'!$J$8:$J$207,31),'Offene Vorgänge'!$J$8:$J$207,0))),"")</x:f>
      </x:c>
      <x:c r="I38" s="1"/>
      <x:c r="J38" s="1"/>
      <x:c r="K38" s="1"/>
      <x:c r="L38" s="1"/>
      <x:c r="M38" s="1"/>
      <x:c r="N38" s="1"/>
      <x:c r="O38" s="1"/>
      <x:c r="P38" s="1"/>
      <x:c r="Q38" s="1"/>
      <x:c r="R38" s="1"/>
      <x:c r="S38" s="1"/>
      <x:c r="T38" s="1"/>
    </x:row>
    <x:row r="39" ht="18" customHeight="1">
      <x:c r="A39" s="1"/>
      <x:c r="B39" s="47" t="str">
        <x:f>IF($E39="","",32)</x:f>
      </x:c>
      <x:c r="C39" s="49" t="str">
        <x:f>IFERROR(IF(SMALL('Offene Vorgänge'!$J$8:$J$207,32)&gt;=1E+90,"",INDEX('Offene Vorgänge'!$C$8:$C$207,MATCH(SMALL('Offene Vorgänge'!$J$8:$J$207,32),'Offene Vorgänge'!$J$8:$J$207,0))),"")</x:f>
      </x:c>
      <x:c r="D39" s="50" t="str">
        <x:f>IFERROR(IF(SMALL('Offene Vorgänge'!$J$8:$J$207,32)&gt;=1E+90,"",INDEX('Offene Vorgänge'!$D$8:$D$207,MATCH(SMALL('Offene Vorgänge'!$J$8:$J$207,32),'Offene Vorgänge'!$J$8:$J$207,0))),"")</x:f>
      </x:c>
      <x:c r="E39" s="44" t="str">
        <x:f>IFERROR(IF(SMALL('Offene Vorgänge'!$J$8:$J$207,32)&gt;=1E+90,"",INDEX('Offene Vorgänge'!$E$8:$E$207,MATCH(SMALL('Offene Vorgänge'!$J$8:$J$207,32),'Offene Vorgänge'!$J$8:$J$207,0))),"")</x:f>
      </x:c>
      <x:c r="F39" s="50" t="str">
        <x:f>IFERROR(IF(SMALL('Offene Vorgänge'!$J$8:$J$207,32)&gt;=1E+90,"",INDEX('Offene Vorgänge'!$F$8:$F$207,MATCH(SMALL('Offene Vorgänge'!$J$8:$J$207,32),'Offene Vorgänge'!$J$8:$J$207,0))),"")</x:f>
      </x:c>
      <x:c r="G39" s="50" t="str">
        <x:f>IF($E39="","",IF($C39="","ohne Frist",IF($C39&lt;TODAY(),"überfällig","offen")))</x:f>
      </x:c>
      <x:c r="H39" s="44" t="str">
        <x:f>IFERROR(IF(SMALL('Offene Vorgänge'!$J$8:$J$207,32)&gt;=1E+90,"",INDEX('Offene Vorgänge'!$H$8:$H$207,MATCH(SMALL('Offene Vorgänge'!$J$8:$J$207,32),'Offene Vorgänge'!$J$8:$J$207,0))),"")</x:f>
      </x:c>
      <x:c r="I39" s="1"/>
      <x:c r="J39" s="1"/>
      <x:c r="K39" s="1"/>
      <x:c r="L39" s="1"/>
      <x:c r="M39" s="1"/>
      <x:c r="N39" s="1"/>
      <x:c r="O39" s="1"/>
      <x:c r="P39" s="1"/>
      <x:c r="Q39" s="1"/>
      <x:c r="R39" s="1"/>
      <x:c r="S39" s="1"/>
      <x:c r="T39" s="1"/>
    </x:row>
    <x:row r="40" ht="18" customHeight="1">
      <x:c r="A40" s="1"/>
      <x:c r="B40" s="47" t="str">
        <x:f>IF($E40="","",33)</x:f>
      </x:c>
      <x:c r="C40" s="49" t="str">
        <x:f>IFERROR(IF(SMALL('Offene Vorgänge'!$J$8:$J$207,33)&gt;=1E+90,"",INDEX('Offene Vorgänge'!$C$8:$C$207,MATCH(SMALL('Offene Vorgänge'!$J$8:$J$207,33),'Offene Vorgänge'!$J$8:$J$207,0))),"")</x:f>
      </x:c>
      <x:c r="D40" s="50" t="str">
        <x:f>IFERROR(IF(SMALL('Offene Vorgänge'!$J$8:$J$207,33)&gt;=1E+90,"",INDEX('Offene Vorgänge'!$D$8:$D$207,MATCH(SMALL('Offene Vorgänge'!$J$8:$J$207,33),'Offene Vorgänge'!$J$8:$J$207,0))),"")</x:f>
      </x:c>
      <x:c r="E40" s="44" t="str">
        <x:f>IFERROR(IF(SMALL('Offene Vorgänge'!$J$8:$J$207,33)&gt;=1E+90,"",INDEX('Offene Vorgänge'!$E$8:$E$207,MATCH(SMALL('Offene Vorgänge'!$J$8:$J$207,33),'Offene Vorgänge'!$J$8:$J$207,0))),"")</x:f>
      </x:c>
      <x:c r="F40" s="50" t="str">
        <x:f>IFERROR(IF(SMALL('Offene Vorgänge'!$J$8:$J$207,33)&gt;=1E+90,"",INDEX('Offene Vorgänge'!$F$8:$F$207,MATCH(SMALL('Offene Vorgänge'!$J$8:$J$207,33),'Offene Vorgänge'!$J$8:$J$207,0))),"")</x:f>
      </x:c>
      <x:c r="G40" s="50" t="str">
        <x:f>IF($E40="","",IF($C40="","ohne Frist",IF($C40&lt;TODAY(),"überfällig","offen")))</x:f>
      </x:c>
      <x:c r="H40" s="44" t="str">
        <x:f>IFERROR(IF(SMALL('Offene Vorgänge'!$J$8:$J$207,33)&gt;=1E+90,"",INDEX('Offene Vorgänge'!$H$8:$H$207,MATCH(SMALL('Offene Vorgänge'!$J$8:$J$207,33),'Offene Vorgänge'!$J$8:$J$207,0))),"")</x:f>
      </x:c>
      <x:c r="I40" s="1"/>
      <x:c r="J40" s="1"/>
      <x:c r="K40" s="1"/>
      <x:c r="L40" s="1"/>
      <x:c r="M40" s="1"/>
      <x:c r="N40" s="1"/>
      <x:c r="O40" s="1"/>
      <x:c r="P40" s="1"/>
      <x:c r="Q40" s="1"/>
      <x:c r="R40" s="1"/>
      <x:c r="S40" s="1"/>
      <x:c r="T40" s="1"/>
    </x:row>
    <x:row r="41" ht="18" customHeight="1">
      <x:c r="A41" s="1"/>
      <x:c r="B41" s="47" t="str">
        <x:f>IF($E41="","",34)</x:f>
      </x:c>
      <x:c r="C41" s="49" t="str">
        <x:f>IFERROR(IF(SMALL('Offene Vorgänge'!$J$8:$J$207,34)&gt;=1E+90,"",INDEX('Offene Vorgänge'!$C$8:$C$207,MATCH(SMALL('Offene Vorgänge'!$J$8:$J$207,34),'Offene Vorgänge'!$J$8:$J$207,0))),"")</x:f>
      </x:c>
      <x:c r="D41" s="50" t="str">
        <x:f>IFERROR(IF(SMALL('Offene Vorgänge'!$J$8:$J$207,34)&gt;=1E+90,"",INDEX('Offene Vorgänge'!$D$8:$D$207,MATCH(SMALL('Offene Vorgänge'!$J$8:$J$207,34),'Offene Vorgänge'!$J$8:$J$207,0))),"")</x:f>
      </x:c>
      <x:c r="E41" s="44" t="str">
        <x:f>IFERROR(IF(SMALL('Offene Vorgänge'!$J$8:$J$207,34)&gt;=1E+90,"",INDEX('Offene Vorgänge'!$E$8:$E$207,MATCH(SMALL('Offene Vorgänge'!$J$8:$J$207,34),'Offene Vorgänge'!$J$8:$J$207,0))),"")</x:f>
      </x:c>
      <x:c r="F41" s="50" t="str">
        <x:f>IFERROR(IF(SMALL('Offene Vorgänge'!$J$8:$J$207,34)&gt;=1E+90,"",INDEX('Offene Vorgänge'!$F$8:$F$207,MATCH(SMALL('Offene Vorgänge'!$J$8:$J$207,34),'Offene Vorgänge'!$J$8:$J$207,0))),"")</x:f>
      </x:c>
      <x:c r="G41" s="50" t="str">
        <x:f>IF($E41="","",IF($C41="","ohne Frist",IF($C41&lt;TODAY(),"überfällig","offen")))</x:f>
      </x:c>
      <x:c r="H41" s="44" t="str">
        <x:f>IFERROR(IF(SMALL('Offene Vorgänge'!$J$8:$J$207,34)&gt;=1E+90,"",INDEX('Offene Vorgänge'!$H$8:$H$207,MATCH(SMALL('Offene Vorgänge'!$J$8:$J$207,34),'Offene Vorgänge'!$J$8:$J$207,0))),"")</x:f>
      </x:c>
      <x:c r="I41" s="1"/>
      <x:c r="J41" s="1"/>
      <x:c r="K41" s="1"/>
      <x:c r="L41" s="1"/>
      <x:c r="M41" s="1"/>
      <x:c r="N41" s="1"/>
      <x:c r="O41" s="1"/>
      <x:c r="P41" s="1"/>
      <x:c r="Q41" s="1"/>
      <x:c r="R41" s="1"/>
      <x:c r="S41" s="1"/>
      <x:c r="T41" s="1"/>
    </x:row>
    <x:row r="42" ht="18" customHeight="1">
      <x:c r="A42" s="1"/>
      <x:c r="B42" s="47" t="str">
        <x:f>IF($E42="","",35)</x:f>
      </x:c>
      <x:c r="C42" s="49" t="str">
        <x:f>IFERROR(IF(SMALL('Offene Vorgänge'!$J$8:$J$207,35)&gt;=1E+90,"",INDEX('Offene Vorgänge'!$C$8:$C$207,MATCH(SMALL('Offene Vorgänge'!$J$8:$J$207,35),'Offene Vorgänge'!$J$8:$J$207,0))),"")</x:f>
      </x:c>
      <x:c r="D42" s="50" t="str">
        <x:f>IFERROR(IF(SMALL('Offene Vorgänge'!$J$8:$J$207,35)&gt;=1E+90,"",INDEX('Offene Vorgänge'!$D$8:$D$207,MATCH(SMALL('Offene Vorgänge'!$J$8:$J$207,35),'Offene Vorgänge'!$J$8:$J$207,0))),"")</x:f>
      </x:c>
      <x:c r="E42" s="44" t="str">
        <x:f>IFERROR(IF(SMALL('Offene Vorgänge'!$J$8:$J$207,35)&gt;=1E+90,"",INDEX('Offene Vorgänge'!$E$8:$E$207,MATCH(SMALL('Offene Vorgänge'!$J$8:$J$207,35),'Offene Vorgänge'!$J$8:$J$207,0))),"")</x:f>
      </x:c>
      <x:c r="F42" s="50" t="str">
        <x:f>IFERROR(IF(SMALL('Offene Vorgänge'!$J$8:$J$207,35)&gt;=1E+90,"",INDEX('Offene Vorgänge'!$F$8:$F$207,MATCH(SMALL('Offene Vorgänge'!$J$8:$J$207,35),'Offene Vorgänge'!$J$8:$J$207,0))),"")</x:f>
      </x:c>
      <x:c r="G42" s="50" t="str">
        <x:f>IF($E42="","",IF($C42="","ohne Frist",IF($C42&lt;TODAY(),"überfällig","offen")))</x:f>
      </x:c>
      <x:c r="H42" s="44" t="str">
        <x:f>IFERROR(IF(SMALL('Offene Vorgänge'!$J$8:$J$207,35)&gt;=1E+90,"",INDEX('Offene Vorgänge'!$H$8:$H$207,MATCH(SMALL('Offene Vorgänge'!$J$8:$J$207,35),'Offene Vorgänge'!$J$8:$J$207,0))),"")</x:f>
      </x:c>
      <x:c r="I42" s="1"/>
      <x:c r="J42" s="1"/>
      <x:c r="K42" s="1"/>
      <x:c r="L42" s="1"/>
      <x:c r="M42" s="1"/>
      <x:c r="N42" s="1"/>
      <x:c r="O42" s="1"/>
      <x:c r="P42" s="1"/>
      <x:c r="Q42" s="1"/>
      <x:c r="R42" s="1"/>
      <x:c r="S42" s="1"/>
      <x:c r="T42" s="1"/>
    </x:row>
    <x:row r="43" ht="18" customHeight="1">
      <x:c r="A43" s="1"/>
      <x:c r="B43" s="47" t="str">
        <x:f>IF($E43="","",36)</x:f>
      </x:c>
      <x:c r="C43" s="49" t="str">
        <x:f>IFERROR(IF(SMALL('Offene Vorgänge'!$J$8:$J$207,36)&gt;=1E+90,"",INDEX('Offene Vorgänge'!$C$8:$C$207,MATCH(SMALL('Offene Vorgänge'!$J$8:$J$207,36),'Offene Vorgänge'!$J$8:$J$207,0))),"")</x:f>
      </x:c>
      <x:c r="D43" s="50" t="str">
        <x:f>IFERROR(IF(SMALL('Offene Vorgänge'!$J$8:$J$207,36)&gt;=1E+90,"",INDEX('Offene Vorgänge'!$D$8:$D$207,MATCH(SMALL('Offene Vorgänge'!$J$8:$J$207,36),'Offene Vorgänge'!$J$8:$J$207,0))),"")</x:f>
      </x:c>
      <x:c r="E43" s="44" t="str">
        <x:f>IFERROR(IF(SMALL('Offene Vorgänge'!$J$8:$J$207,36)&gt;=1E+90,"",INDEX('Offene Vorgänge'!$E$8:$E$207,MATCH(SMALL('Offene Vorgänge'!$J$8:$J$207,36),'Offene Vorgänge'!$J$8:$J$207,0))),"")</x:f>
      </x:c>
      <x:c r="F43" s="50" t="str">
        <x:f>IFERROR(IF(SMALL('Offene Vorgänge'!$J$8:$J$207,36)&gt;=1E+90,"",INDEX('Offene Vorgänge'!$F$8:$F$207,MATCH(SMALL('Offene Vorgänge'!$J$8:$J$207,36),'Offene Vorgänge'!$J$8:$J$207,0))),"")</x:f>
      </x:c>
      <x:c r="G43" s="50" t="str">
        <x:f>IF($E43="","",IF($C43="","ohne Frist",IF($C43&lt;TODAY(),"überfällig","offen")))</x:f>
      </x:c>
      <x:c r="H43" s="44" t="str">
        <x:f>IFERROR(IF(SMALL('Offene Vorgänge'!$J$8:$J$207,36)&gt;=1E+90,"",INDEX('Offene Vorgänge'!$H$8:$H$207,MATCH(SMALL('Offene Vorgänge'!$J$8:$J$207,36),'Offene Vorgänge'!$J$8:$J$207,0))),"")</x:f>
      </x:c>
      <x:c r="I43" s="1"/>
      <x:c r="J43" s="1"/>
      <x:c r="K43" s="1"/>
      <x:c r="L43" s="1"/>
      <x:c r="M43" s="1"/>
      <x:c r="N43" s="1"/>
      <x:c r="O43" s="1"/>
      <x:c r="P43" s="1"/>
      <x:c r="Q43" s="1"/>
      <x:c r="R43" s="1"/>
      <x:c r="S43" s="1"/>
      <x:c r="T43" s="1"/>
    </x:row>
    <x:row r="44" ht="18" customHeight="1">
      <x:c r="A44" s="1"/>
      <x:c r="B44" s="47" t="str">
        <x:f>IF($E44="","",37)</x:f>
      </x:c>
      <x:c r="C44" s="49" t="str">
        <x:f>IFERROR(IF(SMALL('Offene Vorgänge'!$J$8:$J$207,37)&gt;=1E+90,"",INDEX('Offene Vorgänge'!$C$8:$C$207,MATCH(SMALL('Offene Vorgänge'!$J$8:$J$207,37),'Offene Vorgänge'!$J$8:$J$207,0))),"")</x:f>
      </x:c>
      <x:c r="D44" s="50" t="str">
        <x:f>IFERROR(IF(SMALL('Offene Vorgänge'!$J$8:$J$207,37)&gt;=1E+90,"",INDEX('Offene Vorgänge'!$D$8:$D$207,MATCH(SMALL('Offene Vorgänge'!$J$8:$J$207,37),'Offene Vorgänge'!$J$8:$J$207,0))),"")</x:f>
      </x:c>
      <x:c r="E44" s="44" t="str">
        <x:f>IFERROR(IF(SMALL('Offene Vorgänge'!$J$8:$J$207,37)&gt;=1E+90,"",INDEX('Offene Vorgänge'!$E$8:$E$207,MATCH(SMALL('Offene Vorgänge'!$J$8:$J$207,37),'Offene Vorgänge'!$J$8:$J$207,0))),"")</x:f>
      </x:c>
      <x:c r="F44" s="50" t="str">
        <x:f>IFERROR(IF(SMALL('Offene Vorgänge'!$J$8:$J$207,37)&gt;=1E+90,"",INDEX('Offene Vorgänge'!$F$8:$F$207,MATCH(SMALL('Offene Vorgänge'!$J$8:$J$207,37),'Offene Vorgänge'!$J$8:$J$207,0))),"")</x:f>
      </x:c>
      <x:c r="G44" s="50" t="str">
        <x:f>IF($E44="","",IF($C44="","ohne Frist",IF($C44&lt;TODAY(),"überfällig","offen")))</x:f>
      </x:c>
      <x:c r="H44" s="44" t="str">
        <x:f>IFERROR(IF(SMALL('Offene Vorgänge'!$J$8:$J$207,37)&gt;=1E+90,"",INDEX('Offene Vorgänge'!$H$8:$H$207,MATCH(SMALL('Offene Vorgänge'!$J$8:$J$207,37),'Offene Vorgänge'!$J$8:$J$207,0))),"")</x:f>
      </x:c>
      <x:c r="I44" s="1"/>
      <x:c r="J44" s="1"/>
      <x:c r="K44" s="1"/>
      <x:c r="L44" s="1"/>
      <x:c r="M44" s="1"/>
      <x:c r="N44" s="1"/>
      <x:c r="O44" s="1"/>
      <x:c r="P44" s="1"/>
      <x:c r="Q44" s="1"/>
      <x:c r="R44" s="1"/>
      <x:c r="S44" s="1"/>
      <x:c r="T44" s="1"/>
    </x:row>
    <x:row r="45" ht="18" customHeight="1">
      <x:c r="A45" s="1"/>
      <x:c r="B45" s="47" t="str">
        <x:f>IF($E45="","",38)</x:f>
      </x:c>
      <x:c r="C45" s="49" t="str">
        <x:f>IFERROR(IF(SMALL('Offene Vorgänge'!$J$8:$J$207,38)&gt;=1E+90,"",INDEX('Offene Vorgänge'!$C$8:$C$207,MATCH(SMALL('Offene Vorgänge'!$J$8:$J$207,38),'Offene Vorgänge'!$J$8:$J$207,0))),"")</x:f>
      </x:c>
      <x:c r="D45" s="50" t="str">
        <x:f>IFERROR(IF(SMALL('Offene Vorgänge'!$J$8:$J$207,38)&gt;=1E+90,"",INDEX('Offene Vorgänge'!$D$8:$D$207,MATCH(SMALL('Offene Vorgänge'!$J$8:$J$207,38),'Offene Vorgänge'!$J$8:$J$207,0))),"")</x:f>
      </x:c>
      <x:c r="E45" s="44" t="str">
        <x:f>IFERROR(IF(SMALL('Offene Vorgänge'!$J$8:$J$207,38)&gt;=1E+90,"",INDEX('Offene Vorgänge'!$E$8:$E$207,MATCH(SMALL('Offene Vorgänge'!$J$8:$J$207,38),'Offene Vorgänge'!$J$8:$J$207,0))),"")</x:f>
      </x:c>
      <x:c r="F45" s="50" t="str">
        <x:f>IFERROR(IF(SMALL('Offene Vorgänge'!$J$8:$J$207,38)&gt;=1E+90,"",INDEX('Offene Vorgänge'!$F$8:$F$207,MATCH(SMALL('Offene Vorgänge'!$J$8:$J$207,38),'Offene Vorgänge'!$J$8:$J$207,0))),"")</x:f>
      </x:c>
      <x:c r="G45" s="50" t="str">
        <x:f>IF($E45="","",IF($C45="","ohne Frist",IF($C45&lt;TODAY(),"überfällig","offen")))</x:f>
      </x:c>
      <x:c r="H45" s="44" t="str">
        <x:f>IFERROR(IF(SMALL('Offene Vorgänge'!$J$8:$J$207,38)&gt;=1E+90,"",INDEX('Offene Vorgänge'!$H$8:$H$207,MATCH(SMALL('Offene Vorgänge'!$J$8:$J$207,38),'Offene Vorgänge'!$J$8:$J$207,0))),"")</x:f>
      </x:c>
      <x:c r="I45" s="1"/>
      <x:c r="J45" s="1"/>
      <x:c r="K45" s="1"/>
      <x:c r="L45" s="1"/>
      <x:c r="M45" s="1"/>
      <x:c r="N45" s="1"/>
      <x:c r="O45" s="1"/>
      <x:c r="P45" s="1"/>
      <x:c r="Q45" s="1"/>
      <x:c r="R45" s="1"/>
      <x:c r="S45" s="1"/>
      <x:c r="T45" s="1"/>
    </x:row>
    <x:row r="46" ht="18" customHeight="1">
      <x:c r="A46" s="1"/>
      <x:c r="B46" s="47" t="str">
        <x:f>IF($E46="","",39)</x:f>
      </x:c>
      <x:c r="C46" s="49" t="str">
        <x:f>IFERROR(IF(SMALL('Offene Vorgänge'!$J$8:$J$207,39)&gt;=1E+90,"",INDEX('Offene Vorgänge'!$C$8:$C$207,MATCH(SMALL('Offene Vorgänge'!$J$8:$J$207,39),'Offene Vorgänge'!$J$8:$J$207,0))),"")</x:f>
      </x:c>
      <x:c r="D46" s="50" t="str">
        <x:f>IFERROR(IF(SMALL('Offene Vorgänge'!$J$8:$J$207,39)&gt;=1E+90,"",INDEX('Offene Vorgänge'!$D$8:$D$207,MATCH(SMALL('Offene Vorgänge'!$J$8:$J$207,39),'Offene Vorgänge'!$J$8:$J$207,0))),"")</x:f>
      </x:c>
      <x:c r="E46" s="44" t="str">
        <x:f>IFERROR(IF(SMALL('Offene Vorgänge'!$J$8:$J$207,39)&gt;=1E+90,"",INDEX('Offene Vorgänge'!$E$8:$E$207,MATCH(SMALL('Offene Vorgänge'!$J$8:$J$207,39),'Offene Vorgänge'!$J$8:$J$207,0))),"")</x:f>
      </x:c>
      <x:c r="F46" s="50" t="str">
        <x:f>IFERROR(IF(SMALL('Offene Vorgänge'!$J$8:$J$207,39)&gt;=1E+90,"",INDEX('Offene Vorgänge'!$F$8:$F$207,MATCH(SMALL('Offene Vorgänge'!$J$8:$J$207,39),'Offene Vorgänge'!$J$8:$J$207,0))),"")</x:f>
      </x:c>
      <x:c r="G46" s="50" t="str">
        <x:f>IF($E46="","",IF($C46="","ohne Frist",IF($C46&lt;TODAY(),"überfällig","offen")))</x:f>
      </x:c>
      <x:c r="H46" s="44" t="str">
        <x:f>IFERROR(IF(SMALL('Offene Vorgänge'!$J$8:$J$207,39)&gt;=1E+90,"",INDEX('Offene Vorgänge'!$H$8:$H$207,MATCH(SMALL('Offene Vorgänge'!$J$8:$J$207,39),'Offene Vorgänge'!$J$8:$J$207,0))),"")</x:f>
      </x:c>
      <x:c r="I46" s="1"/>
      <x:c r="J46" s="1"/>
      <x:c r="K46" s="1"/>
      <x:c r="L46" s="1"/>
      <x:c r="M46" s="1"/>
      <x:c r="N46" s="1"/>
      <x:c r="O46" s="1"/>
      <x:c r="P46" s="1"/>
      <x:c r="Q46" s="1"/>
      <x:c r="R46" s="1"/>
      <x:c r="S46" s="1"/>
      <x:c r="T46" s="1"/>
    </x:row>
    <x:row r="47" ht="18" customHeight="1">
      <x:c r="A47" s="1"/>
      <x:c r="B47" s="47" t="str">
        <x:f>IF($E47="","",40)</x:f>
      </x:c>
      <x:c r="C47" s="49" t="str">
        <x:f>IFERROR(IF(SMALL('Offene Vorgänge'!$J$8:$J$207,40)&gt;=1E+90,"",INDEX('Offene Vorgänge'!$C$8:$C$207,MATCH(SMALL('Offene Vorgänge'!$J$8:$J$207,40),'Offene Vorgänge'!$J$8:$J$207,0))),"")</x:f>
      </x:c>
      <x:c r="D47" s="50" t="str">
        <x:f>IFERROR(IF(SMALL('Offene Vorgänge'!$J$8:$J$207,40)&gt;=1E+90,"",INDEX('Offene Vorgänge'!$D$8:$D$207,MATCH(SMALL('Offene Vorgänge'!$J$8:$J$207,40),'Offene Vorgänge'!$J$8:$J$207,0))),"")</x:f>
      </x:c>
      <x:c r="E47" s="44" t="str">
        <x:f>IFERROR(IF(SMALL('Offene Vorgänge'!$J$8:$J$207,40)&gt;=1E+90,"",INDEX('Offene Vorgänge'!$E$8:$E$207,MATCH(SMALL('Offene Vorgänge'!$J$8:$J$207,40),'Offene Vorgänge'!$J$8:$J$207,0))),"")</x:f>
      </x:c>
      <x:c r="F47" s="50" t="str">
        <x:f>IFERROR(IF(SMALL('Offene Vorgänge'!$J$8:$J$207,40)&gt;=1E+90,"",INDEX('Offene Vorgänge'!$F$8:$F$207,MATCH(SMALL('Offene Vorgänge'!$J$8:$J$207,40),'Offene Vorgänge'!$J$8:$J$207,0))),"")</x:f>
      </x:c>
      <x:c r="G47" s="50" t="str">
        <x:f>IF($E47="","",IF($C47="","ohne Frist",IF($C47&lt;TODAY(),"überfällig","offen")))</x:f>
      </x:c>
      <x:c r="H47" s="44" t="str">
        <x:f>IFERROR(IF(SMALL('Offene Vorgänge'!$J$8:$J$207,40)&gt;=1E+90,"",INDEX('Offene Vorgänge'!$H$8:$H$207,MATCH(SMALL('Offene Vorgänge'!$J$8:$J$207,40),'Offene Vorgänge'!$J$8:$J$207,0))),"")</x:f>
      </x:c>
      <x:c r="I47" s="1"/>
      <x:c r="J47" s="1"/>
      <x:c r="K47" s="1"/>
      <x:c r="L47" s="1"/>
      <x:c r="M47" s="1"/>
      <x:c r="N47" s="1"/>
      <x:c r="O47" s="1"/>
      <x:c r="P47" s="1"/>
      <x:c r="Q47" s="1"/>
      <x:c r="R47" s="1"/>
      <x:c r="S47" s="1"/>
      <x:c r="T47" s="1"/>
    </x:row>
    <x:row r="48" ht="18" customHeight="1">
      <x:c r="A48" s="1"/>
      <x:c r="B48" s="47" t="str">
        <x:f>IF($E48="","",41)</x:f>
      </x:c>
      <x:c r="C48" s="49" t="str">
        <x:f>IFERROR(IF(SMALL('Offene Vorgänge'!$J$8:$J$207,41)&gt;=1E+90,"",INDEX('Offene Vorgänge'!$C$8:$C$207,MATCH(SMALL('Offene Vorgänge'!$J$8:$J$207,41),'Offene Vorgänge'!$J$8:$J$207,0))),"")</x:f>
      </x:c>
      <x:c r="D48" s="50" t="str">
        <x:f>IFERROR(IF(SMALL('Offene Vorgänge'!$J$8:$J$207,41)&gt;=1E+90,"",INDEX('Offene Vorgänge'!$D$8:$D$207,MATCH(SMALL('Offene Vorgänge'!$J$8:$J$207,41),'Offene Vorgänge'!$J$8:$J$207,0))),"")</x:f>
      </x:c>
      <x:c r="E48" s="44" t="str">
        <x:f>IFERROR(IF(SMALL('Offene Vorgänge'!$J$8:$J$207,41)&gt;=1E+90,"",INDEX('Offene Vorgänge'!$E$8:$E$207,MATCH(SMALL('Offene Vorgänge'!$J$8:$J$207,41),'Offene Vorgänge'!$J$8:$J$207,0))),"")</x:f>
      </x:c>
      <x:c r="F48" s="50" t="str">
        <x:f>IFERROR(IF(SMALL('Offene Vorgänge'!$J$8:$J$207,41)&gt;=1E+90,"",INDEX('Offene Vorgänge'!$F$8:$F$207,MATCH(SMALL('Offene Vorgänge'!$J$8:$J$207,41),'Offene Vorgänge'!$J$8:$J$207,0))),"")</x:f>
      </x:c>
      <x:c r="G48" s="50" t="str">
        <x:f>IF($E48="","",IF($C48="","ohne Frist",IF($C48&lt;TODAY(),"überfällig","offen")))</x:f>
      </x:c>
      <x:c r="H48" s="44" t="str">
        <x:f>IFERROR(IF(SMALL('Offene Vorgänge'!$J$8:$J$207,41)&gt;=1E+90,"",INDEX('Offene Vorgänge'!$H$8:$H$207,MATCH(SMALL('Offene Vorgänge'!$J$8:$J$207,41),'Offene Vorgänge'!$J$8:$J$207,0))),"")</x:f>
      </x:c>
      <x:c r="I48" s="1"/>
      <x:c r="J48" s="1"/>
      <x:c r="K48" s="1"/>
      <x:c r="L48" s="1"/>
      <x:c r="M48" s="1"/>
      <x:c r="N48" s="1"/>
      <x:c r="O48" s="1"/>
      <x:c r="P48" s="1"/>
      <x:c r="Q48" s="1"/>
      <x:c r="R48" s="1"/>
      <x:c r="S48" s="1"/>
      <x:c r="T48" s="1"/>
    </x:row>
    <x:row r="49" ht="18" customHeight="1">
      <x:c r="A49" s="1"/>
      <x:c r="B49" s="47" t="str">
        <x:f>IF($E49="","",42)</x:f>
      </x:c>
      <x:c r="C49" s="49" t="str">
        <x:f>IFERROR(IF(SMALL('Offene Vorgänge'!$J$8:$J$207,42)&gt;=1E+90,"",INDEX('Offene Vorgänge'!$C$8:$C$207,MATCH(SMALL('Offene Vorgänge'!$J$8:$J$207,42),'Offene Vorgänge'!$J$8:$J$207,0))),"")</x:f>
      </x:c>
      <x:c r="D49" s="50" t="str">
        <x:f>IFERROR(IF(SMALL('Offene Vorgänge'!$J$8:$J$207,42)&gt;=1E+90,"",INDEX('Offene Vorgänge'!$D$8:$D$207,MATCH(SMALL('Offene Vorgänge'!$J$8:$J$207,42),'Offene Vorgänge'!$J$8:$J$207,0))),"")</x:f>
      </x:c>
      <x:c r="E49" s="44" t="str">
        <x:f>IFERROR(IF(SMALL('Offene Vorgänge'!$J$8:$J$207,42)&gt;=1E+90,"",INDEX('Offene Vorgänge'!$E$8:$E$207,MATCH(SMALL('Offene Vorgänge'!$J$8:$J$207,42),'Offene Vorgänge'!$J$8:$J$207,0))),"")</x:f>
      </x:c>
      <x:c r="F49" s="50" t="str">
        <x:f>IFERROR(IF(SMALL('Offene Vorgänge'!$J$8:$J$207,42)&gt;=1E+90,"",INDEX('Offene Vorgänge'!$F$8:$F$207,MATCH(SMALL('Offene Vorgänge'!$J$8:$J$207,42),'Offene Vorgänge'!$J$8:$J$207,0))),"")</x:f>
      </x:c>
      <x:c r="G49" s="50" t="str">
        <x:f>IF($E49="","",IF($C49="","ohne Frist",IF($C49&lt;TODAY(),"überfällig","offen")))</x:f>
      </x:c>
      <x:c r="H49" s="44" t="str">
        <x:f>IFERROR(IF(SMALL('Offene Vorgänge'!$J$8:$J$207,42)&gt;=1E+90,"",INDEX('Offene Vorgänge'!$H$8:$H$207,MATCH(SMALL('Offene Vorgänge'!$J$8:$J$207,42),'Offene Vorgänge'!$J$8:$J$207,0))),"")</x:f>
      </x:c>
      <x:c r="I49" s="1"/>
      <x:c r="J49" s="1"/>
      <x:c r="K49" s="1"/>
      <x:c r="L49" s="1"/>
      <x:c r="M49" s="1"/>
      <x:c r="N49" s="1"/>
      <x:c r="O49" s="1"/>
      <x:c r="P49" s="1"/>
      <x:c r="Q49" s="1"/>
      <x:c r="R49" s="1"/>
      <x:c r="S49" s="1"/>
      <x:c r="T49" s="1"/>
    </x:row>
    <x:row r="50" ht="18" customHeight="1">
      <x:c r="A50" s="1"/>
      <x:c r="B50" s="47" t="str">
        <x:f>IF($E50="","",43)</x:f>
      </x:c>
      <x:c r="C50" s="49" t="str">
        <x:f>IFERROR(IF(SMALL('Offene Vorgänge'!$J$8:$J$207,43)&gt;=1E+90,"",INDEX('Offene Vorgänge'!$C$8:$C$207,MATCH(SMALL('Offene Vorgänge'!$J$8:$J$207,43),'Offene Vorgänge'!$J$8:$J$207,0))),"")</x:f>
      </x:c>
      <x:c r="D50" s="50" t="str">
        <x:f>IFERROR(IF(SMALL('Offene Vorgänge'!$J$8:$J$207,43)&gt;=1E+90,"",INDEX('Offene Vorgänge'!$D$8:$D$207,MATCH(SMALL('Offene Vorgänge'!$J$8:$J$207,43),'Offene Vorgänge'!$J$8:$J$207,0))),"")</x:f>
      </x:c>
      <x:c r="E50" s="44" t="str">
        <x:f>IFERROR(IF(SMALL('Offene Vorgänge'!$J$8:$J$207,43)&gt;=1E+90,"",INDEX('Offene Vorgänge'!$E$8:$E$207,MATCH(SMALL('Offene Vorgänge'!$J$8:$J$207,43),'Offene Vorgänge'!$J$8:$J$207,0))),"")</x:f>
      </x:c>
      <x:c r="F50" s="50" t="str">
        <x:f>IFERROR(IF(SMALL('Offene Vorgänge'!$J$8:$J$207,43)&gt;=1E+90,"",INDEX('Offene Vorgänge'!$F$8:$F$207,MATCH(SMALL('Offene Vorgänge'!$J$8:$J$207,43),'Offene Vorgänge'!$J$8:$J$207,0))),"")</x:f>
      </x:c>
      <x:c r="G50" s="50" t="str">
        <x:f>IF($E50="","",IF($C50="","ohne Frist",IF($C50&lt;TODAY(),"überfällig","offen")))</x:f>
      </x:c>
      <x:c r="H50" s="44" t="str">
        <x:f>IFERROR(IF(SMALL('Offene Vorgänge'!$J$8:$J$207,43)&gt;=1E+90,"",INDEX('Offene Vorgänge'!$H$8:$H$207,MATCH(SMALL('Offene Vorgänge'!$J$8:$J$207,43),'Offene Vorgänge'!$J$8:$J$207,0))),"")</x:f>
      </x:c>
      <x:c r="I50" s="1"/>
      <x:c r="J50" s="1"/>
      <x:c r="K50" s="1"/>
      <x:c r="L50" s="1"/>
      <x:c r="M50" s="1"/>
      <x:c r="N50" s="1"/>
      <x:c r="O50" s="1"/>
      <x:c r="P50" s="1"/>
      <x:c r="Q50" s="1"/>
      <x:c r="R50" s="1"/>
      <x:c r="S50" s="1"/>
      <x:c r="T50" s="1"/>
    </x:row>
    <x:row r="51" ht="18" customHeight="1">
      <x:c r="A51" s="1"/>
      <x:c r="B51" s="47" t="str">
        <x:f>IF($E51="","",44)</x:f>
      </x:c>
      <x:c r="C51" s="49" t="str">
        <x:f>IFERROR(IF(SMALL('Offene Vorgänge'!$J$8:$J$207,44)&gt;=1E+90,"",INDEX('Offene Vorgänge'!$C$8:$C$207,MATCH(SMALL('Offene Vorgänge'!$J$8:$J$207,44),'Offene Vorgänge'!$J$8:$J$207,0))),"")</x:f>
      </x:c>
      <x:c r="D51" s="50" t="str">
        <x:f>IFERROR(IF(SMALL('Offene Vorgänge'!$J$8:$J$207,44)&gt;=1E+90,"",INDEX('Offene Vorgänge'!$D$8:$D$207,MATCH(SMALL('Offene Vorgänge'!$J$8:$J$207,44),'Offene Vorgänge'!$J$8:$J$207,0))),"")</x:f>
      </x:c>
      <x:c r="E51" s="44" t="str">
        <x:f>IFERROR(IF(SMALL('Offene Vorgänge'!$J$8:$J$207,44)&gt;=1E+90,"",INDEX('Offene Vorgänge'!$E$8:$E$207,MATCH(SMALL('Offene Vorgänge'!$J$8:$J$207,44),'Offene Vorgänge'!$J$8:$J$207,0))),"")</x:f>
      </x:c>
      <x:c r="F51" s="50" t="str">
        <x:f>IFERROR(IF(SMALL('Offene Vorgänge'!$J$8:$J$207,44)&gt;=1E+90,"",INDEX('Offene Vorgänge'!$F$8:$F$207,MATCH(SMALL('Offene Vorgänge'!$J$8:$J$207,44),'Offene Vorgänge'!$J$8:$J$207,0))),"")</x:f>
      </x:c>
      <x:c r="G51" s="50" t="str">
        <x:f>IF($E51="","",IF($C51="","ohne Frist",IF($C51&lt;TODAY(),"überfällig","offen")))</x:f>
      </x:c>
      <x:c r="H51" s="44" t="str">
        <x:f>IFERROR(IF(SMALL('Offene Vorgänge'!$J$8:$J$207,44)&gt;=1E+90,"",INDEX('Offene Vorgänge'!$H$8:$H$207,MATCH(SMALL('Offene Vorgänge'!$J$8:$J$207,44),'Offene Vorgänge'!$J$8:$J$207,0))),"")</x:f>
      </x:c>
      <x:c r="I51" s="1"/>
      <x:c r="J51" s="1"/>
      <x:c r="K51" s="1"/>
      <x:c r="L51" s="1"/>
      <x:c r="M51" s="1"/>
      <x:c r="N51" s="1"/>
      <x:c r="O51" s="1"/>
      <x:c r="P51" s="1"/>
      <x:c r="Q51" s="1"/>
      <x:c r="R51" s="1"/>
      <x:c r="S51" s="1"/>
      <x:c r="T51" s="1"/>
    </x:row>
    <x:row r="52" ht="18" customHeight="1">
      <x:c r="A52" s="1"/>
      <x:c r="B52" s="47" t="str">
        <x:f>IF($E52="","",45)</x:f>
      </x:c>
      <x:c r="C52" s="49" t="str">
        <x:f>IFERROR(IF(SMALL('Offene Vorgänge'!$J$8:$J$207,45)&gt;=1E+90,"",INDEX('Offene Vorgänge'!$C$8:$C$207,MATCH(SMALL('Offene Vorgänge'!$J$8:$J$207,45),'Offene Vorgänge'!$J$8:$J$207,0))),"")</x:f>
      </x:c>
      <x:c r="D52" s="50" t="str">
        <x:f>IFERROR(IF(SMALL('Offene Vorgänge'!$J$8:$J$207,45)&gt;=1E+90,"",INDEX('Offene Vorgänge'!$D$8:$D$207,MATCH(SMALL('Offene Vorgänge'!$J$8:$J$207,45),'Offene Vorgänge'!$J$8:$J$207,0))),"")</x:f>
      </x:c>
      <x:c r="E52" s="44" t="str">
        <x:f>IFERROR(IF(SMALL('Offene Vorgänge'!$J$8:$J$207,45)&gt;=1E+90,"",INDEX('Offene Vorgänge'!$E$8:$E$207,MATCH(SMALL('Offene Vorgänge'!$J$8:$J$207,45),'Offene Vorgänge'!$J$8:$J$207,0))),"")</x:f>
      </x:c>
      <x:c r="F52" s="50" t="str">
        <x:f>IFERROR(IF(SMALL('Offene Vorgänge'!$J$8:$J$207,45)&gt;=1E+90,"",INDEX('Offene Vorgänge'!$F$8:$F$207,MATCH(SMALL('Offene Vorgänge'!$J$8:$J$207,45),'Offene Vorgänge'!$J$8:$J$207,0))),"")</x:f>
      </x:c>
      <x:c r="G52" s="50" t="str">
        <x:f>IF($E52="","",IF($C52="","ohne Frist",IF($C52&lt;TODAY(),"überfällig","offen")))</x:f>
      </x:c>
      <x:c r="H52" s="44" t="str">
        <x:f>IFERROR(IF(SMALL('Offene Vorgänge'!$J$8:$J$207,45)&gt;=1E+90,"",INDEX('Offene Vorgänge'!$H$8:$H$207,MATCH(SMALL('Offene Vorgänge'!$J$8:$J$207,45),'Offene Vorgänge'!$J$8:$J$207,0))),"")</x:f>
      </x:c>
      <x:c r="I52" s="1"/>
      <x:c r="J52" s="1"/>
      <x:c r="K52" s="1"/>
      <x:c r="L52" s="1"/>
      <x:c r="M52" s="1"/>
      <x:c r="N52" s="1"/>
      <x:c r="O52" s="1"/>
      <x:c r="P52" s="1"/>
      <x:c r="Q52" s="1"/>
      <x:c r="R52" s="1"/>
      <x:c r="S52" s="1"/>
      <x:c r="T52" s="1"/>
    </x:row>
    <x:row r="53" ht="18" customHeight="1">
      <x:c r="A53" s="1"/>
      <x:c r="B53" s="47" t="str">
        <x:f>IF($E53="","",46)</x:f>
      </x:c>
      <x:c r="C53" s="49" t="str">
        <x:f>IFERROR(IF(SMALL('Offene Vorgänge'!$J$8:$J$207,46)&gt;=1E+90,"",INDEX('Offene Vorgänge'!$C$8:$C$207,MATCH(SMALL('Offene Vorgänge'!$J$8:$J$207,46),'Offene Vorgänge'!$J$8:$J$207,0))),"")</x:f>
      </x:c>
      <x:c r="D53" s="50" t="str">
        <x:f>IFERROR(IF(SMALL('Offene Vorgänge'!$J$8:$J$207,46)&gt;=1E+90,"",INDEX('Offene Vorgänge'!$D$8:$D$207,MATCH(SMALL('Offene Vorgänge'!$J$8:$J$207,46),'Offene Vorgänge'!$J$8:$J$207,0))),"")</x:f>
      </x:c>
      <x:c r="E53" s="44" t="str">
        <x:f>IFERROR(IF(SMALL('Offene Vorgänge'!$J$8:$J$207,46)&gt;=1E+90,"",INDEX('Offene Vorgänge'!$E$8:$E$207,MATCH(SMALL('Offene Vorgänge'!$J$8:$J$207,46),'Offene Vorgänge'!$J$8:$J$207,0))),"")</x:f>
      </x:c>
      <x:c r="F53" s="50" t="str">
        <x:f>IFERROR(IF(SMALL('Offene Vorgänge'!$J$8:$J$207,46)&gt;=1E+90,"",INDEX('Offene Vorgänge'!$F$8:$F$207,MATCH(SMALL('Offene Vorgänge'!$J$8:$J$207,46),'Offene Vorgänge'!$J$8:$J$207,0))),"")</x:f>
      </x:c>
      <x:c r="G53" s="50" t="str">
        <x:f>IF($E53="","",IF($C53="","ohne Frist",IF($C53&lt;TODAY(),"überfällig","offen")))</x:f>
      </x:c>
      <x:c r="H53" s="44" t="str">
        <x:f>IFERROR(IF(SMALL('Offene Vorgänge'!$J$8:$J$207,46)&gt;=1E+90,"",INDEX('Offene Vorgänge'!$H$8:$H$207,MATCH(SMALL('Offene Vorgänge'!$J$8:$J$207,46),'Offene Vorgänge'!$J$8:$J$207,0))),"")</x:f>
      </x:c>
      <x:c r="I53" s="1"/>
      <x:c r="J53" s="1"/>
      <x:c r="K53" s="1"/>
      <x:c r="L53" s="1"/>
      <x:c r="M53" s="1"/>
      <x:c r="N53" s="1"/>
      <x:c r="O53" s="1"/>
      <x:c r="P53" s="1"/>
      <x:c r="Q53" s="1"/>
      <x:c r="R53" s="1"/>
      <x:c r="S53" s="1"/>
      <x:c r="T53" s="1"/>
    </x:row>
    <x:row r="54" ht="18" customHeight="1">
      <x:c r="A54" s="1"/>
      <x:c r="B54" s="47" t="str">
        <x:f>IF($E54="","",47)</x:f>
      </x:c>
      <x:c r="C54" s="49" t="str">
        <x:f>IFERROR(IF(SMALL('Offene Vorgänge'!$J$8:$J$207,47)&gt;=1E+90,"",INDEX('Offene Vorgänge'!$C$8:$C$207,MATCH(SMALL('Offene Vorgänge'!$J$8:$J$207,47),'Offene Vorgänge'!$J$8:$J$207,0))),"")</x:f>
      </x:c>
      <x:c r="D54" s="50" t="str">
        <x:f>IFERROR(IF(SMALL('Offene Vorgänge'!$J$8:$J$207,47)&gt;=1E+90,"",INDEX('Offene Vorgänge'!$D$8:$D$207,MATCH(SMALL('Offene Vorgänge'!$J$8:$J$207,47),'Offene Vorgänge'!$J$8:$J$207,0))),"")</x:f>
      </x:c>
      <x:c r="E54" s="44" t="str">
        <x:f>IFERROR(IF(SMALL('Offene Vorgänge'!$J$8:$J$207,47)&gt;=1E+90,"",INDEX('Offene Vorgänge'!$E$8:$E$207,MATCH(SMALL('Offene Vorgänge'!$J$8:$J$207,47),'Offene Vorgänge'!$J$8:$J$207,0))),"")</x:f>
      </x:c>
      <x:c r="F54" s="50" t="str">
        <x:f>IFERROR(IF(SMALL('Offene Vorgänge'!$J$8:$J$207,47)&gt;=1E+90,"",INDEX('Offene Vorgänge'!$F$8:$F$207,MATCH(SMALL('Offene Vorgänge'!$J$8:$J$207,47),'Offene Vorgänge'!$J$8:$J$207,0))),"")</x:f>
      </x:c>
      <x:c r="G54" s="50" t="str">
        <x:f>IF($E54="","",IF($C54="","ohne Frist",IF($C54&lt;TODAY(),"überfällig","offen")))</x:f>
      </x:c>
      <x:c r="H54" s="44" t="str">
        <x:f>IFERROR(IF(SMALL('Offene Vorgänge'!$J$8:$J$207,47)&gt;=1E+90,"",INDEX('Offene Vorgänge'!$H$8:$H$207,MATCH(SMALL('Offene Vorgänge'!$J$8:$J$207,47),'Offene Vorgänge'!$J$8:$J$207,0))),"")</x:f>
      </x:c>
      <x:c r="I54" s="1"/>
      <x:c r="J54" s="1"/>
      <x:c r="K54" s="1"/>
      <x:c r="L54" s="1"/>
      <x:c r="M54" s="1"/>
      <x:c r="N54" s="1"/>
      <x:c r="O54" s="1"/>
      <x:c r="P54" s="1"/>
      <x:c r="Q54" s="1"/>
      <x:c r="R54" s="1"/>
      <x:c r="S54" s="1"/>
      <x:c r="T54" s="1"/>
    </x:row>
    <x:row r="55" ht="18" customHeight="1">
      <x:c r="A55" s="1"/>
      <x:c r="B55" s="47" t="str">
        <x:f>IF($E55="","",48)</x:f>
      </x:c>
      <x:c r="C55" s="49" t="str">
        <x:f>IFERROR(IF(SMALL('Offene Vorgänge'!$J$8:$J$207,48)&gt;=1E+90,"",INDEX('Offene Vorgänge'!$C$8:$C$207,MATCH(SMALL('Offene Vorgänge'!$J$8:$J$207,48),'Offene Vorgänge'!$J$8:$J$207,0))),"")</x:f>
      </x:c>
      <x:c r="D55" s="50" t="str">
        <x:f>IFERROR(IF(SMALL('Offene Vorgänge'!$J$8:$J$207,48)&gt;=1E+90,"",INDEX('Offene Vorgänge'!$D$8:$D$207,MATCH(SMALL('Offene Vorgänge'!$J$8:$J$207,48),'Offene Vorgänge'!$J$8:$J$207,0))),"")</x:f>
      </x:c>
      <x:c r="E55" s="44" t="str">
        <x:f>IFERROR(IF(SMALL('Offene Vorgänge'!$J$8:$J$207,48)&gt;=1E+90,"",INDEX('Offene Vorgänge'!$E$8:$E$207,MATCH(SMALL('Offene Vorgänge'!$J$8:$J$207,48),'Offene Vorgänge'!$J$8:$J$207,0))),"")</x:f>
      </x:c>
      <x:c r="F55" s="50" t="str">
        <x:f>IFERROR(IF(SMALL('Offene Vorgänge'!$J$8:$J$207,48)&gt;=1E+90,"",INDEX('Offene Vorgänge'!$F$8:$F$207,MATCH(SMALL('Offene Vorgänge'!$J$8:$J$207,48),'Offene Vorgänge'!$J$8:$J$207,0))),"")</x:f>
      </x:c>
      <x:c r="G55" s="50" t="str">
        <x:f>IF($E55="","",IF($C55="","ohne Frist",IF($C55&lt;TODAY(),"überfällig","offen")))</x:f>
      </x:c>
      <x:c r="H55" s="44" t="str">
        <x:f>IFERROR(IF(SMALL('Offene Vorgänge'!$J$8:$J$207,48)&gt;=1E+90,"",INDEX('Offene Vorgänge'!$H$8:$H$207,MATCH(SMALL('Offene Vorgänge'!$J$8:$J$207,48),'Offene Vorgänge'!$J$8:$J$207,0))),"")</x:f>
      </x:c>
      <x:c r="I55" s="1"/>
      <x:c r="J55" s="1"/>
      <x:c r="K55" s="1"/>
      <x:c r="L55" s="1"/>
      <x:c r="M55" s="1"/>
      <x:c r="N55" s="1"/>
      <x:c r="O55" s="1"/>
      <x:c r="P55" s="1"/>
      <x:c r="Q55" s="1"/>
      <x:c r="R55" s="1"/>
      <x:c r="S55" s="1"/>
      <x:c r="T55" s="1"/>
    </x:row>
    <x:row r="56" ht="18" customHeight="1">
      <x:c r="A56" s="1"/>
      <x:c r="B56" s="47" t="str">
        <x:f>IF($E56="","",49)</x:f>
      </x:c>
      <x:c r="C56" s="49" t="str">
        <x:f>IFERROR(IF(SMALL('Offene Vorgänge'!$J$8:$J$207,49)&gt;=1E+90,"",INDEX('Offene Vorgänge'!$C$8:$C$207,MATCH(SMALL('Offene Vorgänge'!$J$8:$J$207,49),'Offene Vorgänge'!$J$8:$J$207,0))),"")</x:f>
      </x:c>
      <x:c r="D56" s="50" t="str">
        <x:f>IFERROR(IF(SMALL('Offene Vorgänge'!$J$8:$J$207,49)&gt;=1E+90,"",INDEX('Offene Vorgänge'!$D$8:$D$207,MATCH(SMALL('Offene Vorgänge'!$J$8:$J$207,49),'Offene Vorgänge'!$J$8:$J$207,0))),"")</x:f>
      </x:c>
      <x:c r="E56" s="44" t="str">
        <x:f>IFERROR(IF(SMALL('Offene Vorgänge'!$J$8:$J$207,49)&gt;=1E+90,"",INDEX('Offene Vorgänge'!$E$8:$E$207,MATCH(SMALL('Offene Vorgänge'!$J$8:$J$207,49),'Offene Vorgänge'!$J$8:$J$207,0))),"")</x:f>
      </x:c>
      <x:c r="F56" s="50" t="str">
        <x:f>IFERROR(IF(SMALL('Offene Vorgänge'!$J$8:$J$207,49)&gt;=1E+90,"",INDEX('Offene Vorgänge'!$F$8:$F$207,MATCH(SMALL('Offene Vorgänge'!$J$8:$J$207,49),'Offene Vorgänge'!$J$8:$J$207,0))),"")</x:f>
      </x:c>
      <x:c r="G56" s="50" t="str">
        <x:f>IF($E56="","",IF($C56="","ohne Frist",IF($C56&lt;TODAY(),"überfällig","offen")))</x:f>
      </x:c>
      <x:c r="H56" s="44" t="str">
        <x:f>IFERROR(IF(SMALL('Offene Vorgänge'!$J$8:$J$207,49)&gt;=1E+90,"",INDEX('Offene Vorgänge'!$H$8:$H$207,MATCH(SMALL('Offene Vorgänge'!$J$8:$J$207,49),'Offene Vorgänge'!$J$8:$J$207,0))),"")</x:f>
      </x:c>
      <x:c r="I56" s="1"/>
      <x:c r="J56" s="1"/>
      <x:c r="K56" s="1"/>
      <x:c r="L56" s="1"/>
      <x:c r="M56" s="1"/>
      <x:c r="N56" s="1"/>
      <x:c r="O56" s="1"/>
      <x:c r="P56" s="1"/>
      <x:c r="Q56" s="1"/>
      <x:c r="R56" s="1"/>
      <x:c r="S56" s="1"/>
      <x:c r="T56" s="1"/>
    </x:row>
    <x:row r="57" ht="18" customHeight="1">
      <x:c r="A57" s="1"/>
      <x:c r="B57" s="47" t="str">
        <x:f>IF($E57="","",50)</x:f>
      </x:c>
      <x:c r="C57" s="49" t="str">
        <x:f>IFERROR(IF(SMALL('Offene Vorgänge'!$J$8:$J$207,50)&gt;=1E+90,"",INDEX('Offene Vorgänge'!$C$8:$C$207,MATCH(SMALL('Offene Vorgänge'!$J$8:$J$207,50),'Offene Vorgänge'!$J$8:$J$207,0))),"")</x:f>
      </x:c>
      <x:c r="D57" s="50" t="str">
        <x:f>IFERROR(IF(SMALL('Offene Vorgänge'!$J$8:$J$207,50)&gt;=1E+90,"",INDEX('Offene Vorgänge'!$D$8:$D$207,MATCH(SMALL('Offene Vorgänge'!$J$8:$J$207,50),'Offene Vorgänge'!$J$8:$J$207,0))),"")</x:f>
      </x:c>
      <x:c r="E57" s="44" t="str">
        <x:f>IFERROR(IF(SMALL('Offene Vorgänge'!$J$8:$J$207,50)&gt;=1E+90,"",INDEX('Offene Vorgänge'!$E$8:$E$207,MATCH(SMALL('Offene Vorgänge'!$J$8:$J$207,50),'Offene Vorgänge'!$J$8:$J$207,0))),"")</x:f>
      </x:c>
      <x:c r="F57" s="50" t="str">
        <x:f>IFERROR(IF(SMALL('Offene Vorgänge'!$J$8:$J$207,50)&gt;=1E+90,"",INDEX('Offene Vorgänge'!$F$8:$F$207,MATCH(SMALL('Offene Vorgänge'!$J$8:$J$207,50),'Offene Vorgänge'!$J$8:$J$207,0))),"")</x:f>
      </x:c>
      <x:c r="G57" s="50" t="str">
        <x:f>IF($E57="","",IF($C57="","ohne Frist",IF($C57&lt;TODAY(),"überfällig","offen")))</x:f>
      </x:c>
      <x:c r="H57" s="44" t="str">
        <x:f>IFERROR(IF(SMALL('Offene Vorgänge'!$J$8:$J$207,50)&gt;=1E+90,"",INDEX('Offene Vorgänge'!$H$8:$H$207,MATCH(SMALL('Offene Vorgänge'!$J$8:$J$207,50),'Offene Vorgänge'!$J$8:$J$207,0))),"")</x:f>
      </x:c>
      <x:c r="I57" s="1"/>
      <x:c r="J57" s="1"/>
      <x:c r="K57" s="1"/>
      <x:c r="L57" s="1"/>
      <x:c r="M57" s="1"/>
      <x:c r="N57" s="1"/>
      <x:c r="O57" s="1"/>
      <x:c r="P57" s="1"/>
      <x:c r="Q57" s="1"/>
      <x:c r="R57" s="1"/>
      <x:c r="S57" s="1"/>
      <x:c r="T57" s="1"/>
    </x:row>
    <x:row r="58" ht="18" customHeight="1">
      <x:c r="A58" s="1"/>
      <x:c r="B58" s="47" t="str">
        <x:f>IF($E58="","",51)</x:f>
      </x:c>
      <x:c r="C58" s="49" t="str">
        <x:f>IFERROR(IF(SMALL('Offene Vorgänge'!$J$8:$J$207,51)&gt;=1E+90,"",INDEX('Offene Vorgänge'!$C$8:$C$207,MATCH(SMALL('Offene Vorgänge'!$J$8:$J$207,51),'Offene Vorgänge'!$J$8:$J$207,0))),"")</x:f>
      </x:c>
      <x:c r="D58" s="50" t="str">
        <x:f>IFERROR(IF(SMALL('Offene Vorgänge'!$J$8:$J$207,51)&gt;=1E+90,"",INDEX('Offene Vorgänge'!$D$8:$D$207,MATCH(SMALL('Offene Vorgänge'!$J$8:$J$207,51),'Offene Vorgänge'!$J$8:$J$207,0))),"")</x:f>
      </x:c>
      <x:c r="E58" s="44" t="str">
        <x:f>IFERROR(IF(SMALL('Offene Vorgänge'!$J$8:$J$207,51)&gt;=1E+90,"",INDEX('Offene Vorgänge'!$E$8:$E$207,MATCH(SMALL('Offene Vorgänge'!$J$8:$J$207,51),'Offene Vorgänge'!$J$8:$J$207,0))),"")</x:f>
      </x:c>
      <x:c r="F58" s="50" t="str">
        <x:f>IFERROR(IF(SMALL('Offene Vorgänge'!$J$8:$J$207,51)&gt;=1E+90,"",INDEX('Offene Vorgänge'!$F$8:$F$207,MATCH(SMALL('Offene Vorgänge'!$J$8:$J$207,51),'Offene Vorgänge'!$J$8:$J$207,0))),"")</x:f>
      </x:c>
      <x:c r="G58" s="50" t="str">
        <x:f>IF($E58="","",IF($C58="","ohne Frist",IF($C58&lt;TODAY(),"überfällig","offen")))</x:f>
      </x:c>
      <x:c r="H58" s="44" t="str">
        <x:f>IFERROR(IF(SMALL('Offene Vorgänge'!$J$8:$J$207,51)&gt;=1E+90,"",INDEX('Offene Vorgänge'!$H$8:$H$207,MATCH(SMALL('Offene Vorgänge'!$J$8:$J$207,51),'Offene Vorgänge'!$J$8:$J$207,0))),"")</x:f>
      </x:c>
      <x:c r="I58" s="1"/>
      <x:c r="J58" s="1"/>
      <x:c r="K58" s="1"/>
      <x:c r="L58" s="1"/>
      <x:c r="M58" s="1"/>
      <x:c r="N58" s="1"/>
      <x:c r="O58" s="1"/>
      <x:c r="P58" s="1"/>
      <x:c r="Q58" s="1"/>
      <x:c r="R58" s="1"/>
      <x:c r="S58" s="1"/>
      <x:c r="T58" s="1"/>
    </x:row>
    <x:row r="59" ht="18" customHeight="1">
      <x:c r="A59" s="1"/>
      <x:c r="B59" s="47" t="str">
        <x:f>IF($E59="","",52)</x:f>
      </x:c>
      <x:c r="C59" s="49" t="str">
        <x:f>IFERROR(IF(SMALL('Offene Vorgänge'!$J$8:$J$207,52)&gt;=1E+90,"",INDEX('Offene Vorgänge'!$C$8:$C$207,MATCH(SMALL('Offene Vorgänge'!$J$8:$J$207,52),'Offene Vorgänge'!$J$8:$J$207,0))),"")</x:f>
      </x:c>
      <x:c r="D59" s="50" t="str">
        <x:f>IFERROR(IF(SMALL('Offene Vorgänge'!$J$8:$J$207,52)&gt;=1E+90,"",INDEX('Offene Vorgänge'!$D$8:$D$207,MATCH(SMALL('Offene Vorgänge'!$J$8:$J$207,52),'Offene Vorgänge'!$J$8:$J$207,0))),"")</x:f>
      </x:c>
      <x:c r="E59" s="44" t="str">
        <x:f>IFERROR(IF(SMALL('Offene Vorgänge'!$J$8:$J$207,52)&gt;=1E+90,"",INDEX('Offene Vorgänge'!$E$8:$E$207,MATCH(SMALL('Offene Vorgänge'!$J$8:$J$207,52),'Offene Vorgänge'!$J$8:$J$207,0))),"")</x:f>
      </x:c>
      <x:c r="F59" s="50" t="str">
        <x:f>IFERROR(IF(SMALL('Offene Vorgänge'!$J$8:$J$207,52)&gt;=1E+90,"",INDEX('Offene Vorgänge'!$F$8:$F$207,MATCH(SMALL('Offene Vorgänge'!$J$8:$J$207,52),'Offene Vorgänge'!$J$8:$J$207,0))),"")</x:f>
      </x:c>
      <x:c r="G59" s="50" t="str">
        <x:f>IF($E59="","",IF($C59="","ohne Frist",IF($C59&lt;TODAY(),"überfällig","offen")))</x:f>
      </x:c>
      <x:c r="H59" s="44" t="str">
        <x:f>IFERROR(IF(SMALL('Offene Vorgänge'!$J$8:$J$207,52)&gt;=1E+90,"",INDEX('Offene Vorgänge'!$H$8:$H$207,MATCH(SMALL('Offene Vorgänge'!$J$8:$J$207,52),'Offene Vorgänge'!$J$8:$J$207,0))),"")</x:f>
      </x:c>
      <x:c r="I59" s="1"/>
      <x:c r="J59" s="1"/>
      <x:c r="K59" s="1"/>
      <x:c r="L59" s="1"/>
      <x:c r="M59" s="1"/>
      <x:c r="N59" s="1"/>
      <x:c r="O59" s="1"/>
      <x:c r="P59" s="1"/>
      <x:c r="Q59" s="1"/>
      <x:c r="R59" s="1"/>
      <x:c r="S59" s="1"/>
      <x:c r="T59" s="1"/>
    </x:row>
    <x:row r="60" ht="18" customHeight="1">
      <x:c r="A60" s="1"/>
      <x:c r="B60" s="47" t="str">
        <x:f>IF($E60="","",53)</x:f>
      </x:c>
      <x:c r="C60" s="49" t="str">
        <x:f>IFERROR(IF(SMALL('Offene Vorgänge'!$J$8:$J$207,53)&gt;=1E+90,"",INDEX('Offene Vorgänge'!$C$8:$C$207,MATCH(SMALL('Offene Vorgänge'!$J$8:$J$207,53),'Offene Vorgänge'!$J$8:$J$207,0))),"")</x:f>
      </x:c>
      <x:c r="D60" s="50" t="str">
        <x:f>IFERROR(IF(SMALL('Offene Vorgänge'!$J$8:$J$207,53)&gt;=1E+90,"",INDEX('Offene Vorgänge'!$D$8:$D$207,MATCH(SMALL('Offene Vorgänge'!$J$8:$J$207,53),'Offene Vorgänge'!$J$8:$J$207,0))),"")</x:f>
      </x:c>
      <x:c r="E60" s="44" t="str">
        <x:f>IFERROR(IF(SMALL('Offene Vorgänge'!$J$8:$J$207,53)&gt;=1E+90,"",INDEX('Offene Vorgänge'!$E$8:$E$207,MATCH(SMALL('Offene Vorgänge'!$J$8:$J$207,53),'Offene Vorgänge'!$J$8:$J$207,0))),"")</x:f>
      </x:c>
      <x:c r="F60" s="50" t="str">
        <x:f>IFERROR(IF(SMALL('Offene Vorgänge'!$J$8:$J$207,53)&gt;=1E+90,"",INDEX('Offene Vorgänge'!$F$8:$F$207,MATCH(SMALL('Offene Vorgänge'!$J$8:$J$207,53),'Offene Vorgänge'!$J$8:$J$207,0))),"")</x:f>
      </x:c>
      <x:c r="G60" s="50" t="str">
        <x:f>IF($E60="","",IF($C60="","ohne Frist",IF($C60&lt;TODAY(),"überfällig","offen")))</x:f>
      </x:c>
      <x:c r="H60" s="44" t="str">
        <x:f>IFERROR(IF(SMALL('Offene Vorgänge'!$J$8:$J$207,53)&gt;=1E+90,"",INDEX('Offene Vorgänge'!$H$8:$H$207,MATCH(SMALL('Offene Vorgänge'!$J$8:$J$207,53),'Offene Vorgänge'!$J$8:$J$207,0))),"")</x:f>
      </x:c>
      <x:c r="I60" s="1"/>
      <x:c r="J60" s="1"/>
      <x:c r="K60" s="1"/>
      <x:c r="L60" s="1"/>
      <x:c r="M60" s="1"/>
      <x:c r="N60" s="1"/>
      <x:c r="O60" s="1"/>
      <x:c r="P60" s="1"/>
      <x:c r="Q60" s="1"/>
      <x:c r="R60" s="1"/>
      <x:c r="S60" s="1"/>
      <x:c r="T60" s="1"/>
    </x:row>
    <x:row r="61" ht="18" customHeight="1">
      <x:c r="A61" s="1"/>
      <x:c r="B61" s="47" t="str">
        <x:f>IF($E61="","",54)</x:f>
      </x:c>
      <x:c r="C61" s="49" t="str">
        <x:f>IFERROR(IF(SMALL('Offene Vorgänge'!$J$8:$J$207,54)&gt;=1E+90,"",INDEX('Offene Vorgänge'!$C$8:$C$207,MATCH(SMALL('Offene Vorgänge'!$J$8:$J$207,54),'Offene Vorgänge'!$J$8:$J$207,0))),"")</x:f>
      </x:c>
      <x:c r="D61" s="50" t="str">
        <x:f>IFERROR(IF(SMALL('Offene Vorgänge'!$J$8:$J$207,54)&gt;=1E+90,"",INDEX('Offene Vorgänge'!$D$8:$D$207,MATCH(SMALL('Offene Vorgänge'!$J$8:$J$207,54),'Offene Vorgänge'!$J$8:$J$207,0))),"")</x:f>
      </x:c>
      <x:c r="E61" s="44" t="str">
        <x:f>IFERROR(IF(SMALL('Offene Vorgänge'!$J$8:$J$207,54)&gt;=1E+90,"",INDEX('Offene Vorgänge'!$E$8:$E$207,MATCH(SMALL('Offene Vorgänge'!$J$8:$J$207,54),'Offene Vorgänge'!$J$8:$J$207,0))),"")</x:f>
      </x:c>
      <x:c r="F61" s="50" t="str">
        <x:f>IFERROR(IF(SMALL('Offene Vorgänge'!$J$8:$J$207,54)&gt;=1E+90,"",INDEX('Offene Vorgänge'!$F$8:$F$207,MATCH(SMALL('Offene Vorgänge'!$J$8:$J$207,54),'Offene Vorgänge'!$J$8:$J$207,0))),"")</x:f>
      </x:c>
      <x:c r="G61" s="50" t="str">
        <x:f>IF($E61="","",IF($C61="","ohne Frist",IF($C61&lt;TODAY(),"überfällig","offen")))</x:f>
      </x:c>
      <x:c r="H61" s="44" t="str">
        <x:f>IFERROR(IF(SMALL('Offene Vorgänge'!$J$8:$J$207,54)&gt;=1E+90,"",INDEX('Offene Vorgänge'!$H$8:$H$207,MATCH(SMALL('Offene Vorgänge'!$J$8:$J$207,54),'Offene Vorgänge'!$J$8:$J$207,0))),"")</x:f>
      </x:c>
      <x:c r="I61" s="1"/>
      <x:c r="J61" s="1"/>
      <x:c r="K61" s="1"/>
      <x:c r="L61" s="1"/>
      <x:c r="M61" s="1"/>
      <x:c r="N61" s="1"/>
      <x:c r="O61" s="1"/>
      <x:c r="P61" s="1"/>
      <x:c r="Q61" s="1"/>
      <x:c r="R61" s="1"/>
      <x:c r="S61" s="1"/>
      <x:c r="T61" s="1"/>
    </x:row>
    <x:row r="62" ht="18" customHeight="1">
      <x:c r="A62" s="1"/>
      <x:c r="B62" s="47" t="str">
        <x:f>IF($E62="","",55)</x:f>
      </x:c>
      <x:c r="C62" s="49" t="str">
        <x:f>IFERROR(IF(SMALL('Offene Vorgänge'!$J$8:$J$207,55)&gt;=1E+90,"",INDEX('Offene Vorgänge'!$C$8:$C$207,MATCH(SMALL('Offene Vorgänge'!$J$8:$J$207,55),'Offene Vorgänge'!$J$8:$J$207,0))),"")</x:f>
      </x:c>
      <x:c r="D62" s="50" t="str">
        <x:f>IFERROR(IF(SMALL('Offene Vorgänge'!$J$8:$J$207,55)&gt;=1E+90,"",INDEX('Offene Vorgänge'!$D$8:$D$207,MATCH(SMALL('Offene Vorgänge'!$J$8:$J$207,55),'Offene Vorgänge'!$J$8:$J$207,0))),"")</x:f>
      </x:c>
      <x:c r="E62" s="44" t="str">
        <x:f>IFERROR(IF(SMALL('Offene Vorgänge'!$J$8:$J$207,55)&gt;=1E+90,"",INDEX('Offene Vorgänge'!$E$8:$E$207,MATCH(SMALL('Offene Vorgänge'!$J$8:$J$207,55),'Offene Vorgänge'!$J$8:$J$207,0))),"")</x:f>
      </x:c>
      <x:c r="F62" s="50" t="str">
        <x:f>IFERROR(IF(SMALL('Offene Vorgänge'!$J$8:$J$207,55)&gt;=1E+90,"",INDEX('Offene Vorgänge'!$F$8:$F$207,MATCH(SMALL('Offene Vorgänge'!$J$8:$J$207,55),'Offene Vorgänge'!$J$8:$J$207,0))),"")</x:f>
      </x:c>
      <x:c r="G62" s="50" t="str">
        <x:f>IF($E62="","",IF($C62="","ohne Frist",IF($C62&lt;TODAY(),"überfällig","offen")))</x:f>
      </x:c>
      <x:c r="H62" s="44" t="str">
        <x:f>IFERROR(IF(SMALL('Offene Vorgänge'!$J$8:$J$207,55)&gt;=1E+90,"",INDEX('Offene Vorgänge'!$H$8:$H$207,MATCH(SMALL('Offene Vorgänge'!$J$8:$J$207,55),'Offene Vorgänge'!$J$8:$J$207,0))),"")</x:f>
      </x:c>
      <x:c r="I62" s="1"/>
      <x:c r="J62" s="1"/>
      <x:c r="K62" s="1"/>
      <x:c r="L62" s="1"/>
      <x:c r="M62" s="1"/>
      <x:c r="N62" s="1"/>
      <x:c r="O62" s="1"/>
      <x:c r="P62" s="1"/>
      <x:c r="Q62" s="1"/>
      <x:c r="R62" s="1"/>
      <x:c r="S62" s="1"/>
      <x:c r="T62" s="1"/>
    </x:row>
    <x:row r="63" ht="18" customHeight="1">
      <x:c r="A63" s="1"/>
      <x:c r="B63" s="47" t="str">
        <x:f>IF($E63="","",56)</x:f>
      </x:c>
      <x:c r="C63" s="49" t="str">
        <x:f>IFERROR(IF(SMALL('Offene Vorgänge'!$J$8:$J$207,56)&gt;=1E+90,"",INDEX('Offene Vorgänge'!$C$8:$C$207,MATCH(SMALL('Offene Vorgänge'!$J$8:$J$207,56),'Offene Vorgänge'!$J$8:$J$207,0))),"")</x:f>
      </x:c>
      <x:c r="D63" s="50" t="str">
        <x:f>IFERROR(IF(SMALL('Offene Vorgänge'!$J$8:$J$207,56)&gt;=1E+90,"",INDEX('Offene Vorgänge'!$D$8:$D$207,MATCH(SMALL('Offene Vorgänge'!$J$8:$J$207,56),'Offene Vorgänge'!$J$8:$J$207,0))),"")</x:f>
      </x:c>
      <x:c r="E63" s="44" t="str">
        <x:f>IFERROR(IF(SMALL('Offene Vorgänge'!$J$8:$J$207,56)&gt;=1E+90,"",INDEX('Offene Vorgänge'!$E$8:$E$207,MATCH(SMALL('Offene Vorgänge'!$J$8:$J$207,56),'Offene Vorgänge'!$J$8:$J$207,0))),"")</x:f>
      </x:c>
      <x:c r="F63" s="50" t="str">
        <x:f>IFERROR(IF(SMALL('Offene Vorgänge'!$J$8:$J$207,56)&gt;=1E+90,"",INDEX('Offene Vorgänge'!$F$8:$F$207,MATCH(SMALL('Offene Vorgänge'!$J$8:$J$207,56),'Offene Vorgänge'!$J$8:$J$207,0))),"")</x:f>
      </x:c>
      <x:c r="G63" s="50" t="str">
        <x:f>IF($E63="","",IF($C63="","ohne Frist",IF($C63&lt;TODAY(),"überfällig","offen")))</x:f>
      </x:c>
      <x:c r="H63" s="44" t="str">
        <x:f>IFERROR(IF(SMALL('Offene Vorgänge'!$J$8:$J$207,56)&gt;=1E+90,"",INDEX('Offene Vorgänge'!$H$8:$H$207,MATCH(SMALL('Offene Vorgänge'!$J$8:$J$207,56),'Offene Vorgänge'!$J$8:$J$207,0))),"")</x:f>
      </x:c>
      <x:c r="I63" s="1"/>
      <x:c r="J63" s="1"/>
      <x:c r="K63" s="1"/>
      <x:c r="L63" s="1"/>
      <x:c r="M63" s="1"/>
      <x:c r="N63" s="1"/>
      <x:c r="O63" s="1"/>
      <x:c r="P63" s="1"/>
      <x:c r="Q63" s="1"/>
      <x:c r="R63" s="1"/>
      <x:c r="S63" s="1"/>
      <x:c r="T63" s="1"/>
    </x:row>
    <x:row r="64" ht="18" customHeight="1">
      <x:c r="A64" s="1"/>
      <x:c r="B64" s="47" t="str">
        <x:f>IF($E64="","",57)</x:f>
      </x:c>
      <x:c r="C64" s="49" t="str">
        <x:f>IFERROR(IF(SMALL('Offene Vorgänge'!$J$8:$J$207,57)&gt;=1E+90,"",INDEX('Offene Vorgänge'!$C$8:$C$207,MATCH(SMALL('Offene Vorgänge'!$J$8:$J$207,57),'Offene Vorgänge'!$J$8:$J$207,0))),"")</x:f>
      </x:c>
      <x:c r="D64" s="50" t="str">
        <x:f>IFERROR(IF(SMALL('Offene Vorgänge'!$J$8:$J$207,57)&gt;=1E+90,"",INDEX('Offene Vorgänge'!$D$8:$D$207,MATCH(SMALL('Offene Vorgänge'!$J$8:$J$207,57),'Offene Vorgänge'!$J$8:$J$207,0))),"")</x:f>
      </x:c>
      <x:c r="E64" s="44" t="str">
        <x:f>IFERROR(IF(SMALL('Offene Vorgänge'!$J$8:$J$207,57)&gt;=1E+90,"",INDEX('Offene Vorgänge'!$E$8:$E$207,MATCH(SMALL('Offene Vorgänge'!$J$8:$J$207,57),'Offene Vorgänge'!$J$8:$J$207,0))),"")</x:f>
      </x:c>
      <x:c r="F64" s="50" t="str">
        <x:f>IFERROR(IF(SMALL('Offene Vorgänge'!$J$8:$J$207,57)&gt;=1E+90,"",INDEX('Offene Vorgänge'!$F$8:$F$207,MATCH(SMALL('Offene Vorgänge'!$J$8:$J$207,57),'Offene Vorgänge'!$J$8:$J$207,0))),"")</x:f>
      </x:c>
      <x:c r="G64" s="50" t="str">
        <x:f>IF($E64="","",IF($C64="","ohne Frist",IF($C64&lt;TODAY(),"überfällig","offen")))</x:f>
      </x:c>
      <x:c r="H64" s="44" t="str">
        <x:f>IFERROR(IF(SMALL('Offene Vorgänge'!$J$8:$J$207,57)&gt;=1E+90,"",INDEX('Offene Vorgänge'!$H$8:$H$207,MATCH(SMALL('Offene Vorgänge'!$J$8:$J$207,57),'Offene Vorgänge'!$J$8:$J$207,0))),"")</x:f>
      </x:c>
      <x:c r="I64" s="1"/>
      <x:c r="J64" s="1"/>
      <x:c r="K64" s="1"/>
      <x:c r="L64" s="1"/>
      <x:c r="M64" s="1"/>
      <x:c r="N64" s="1"/>
      <x:c r="O64" s="1"/>
      <x:c r="P64" s="1"/>
      <x:c r="Q64" s="1"/>
      <x:c r="R64" s="1"/>
      <x:c r="S64" s="1"/>
      <x:c r="T64" s="1"/>
    </x:row>
    <x:row r="65" ht="18" customHeight="1">
      <x:c r="A65" s="1"/>
      <x:c r="B65" s="47" t="str">
        <x:f>IF($E65="","",58)</x:f>
      </x:c>
      <x:c r="C65" s="49" t="str">
        <x:f>IFERROR(IF(SMALL('Offene Vorgänge'!$J$8:$J$207,58)&gt;=1E+90,"",INDEX('Offene Vorgänge'!$C$8:$C$207,MATCH(SMALL('Offene Vorgänge'!$J$8:$J$207,58),'Offene Vorgänge'!$J$8:$J$207,0))),"")</x:f>
      </x:c>
      <x:c r="D65" s="50" t="str">
        <x:f>IFERROR(IF(SMALL('Offene Vorgänge'!$J$8:$J$207,58)&gt;=1E+90,"",INDEX('Offene Vorgänge'!$D$8:$D$207,MATCH(SMALL('Offene Vorgänge'!$J$8:$J$207,58),'Offene Vorgänge'!$J$8:$J$207,0))),"")</x:f>
      </x:c>
      <x:c r="E65" s="44" t="str">
        <x:f>IFERROR(IF(SMALL('Offene Vorgänge'!$J$8:$J$207,58)&gt;=1E+90,"",INDEX('Offene Vorgänge'!$E$8:$E$207,MATCH(SMALL('Offene Vorgänge'!$J$8:$J$207,58),'Offene Vorgänge'!$J$8:$J$207,0))),"")</x:f>
      </x:c>
      <x:c r="F65" s="50" t="str">
        <x:f>IFERROR(IF(SMALL('Offene Vorgänge'!$J$8:$J$207,58)&gt;=1E+90,"",INDEX('Offene Vorgänge'!$F$8:$F$207,MATCH(SMALL('Offene Vorgänge'!$J$8:$J$207,58),'Offene Vorgänge'!$J$8:$J$207,0))),"")</x:f>
      </x:c>
      <x:c r="G65" s="50" t="str">
        <x:f>IF($E65="","",IF($C65="","ohne Frist",IF($C65&lt;TODAY(),"überfällig","offen")))</x:f>
      </x:c>
      <x:c r="H65" s="44" t="str">
        <x:f>IFERROR(IF(SMALL('Offene Vorgänge'!$J$8:$J$207,58)&gt;=1E+90,"",INDEX('Offene Vorgänge'!$H$8:$H$207,MATCH(SMALL('Offene Vorgänge'!$J$8:$J$207,58),'Offene Vorgänge'!$J$8:$J$207,0))),"")</x:f>
      </x:c>
      <x:c r="I65" s="1"/>
      <x:c r="J65" s="1"/>
      <x:c r="K65" s="1"/>
      <x:c r="L65" s="1"/>
      <x:c r="M65" s="1"/>
      <x:c r="N65" s="1"/>
      <x:c r="O65" s="1"/>
      <x:c r="P65" s="1"/>
      <x:c r="Q65" s="1"/>
      <x:c r="R65" s="1"/>
      <x:c r="S65" s="1"/>
      <x:c r="T65" s="1"/>
    </x:row>
    <x:row r="66" ht="18" customHeight="1">
      <x:c r="A66" s="1"/>
      <x:c r="B66" s="47" t="str">
        <x:f>IF($E66="","",59)</x:f>
      </x:c>
      <x:c r="C66" s="49" t="str">
        <x:f>IFERROR(IF(SMALL('Offene Vorgänge'!$J$8:$J$207,59)&gt;=1E+90,"",INDEX('Offene Vorgänge'!$C$8:$C$207,MATCH(SMALL('Offene Vorgänge'!$J$8:$J$207,59),'Offene Vorgänge'!$J$8:$J$207,0))),"")</x:f>
      </x:c>
      <x:c r="D66" s="50" t="str">
        <x:f>IFERROR(IF(SMALL('Offene Vorgänge'!$J$8:$J$207,59)&gt;=1E+90,"",INDEX('Offene Vorgänge'!$D$8:$D$207,MATCH(SMALL('Offene Vorgänge'!$J$8:$J$207,59),'Offene Vorgänge'!$J$8:$J$207,0))),"")</x:f>
      </x:c>
      <x:c r="E66" s="44" t="str">
        <x:f>IFERROR(IF(SMALL('Offene Vorgänge'!$J$8:$J$207,59)&gt;=1E+90,"",INDEX('Offene Vorgänge'!$E$8:$E$207,MATCH(SMALL('Offene Vorgänge'!$J$8:$J$207,59),'Offene Vorgänge'!$J$8:$J$207,0))),"")</x:f>
      </x:c>
      <x:c r="F66" s="50" t="str">
        <x:f>IFERROR(IF(SMALL('Offene Vorgänge'!$J$8:$J$207,59)&gt;=1E+90,"",INDEX('Offene Vorgänge'!$F$8:$F$207,MATCH(SMALL('Offene Vorgänge'!$J$8:$J$207,59),'Offene Vorgänge'!$J$8:$J$207,0))),"")</x:f>
      </x:c>
      <x:c r="G66" s="50" t="str">
        <x:f>IF($E66="","",IF($C66="","ohne Frist",IF($C66&lt;TODAY(),"überfällig","offen")))</x:f>
      </x:c>
      <x:c r="H66" s="44" t="str">
        <x:f>IFERROR(IF(SMALL('Offene Vorgänge'!$J$8:$J$207,59)&gt;=1E+90,"",INDEX('Offene Vorgänge'!$H$8:$H$207,MATCH(SMALL('Offene Vorgänge'!$J$8:$J$207,59),'Offene Vorgänge'!$J$8:$J$207,0))),"")</x:f>
      </x:c>
      <x:c r="I66" s="1"/>
      <x:c r="J66" s="1"/>
      <x:c r="K66" s="1"/>
      <x:c r="L66" s="1"/>
      <x:c r="M66" s="1"/>
      <x:c r="N66" s="1"/>
      <x:c r="O66" s="1"/>
      <x:c r="P66" s="1"/>
      <x:c r="Q66" s="1"/>
      <x:c r="R66" s="1"/>
      <x:c r="S66" s="1"/>
      <x:c r="T66" s="1"/>
    </x:row>
    <x:row r="67" ht="18" customHeight="1">
      <x:c r="A67" s="1"/>
      <x:c r="B67" s="47" t="str">
        <x:f>IF($E67="","",60)</x:f>
      </x:c>
      <x:c r="C67" s="49" t="str">
        <x:f>IFERROR(IF(SMALL('Offene Vorgänge'!$J$8:$J$207,60)&gt;=1E+90,"",INDEX('Offene Vorgänge'!$C$8:$C$207,MATCH(SMALL('Offene Vorgänge'!$J$8:$J$207,60),'Offene Vorgänge'!$J$8:$J$207,0))),"")</x:f>
      </x:c>
      <x:c r="D67" s="50" t="str">
        <x:f>IFERROR(IF(SMALL('Offene Vorgänge'!$J$8:$J$207,60)&gt;=1E+90,"",INDEX('Offene Vorgänge'!$D$8:$D$207,MATCH(SMALL('Offene Vorgänge'!$J$8:$J$207,60),'Offene Vorgänge'!$J$8:$J$207,0))),"")</x:f>
      </x:c>
      <x:c r="E67" s="44" t="str">
        <x:f>IFERROR(IF(SMALL('Offene Vorgänge'!$J$8:$J$207,60)&gt;=1E+90,"",INDEX('Offene Vorgänge'!$E$8:$E$207,MATCH(SMALL('Offene Vorgänge'!$J$8:$J$207,60),'Offene Vorgänge'!$J$8:$J$207,0))),"")</x:f>
      </x:c>
      <x:c r="F67" s="50" t="str">
        <x:f>IFERROR(IF(SMALL('Offene Vorgänge'!$J$8:$J$207,60)&gt;=1E+90,"",INDEX('Offene Vorgänge'!$F$8:$F$207,MATCH(SMALL('Offene Vorgänge'!$J$8:$J$207,60),'Offene Vorgänge'!$J$8:$J$207,0))),"")</x:f>
      </x:c>
      <x:c r="G67" s="50" t="str">
        <x:f>IF($E67="","",IF($C67="","ohne Frist",IF($C67&lt;TODAY(),"überfällig","offen")))</x:f>
      </x:c>
      <x:c r="H67" s="44" t="str">
        <x:f>IFERROR(IF(SMALL('Offene Vorgänge'!$J$8:$J$207,60)&gt;=1E+90,"",INDEX('Offene Vorgänge'!$H$8:$H$207,MATCH(SMALL('Offene Vorgänge'!$J$8:$J$207,60),'Offene Vorgänge'!$J$8:$J$207,0))),"")</x:f>
      </x:c>
      <x:c r="I67" s="1"/>
      <x:c r="J67" s="1"/>
      <x:c r="K67" s="1"/>
      <x:c r="L67" s="1"/>
      <x:c r="M67" s="1"/>
      <x:c r="N67" s="1"/>
      <x:c r="O67" s="1"/>
      <x:c r="P67" s="1"/>
      <x:c r="Q67" s="1"/>
      <x:c r="R67" s="1"/>
      <x:c r="S67" s="1"/>
      <x:c r="T67" s="1"/>
    </x:row>
    <x:row r="68" ht="18" customHeight="1">
      <x:c r="A68" s="1"/>
      <x:c r="B68" s="47" t="str">
        <x:f>IF($E68="","",61)</x:f>
      </x:c>
      <x:c r="C68" s="49" t="str">
        <x:f>IFERROR(IF(SMALL('Offene Vorgänge'!$J$8:$J$207,61)&gt;=1E+90,"",INDEX('Offene Vorgänge'!$C$8:$C$207,MATCH(SMALL('Offene Vorgänge'!$J$8:$J$207,61),'Offene Vorgänge'!$J$8:$J$207,0))),"")</x:f>
      </x:c>
      <x:c r="D68" s="50" t="str">
        <x:f>IFERROR(IF(SMALL('Offene Vorgänge'!$J$8:$J$207,61)&gt;=1E+90,"",INDEX('Offene Vorgänge'!$D$8:$D$207,MATCH(SMALL('Offene Vorgänge'!$J$8:$J$207,61),'Offene Vorgänge'!$J$8:$J$207,0))),"")</x:f>
      </x:c>
      <x:c r="E68" s="44" t="str">
        <x:f>IFERROR(IF(SMALL('Offene Vorgänge'!$J$8:$J$207,61)&gt;=1E+90,"",INDEX('Offene Vorgänge'!$E$8:$E$207,MATCH(SMALL('Offene Vorgänge'!$J$8:$J$207,61),'Offene Vorgänge'!$J$8:$J$207,0))),"")</x:f>
      </x:c>
      <x:c r="F68" s="50" t="str">
        <x:f>IFERROR(IF(SMALL('Offene Vorgänge'!$J$8:$J$207,61)&gt;=1E+90,"",INDEX('Offene Vorgänge'!$F$8:$F$207,MATCH(SMALL('Offene Vorgänge'!$J$8:$J$207,61),'Offene Vorgänge'!$J$8:$J$207,0))),"")</x:f>
      </x:c>
      <x:c r="G68" s="50" t="str">
        <x:f>IF($E68="","",IF($C68="","ohne Frist",IF($C68&lt;TODAY(),"überfällig","offen")))</x:f>
      </x:c>
      <x:c r="H68" s="44" t="str">
        <x:f>IFERROR(IF(SMALL('Offene Vorgänge'!$J$8:$J$207,61)&gt;=1E+90,"",INDEX('Offene Vorgänge'!$H$8:$H$207,MATCH(SMALL('Offene Vorgänge'!$J$8:$J$207,61),'Offene Vorgänge'!$J$8:$J$207,0))),"")</x:f>
      </x:c>
      <x:c r="I68" s="1"/>
      <x:c r="J68" s="1"/>
      <x:c r="K68" s="1"/>
      <x:c r="L68" s="1"/>
      <x:c r="M68" s="1"/>
      <x:c r="N68" s="1"/>
      <x:c r="O68" s="1"/>
      <x:c r="P68" s="1"/>
      <x:c r="Q68" s="1"/>
      <x:c r="R68" s="1"/>
      <x:c r="S68" s="1"/>
      <x:c r="T68" s="1"/>
    </x:row>
    <x:row r="69" ht="18" customHeight="1">
      <x:c r="A69" s="1"/>
      <x:c r="B69" s="47" t="str">
        <x:f>IF($E69="","",62)</x:f>
      </x:c>
      <x:c r="C69" s="49" t="str">
        <x:f>IFERROR(IF(SMALL('Offene Vorgänge'!$J$8:$J$207,62)&gt;=1E+90,"",INDEX('Offene Vorgänge'!$C$8:$C$207,MATCH(SMALL('Offene Vorgänge'!$J$8:$J$207,62),'Offene Vorgänge'!$J$8:$J$207,0))),"")</x:f>
      </x:c>
      <x:c r="D69" s="50" t="str">
        <x:f>IFERROR(IF(SMALL('Offene Vorgänge'!$J$8:$J$207,62)&gt;=1E+90,"",INDEX('Offene Vorgänge'!$D$8:$D$207,MATCH(SMALL('Offene Vorgänge'!$J$8:$J$207,62),'Offene Vorgänge'!$J$8:$J$207,0))),"")</x:f>
      </x:c>
      <x:c r="E69" s="44" t="str">
        <x:f>IFERROR(IF(SMALL('Offene Vorgänge'!$J$8:$J$207,62)&gt;=1E+90,"",INDEX('Offene Vorgänge'!$E$8:$E$207,MATCH(SMALL('Offene Vorgänge'!$J$8:$J$207,62),'Offene Vorgänge'!$J$8:$J$207,0))),"")</x:f>
      </x:c>
      <x:c r="F69" s="50" t="str">
        <x:f>IFERROR(IF(SMALL('Offene Vorgänge'!$J$8:$J$207,62)&gt;=1E+90,"",INDEX('Offene Vorgänge'!$F$8:$F$207,MATCH(SMALL('Offene Vorgänge'!$J$8:$J$207,62),'Offene Vorgänge'!$J$8:$J$207,0))),"")</x:f>
      </x:c>
      <x:c r="G69" s="50" t="str">
        <x:f>IF($E69="","",IF($C69="","ohne Frist",IF($C69&lt;TODAY(),"überfällig","offen")))</x:f>
      </x:c>
      <x:c r="H69" s="44" t="str">
        <x:f>IFERROR(IF(SMALL('Offene Vorgänge'!$J$8:$J$207,62)&gt;=1E+90,"",INDEX('Offene Vorgänge'!$H$8:$H$207,MATCH(SMALL('Offene Vorgänge'!$J$8:$J$207,62),'Offene Vorgänge'!$J$8:$J$207,0))),"")</x:f>
      </x:c>
      <x:c r="I69" s="1"/>
      <x:c r="J69" s="1"/>
      <x:c r="K69" s="1"/>
      <x:c r="L69" s="1"/>
      <x:c r="M69" s="1"/>
      <x:c r="N69" s="1"/>
      <x:c r="O69" s="1"/>
      <x:c r="P69" s="1"/>
      <x:c r="Q69" s="1"/>
      <x:c r="R69" s="1"/>
      <x:c r="S69" s="1"/>
      <x:c r="T69" s="1"/>
    </x:row>
    <x:row r="70" ht="18" customHeight="1">
      <x:c r="A70" s="1"/>
      <x:c r="B70" s="47" t="str">
        <x:f>IF($E70="","",63)</x:f>
      </x:c>
      <x:c r="C70" s="49" t="str">
        <x:f>IFERROR(IF(SMALL('Offene Vorgänge'!$J$8:$J$207,63)&gt;=1E+90,"",INDEX('Offene Vorgänge'!$C$8:$C$207,MATCH(SMALL('Offene Vorgänge'!$J$8:$J$207,63),'Offene Vorgänge'!$J$8:$J$207,0))),"")</x:f>
      </x:c>
      <x:c r="D70" s="50" t="str">
        <x:f>IFERROR(IF(SMALL('Offene Vorgänge'!$J$8:$J$207,63)&gt;=1E+90,"",INDEX('Offene Vorgänge'!$D$8:$D$207,MATCH(SMALL('Offene Vorgänge'!$J$8:$J$207,63),'Offene Vorgänge'!$J$8:$J$207,0))),"")</x:f>
      </x:c>
      <x:c r="E70" s="44" t="str">
        <x:f>IFERROR(IF(SMALL('Offene Vorgänge'!$J$8:$J$207,63)&gt;=1E+90,"",INDEX('Offene Vorgänge'!$E$8:$E$207,MATCH(SMALL('Offene Vorgänge'!$J$8:$J$207,63),'Offene Vorgänge'!$J$8:$J$207,0))),"")</x:f>
      </x:c>
      <x:c r="F70" s="50" t="str">
        <x:f>IFERROR(IF(SMALL('Offene Vorgänge'!$J$8:$J$207,63)&gt;=1E+90,"",INDEX('Offene Vorgänge'!$F$8:$F$207,MATCH(SMALL('Offene Vorgänge'!$J$8:$J$207,63),'Offene Vorgänge'!$J$8:$J$207,0))),"")</x:f>
      </x:c>
      <x:c r="G70" s="50" t="str">
        <x:f>IF($E70="","",IF($C70="","ohne Frist",IF($C70&lt;TODAY(),"überfällig","offen")))</x:f>
      </x:c>
      <x:c r="H70" s="44" t="str">
        <x:f>IFERROR(IF(SMALL('Offene Vorgänge'!$J$8:$J$207,63)&gt;=1E+90,"",INDEX('Offene Vorgänge'!$H$8:$H$207,MATCH(SMALL('Offene Vorgänge'!$J$8:$J$207,63),'Offene Vorgänge'!$J$8:$J$207,0))),"")</x:f>
      </x:c>
      <x:c r="I70" s="1"/>
      <x:c r="J70" s="1"/>
      <x:c r="K70" s="1"/>
      <x:c r="L70" s="1"/>
      <x:c r="M70" s="1"/>
      <x:c r="N70" s="1"/>
      <x:c r="O70" s="1"/>
      <x:c r="P70" s="1"/>
      <x:c r="Q70" s="1"/>
      <x:c r="R70" s="1"/>
      <x:c r="S70" s="1"/>
      <x:c r="T70" s="1"/>
    </x:row>
    <x:row r="71" ht="18" customHeight="1">
      <x:c r="A71" s="1"/>
      <x:c r="B71" s="47" t="str">
        <x:f>IF($E71="","",64)</x:f>
      </x:c>
      <x:c r="C71" s="49" t="str">
        <x:f>IFERROR(IF(SMALL('Offene Vorgänge'!$J$8:$J$207,64)&gt;=1E+90,"",INDEX('Offene Vorgänge'!$C$8:$C$207,MATCH(SMALL('Offene Vorgänge'!$J$8:$J$207,64),'Offene Vorgänge'!$J$8:$J$207,0))),"")</x:f>
      </x:c>
      <x:c r="D71" s="50" t="str">
        <x:f>IFERROR(IF(SMALL('Offene Vorgänge'!$J$8:$J$207,64)&gt;=1E+90,"",INDEX('Offene Vorgänge'!$D$8:$D$207,MATCH(SMALL('Offene Vorgänge'!$J$8:$J$207,64),'Offene Vorgänge'!$J$8:$J$207,0))),"")</x:f>
      </x:c>
      <x:c r="E71" s="44" t="str">
        <x:f>IFERROR(IF(SMALL('Offene Vorgänge'!$J$8:$J$207,64)&gt;=1E+90,"",INDEX('Offene Vorgänge'!$E$8:$E$207,MATCH(SMALL('Offene Vorgänge'!$J$8:$J$207,64),'Offene Vorgänge'!$J$8:$J$207,0))),"")</x:f>
      </x:c>
      <x:c r="F71" s="50" t="str">
        <x:f>IFERROR(IF(SMALL('Offene Vorgänge'!$J$8:$J$207,64)&gt;=1E+90,"",INDEX('Offene Vorgänge'!$F$8:$F$207,MATCH(SMALL('Offene Vorgänge'!$J$8:$J$207,64),'Offene Vorgänge'!$J$8:$J$207,0))),"")</x:f>
      </x:c>
      <x:c r="G71" s="50" t="str">
        <x:f>IF($E71="","",IF($C71="","ohne Frist",IF($C71&lt;TODAY(),"überfällig","offen")))</x:f>
      </x:c>
      <x:c r="H71" s="44" t="str">
        <x:f>IFERROR(IF(SMALL('Offene Vorgänge'!$J$8:$J$207,64)&gt;=1E+90,"",INDEX('Offene Vorgänge'!$H$8:$H$207,MATCH(SMALL('Offene Vorgänge'!$J$8:$J$207,64),'Offene Vorgänge'!$J$8:$J$207,0))),"")</x:f>
      </x:c>
      <x:c r="I71" s="1"/>
      <x:c r="J71" s="1"/>
      <x:c r="K71" s="1"/>
      <x:c r="L71" s="1"/>
      <x:c r="M71" s="1"/>
      <x:c r="N71" s="1"/>
      <x:c r="O71" s="1"/>
      <x:c r="P71" s="1"/>
      <x:c r="Q71" s="1"/>
      <x:c r="R71" s="1"/>
      <x:c r="S71" s="1"/>
      <x:c r="T71" s="1"/>
    </x:row>
    <x:row r="72" ht="18" customHeight="1">
      <x:c r="A72" s="1"/>
      <x:c r="B72" s="47" t="str">
        <x:f>IF($E72="","",65)</x:f>
      </x:c>
      <x:c r="C72" s="49" t="str">
        <x:f>IFERROR(IF(SMALL('Offene Vorgänge'!$J$8:$J$207,65)&gt;=1E+90,"",INDEX('Offene Vorgänge'!$C$8:$C$207,MATCH(SMALL('Offene Vorgänge'!$J$8:$J$207,65),'Offene Vorgänge'!$J$8:$J$207,0))),"")</x:f>
      </x:c>
      <x:c r="D72" s="50" t="str">
        <x:f>IFERROR(IF(SMALL('Offene Vorgänge'!$J$8:$J$207,65)&gt;=1E+90,"",INDEX('Offene Vorgänge'!$D$8:$D$207,MATCH(SMALL('Offene Vorgänge'!$J$8:$J$207,65),'Offene Vorgänge'!$J$8:$J$207,0))),"")</x:f>
      </x:c>
      <x:c r="E72" s="44" t="str">
        <x:f>IFERROR(IF(SMALL('Offene Vorgänge'!$J$8:$J$207,65)&gt;=1E+90,"",INDEX('Offene Vorgänge'!$E$8:$E$207,MATCH(SMALL('Offene Vorgänge'!$J$8:$J$207,65),'Offene Vorgänge'!$J$8:$J$207,0))),"")</x:f>
      </x:c>
      <x:c r="F72" s="50" t="str">
        <x:f>IFERROR(IF(SMALL('Offene Vorgänge'!$J$8:$J$207,65)&gt;=1E+90,"",INDEX('Offene Vorgänge'!$F$8:$F$207,MATCH(SMALL('Offene Vorgänge'!$J$8:$J$207,65),'Offene Vorgänge'!$J$8:$J$207,0))),"")</x:f>
      </x:c>
      <x:c r="G72" s="50" t="str">
        <x:f>IF($E72="","",IF($C72="","ohne Frist",IF($C72&lt;TODAY(),"überfällig","offen")))</x:f>
      </x:c>
      <x:c r="H72" s="44" t="str">
        <x:f>IFERROR(IF(SMALL('Offene Vorgänge'!$J$8:$J$207,65)&gt;=1E+90,"",INDEX('Offene Vorgänge'!$H$8:$H$207,MATCH(SMALL('Offene Vorgänge'!$J$8:$J$207,65),'Offene Vorgänge'!$J$8:$J$207,0))),"")</x:f>
      </x:c>
      <x:c r="I72" s="1"/>
      <x:c r="J72" s="1"/>
      <x:c r="K72" s="1"/>
      <x:c r="L72" s="1"/>
      <x:c r="M72" s="1"/>
      <x:c r="N72" s="1"/>
      <x:c r="O72" s="1"/>
      <x:c r="P72" s="1"/>
      <x:c r="Q72" s="1"/>
      <x:c r="R72" s="1"/>
      <x:c r="S72" s="1"/>
      <x:c r="T72" s="1"/>
    </x:row>
    <x:row r="73" ht="18" customHeight="1">
      <x:c r="A73" s="1"/>
      <x:c r="B73" s="47" t="str">
        <x:f>IF($E73="","",66)</x:f>
      </x:c>
      <x:c r="C73" s="49" t="str">
        <x:f>IFERROR(IF(SMALL('Offene Vorgänge'!$J$8:$J$207,66)&gt;=1E+90,"",INDEX('Offene Vorgänge'!$C$8:$C$207,MATCH(SMALL('Offene Vorgänge'!$J$8:$J$207,66),'Offene Vorgänge'!$J$8:$J$207,0))),"")</x:f>
      </x:c>
      <x:c r="D73" s="50" t="str">
        <x:f>IFERROR(IF(SMALL('Offene Vorgänge'!$J$8:$J$207,66)&gt;=1E+90,"",INDEX('Offene Vorgänge'!$D$8:$D$207,MATCH(SMALL('Offene Vorgänge'!$J$8:$J$207,66),'Offene Vorgänge'!$J$8:$J$207,0))),"")</x:f>
      </x:c>
      <x:c r="E73" s="44" t="str">
        <x:f>IFERROR(IF(SMALL('Offene Vorgänge'!$J$8:$J$207,66)&gt;=1E+90,"",INDEX('Offene Vorgänge'!$E$8:$E$207,MATCH(SMALL('Offene Vorgänge'!$J$8:$J$207,66),'Offene Vorgänge'!$J$8:$J$207,0))),"")</x:f>
      </x:c>
      <x:c r="F73" s="50" t="str">
        <x:f>IFERROR(IF(SMALL('Offene Vorgänge'!$J$8:$J$207,66)&gt;=1E+90,"",INDEX('Offene Vorgänge'!$F$8:$F$207,MATCH(SMALL('Offene Vorgänge'!$J$8:$J$207,66),'Offene Vorgänge'!$J$8:$J$207,0))),"")</x:f>
      </x:c>
      <x:c r="G73" s="50" t="str">
        <x:f>IF($E73="","",IF($C73="","ohne Frist",IF($C73&lt;TODAY(),"überfällig","offen")))</x:f>
      </x:c>
      <x:c r="H73" s="44" t="str">
        <x:f>IFERROR(IF(SMALL('Offene Vorgänge'!$J$8:$J$207,66)&gt;=1E+90,"",INDEX('Offene Vorgänge'!$H$8:$H$207,MATCH(SMALL('Offene Vorgänge'!$J$8:$J$207,66),'Offene Vorgänge'!$J$8:$J$207,0))),"")</x:f>
      </x:c>
      <x:c r="I73" s="1"/>
      <x:c r="J73" s="1"/>
      <x:c r="K73" s="1"/>
      <x:c r="L73" s="1"/>
      <x:c r="M73" s="1"/>
      <x:c r="N73" s="1"/>
      <x:c r="O73" s="1"/>
      <x:c r="P73" s="1"/>
      <x:c r="Q73" s="1"/>
      <x:c r="R73" s="1"/>
      <x:c r="S73" s="1"/>
      <x:c r="T73" s="1"/>
    </x:row>
    <x:row r="74" ht="18" customHeight="1">
      <x:c r="A74" s="1"/>
      <x:c r="B74" s="47" t="str">
        <x:f>IF($E74="","",67)</x:f>
      </x:c>
      <x:c r="C74" s="49" t="str">
        <x:f>IFERROR(IF(SMALL('Offene Vorgänge'!$J$8:$J$207,67)&gt;=1E+90,"",INDEX('Offene Vorgänge'!$C$8:$C$207,MATCH(SMALL('Offene Vorgänge'!$J$8:$J$207,67),'Offene Vorgänge'!$J$8:$J$207,0))),"")</x:f>
      </x:c>
      <x:c r="D74" s="50" t="str">
        <x:f>IFERROR(IF(SMALL('Offene Vorgänge'!$J$8:$J$207,67)&gt;=1E+90,"",INDEX('Offene Vorgänge'!$D$8:$D$207,MATCH(SMALL('Offene Vorgänge'!$J$8:$J$207,67),'Offene Vorgänge'!$J$8:$J$207,0))),"")</x:f>
      </x:c>
      <x:c r="E74" s="44" t="str">
        <x:f>IFERROR(IF(SMALL('Offene Vorgänge'!$J$8:$J$207,67)&gt;=1E+90,"",INDEX('Offene Vorgänge'!$E$8:$E$207,MATCH(SMALL('Offene Vorgänge'!$J$8:$J$207,67),'Offene Vorgänge'!$J$8:$J$207,0))),"")</x:f>
      </x:c>
      <x:c r="F74" s="50" t="str">
        <x:f>IFERROR(IF(SMALL('Offene Vorgänge'!$J$8:$J$207,67)&gt;=1E+90,"",INDEX('Offene Vorgänge'!$F$8:$F$207,MATCH(SMALL('Offene Vorgänge'!$J$8:$J$207,67),'Offene Vorgänge'!$J$8:$J$207,0))),"")</x:f>
      </x:c>
      <x:c r="G74" s="50" t="str">
        <x:f>IF($E74="","",IF($C74="","ohne Frist",IF($C74&lt;TODAY(),"überfällig","offen")))</x:f>
      </x:c>
      <x:c r="H74" s="44" t="str">
        <x:f>IFERROR(IF(SMALL('Offene Vorgänge'!$J$8:$J$207,67)&gt;=1E+90,"",INDEX('Offene Vorgänge'!$H$8:$H$207,MATCH(SMALL('Offene Vorgänge'!$J$8:$J$207,67),'Offene Vorgänge'!$J$8:$J$207,0))),"")</x:f>
      </x:c>
      <x:c r="I74" s="1"/>
      <x:c r="J74" s="1"/>
      <x:c r="K74" s="1"/>
      <x:c r="L74" s="1"/>
      <x:c r="M74" s="1"/>
      <x:c r="N74" s="1"/>
      <x:c r="O74" s="1"/>
      <x:c r="P74" s="1"/>
      <x:c r="Q74" s="1"/>
      <x:c r="R74" s="1"/>
      <x:c r="S74" s="1"/>
      <x:c r="T74" s="1"/>
    </x:row>
    <x:row r="75" ht="18" customHeight="1">
      <x:c r="A75" s="1"/>
      <x:c r="B75" s="47" t="str">
        <x:f>IF($E75="","",68)</x:f>
      </x:c>
      <x:c r="C75" s="49" t="str">
        <x:f>IFERROR(IF(SMALL('Offene Vorgänge'!$J$8:$J$207,68)&gt;=1E+90,"",INDEX('Offene Vorgänge'!$C$8:$C$207,MATCH(SMALL('Offene Vorgänge'!$J$8:$J$207,68),'Offene Vorgänge'!$J$8:$J$207,0))),"")</x:f>
      </x:c>
      <x:c r="D75" s="50" t="str">
        <x:f>IFERROR(IF(SMALL('Offene Vorgänge'!$J$8:$J$207,68)&gt;=1E+90,"",INDEX('Offene Vorgänge'!$D$8:$D$207,MATCH(SMALL('Offene Vorgänge'!$J$8:$J$207,68),'Offene Vorgänge'!$J$8:$J$207,0))),"")</x:f>
      </x:c>
      <x:c r="E75" s="44" t="str">
        <x:f>IFERROR(IF(SMALL('Offene Vorgänge'!$J$8:$J$207,68)&gt;=1E+90,"",INDEX('Offene Vorgänge'!$E$8:$E$207,MATCH(SMALL('Offene Vorgänge'!$J$8:$J$207,68),'Offene Vorgänge'!$J$8:$J$207,0))),"")</x:f>
      </x:c>
      <x:c r="F75" s="50" t="str">
        <x:f>IFERROR(IF(SMALL('Offene Vorgänge'!$J$8:$J$207,68)&gt;=1E+90,"",INDEX('Offene Vorgänge'!$F$8:$F$207,MATCH(SMALL('Offene Vorgänge'!$J$8:$J$207,68),'Offene Vorgänge'!$J$8:$J$207,0))),"")</x:f>
      </x:c>
      <x:c r="G75" s="50" t="str">
        <x:f>IF($E75="","",IF($C75="","ohne Frist",IF($C75&lt;TODAY(),"überfällig","offen")))</x:f>
      </x:c>
      <x:c r="H75" s="44" t="str">
        <x:f>IFERROR(IF(SMALL('Offene Vorgänge'!$J$8:$J$207,68)&gt;=1E+90,"",INDEX('Offene Vorgänge'!$H$8:$H$207,MATCH(SMALL('Offene Vorgänge'!$J$8:$J$207,68),'Offene Vorgänge'!$J$8:$J$207,0))),"")</x:f>
      </x:c>
      <x:c r="I75" s="1"/>
      <x:c r="J75" s="1"/>
      <x:c r="K75" s="1"/>
      <x:c r="L75" s="1"/>
      <x:c r="M75" s="1"/>
      <x:c r="N75" s="1"/>
      <x:c r="O75" s="1"/>
      <x:c r="P75" s="1"/>
      <x:c r="Q75" s="1"/>
      <x:c r="R75" s="1"/>
      <x:c r="S75" s="1"/>
      <x:c r="T75" s="1"/>
    </x:row>
    <x:row r="76" ht="18" customHeight="1">
      <x:c r="A76" s="1"/>
      <x:c r="B76" s="47" t="str">
        <x:f>IF($E76="","",69)</x:f>
      </x:c>
      <x:c r="C76" s="49" t="str">
        <x:f>IFERROR(IF(SMALL('Offene Vorgänge'!$J$8:$J$207,69)&gt;=1E+90,"",INDEX('Offene Vorgänge'!$C$8:$C$207,MATCH(SMALL('Offene Vorgänge'!$J$8:$J$207,69),'Offene Vorgänge'!$J$8:$J$207,0))),"")</x:f>
      </x:c>
      <x:c r="D76" s="50" t="str">
        <x:f>IFERROR(IF(SMALL('Offene Vorgänge'!$J$8:$J$207,69)&gt;=1E+90,"",INDEX('Offene Vorgänge'!$D$8:$D$207,MATCH(SMALL('Offene Vorgänge'!$J$8:$J$207,69),'Offene Vorgänge'!$J$8:$J$207,0))),"")</x:f>
      </x:c>
      <x:c r="E76" s="44" t="str">
        <x:f>IFERROR(IF(SMALL('Offene Vorgänge'!$J$8:$J$207,69)&gt;=1E+90,"",INDEX('Offene Vorgänge'!$E$8:$E$207,MATCH(SMALL('Offene Vorgänge'!$J$8:$J$207,69),'Offene Vorgänge'!$J$8:$J$207,0))),"")</x:f>
      </x:c>
      <x:c r="F76" s="50" t="str">
        <x:f>IFERROR(IF(SMALL('Offene Vorgänge'!$J$8:$J$207,69)&gt;=1E+90,"",INDEX('Offene Vorgänge'!$F$8:$F$207,MATCH(SMALL('Offene Vorgänge'!$J$8:$J$207,69),'Offene Vorgänge'!$J$8:$J$207,0))),"")</x:f>
      </x:c>
      <x:c r="G76" s="50" t="str">
        <x:f>IF($E76="","",IF($C76="","ohne Frist",IF($C76&lt;TODAY(),"überfällig","offen")))</x:f>
      </x:c>
      <x:c r="H76" s="44" t="str">
        <x:f>IFERROR(IF(SMALL('Offene Vorgänge'!$J$8:$J$207,69)&gt;=1E+90,"",INDEX('Offene Vorgänge'!$H$8:$H$207,MATCH(SMALL('Offene Vorgänge'!$J$8:$J$207,69),'Offene Vorgänge'!$J$8:$J$207,0))),"")</x:f>
      </x:c>
      <x:c r="I76" s="1"/>
      <x:c r="J76" s="1"/>
      <x:c r="K76" s="1"/>
      <x:c r="L76" s="1"/>
      <x:c r="M76" s="1"/>
      <x:c r="N76" s="1"/>
      <x:c r="O76" s="1"/>
      <x:c r="P76" s="1"/>
      <x:c r="Q76" s="1"/>
      <x:c r="R76" s="1"/>
      <x:c r="S76" s="1"/>
      <x:c r="T76" s="1"/>
    </x:row>
    <x:row r="77" ht="18" customHeight="1">
      <x:c r="A77" s="1"/>
      <x:c r="B77" s="47" t="str">
        <x:f>IF($E77="","",70)</x:f>
      </x:c>
      <x:c r="C77" s="49" t="str">
        <x:f>IFERROR(IF(SMALL('Offene Vorgänge'!$J$8:$J$207,70)&gt;=1E+90,"",INDEX('Offene Vorgänge'!$C$8:$C$207,MATCH(SMALL('Offene Vorgänge'!$J$8:$J$207,70),'Offene Vorgänge'!$J$8:$J$207,0))),"")</x:f>
      </x:c>
      <x:c r="D77" s="50" t="str">
        <x:f>IFERROR(IF(SMALL('Offene Vorgänge'!$J$8:$J$207,70)&gt;=1E+90,"",INDEX('Offene Vorgänge'!$D$8:$D$207,MATCH(SMALL('Offene Vorgänge'!$J$8:$J$207,70),'Offene Vorgänge'!$J$8:$J$207,0))),"")</x:f>
      </x:c>
      <x:c r="E77" s="44" t="str">
        <x:f>IFERROR(IF(SMALL('Offene Vorgänge'!$J$8:$J$207,70)&gt;=1E+90,"",INDEX('Offene Vorgänge'!$E$8:$E$207,MATCH(SMALL('Offene Vorgänge'!$J$8:$J$207,70),'Offene Vorgänge'!$J$8:$J$207,0))),"")</x:f>
      </x:c>
      <x:c r="F77" s="50" t="str">
        <x:f>IFERROR(IF(SMALL('Offene Vorgänge'!$J$8:$J$207,70)&gt;=1E+90,"",INDEX('Offene Vorgänge'!$F$8:$F$207,MATCH(SMALL('Offene Vorgänge'!$J$8:$J$207,70),'Offene Vorgänge'!$J$8:$J$207,0))),"")</x:f>
      </x:c>
      <x:c r="G77" s="50" t="str">
        <x:f>IF($E77="","",IF($C77="","ohne Frist",IF($C77&lt;TODAY(),"überfällig","offen")))</x:f>
      </x:c>
      <x:c r="H77" s="44" t="str">
        <x:f>IFERROR(IF(SMALL('Offene Vorgänge'!$J$8:$J$207,70)&gt;=1E+90,"",INDEX('Offene Vorgänge'!$H$8:$H$207,MATCH(SMALL('Offene Vorgänge'!$J$8:$J$207,70),'Offene Vorgänge'!$J$8:$J$207,0))),"")</x:f>
      </x:c>
      <x:c r="I77" s="1"/>
      <x:c r="J77" s="1"/>
      <x:c r="K77" s="1"/>
      <x:c r="L77" s="1"/>
      <x:c r="M77" s="1"/>
      <x:c r="N77" s="1"/>
      <x:c r="O77" s="1"/>
      <x:c r="P77" s="1"/>
      <x:c r="Q77" s="1"/>
      <x:c r="R77" s="1"/>
      <x:c r="S77" s="1"/>
      <x:c r="T77" s="1"/>
    </x:row>
    <x:row r="78" ht="18" customHeight="1">
      <x:c r="A78" s="1"/>
      <x:c r="B78" s="47" t="str">
        <x:f>IF($E78="","",71)</x:f>
      </x:c>
      <x:c r="C78" s="49" t="str">
        <x:f>IFERROR(IF(SMALL('Offene Vorgänge'!$J$8:$J$207,71)&gt;=1E+90,"",INDEX('Offene Vorgänge'!$C$8:$C$207,MATCH(SMALL('Offene Vorgänge'!$J$8:$J$207,71),'Offene Vorgänge'!$J$8:$J$207,0))),"")</x:f>
      </x:c>
      <x:c r="D78" s="50" t="str">
        <x:f>IFERROR(IF(SMALL('Offene Vorgänge'!$J$8:$J$207,71)&gt;=1E+90,"",INDEX('Offene Vorgänge'!$D$8:$D$207,MATCH(SMALL('Offene Vorgänge'!$J$8:$J$207,71),'Offene Vorgänge'!$J$8:$J$207,0))),"")</x:f>
      </x:c>
      <x:c r="E78" s="44" t="str">
        <x:f>IFERROR(IF(SMALL('Offene Vorgänge'!$J$8:$J$207,71)&gt;=1E+90,"",INDEX('Offene Vorgänge'!$E$8:$E$207,MATCH(SMALL('Offene Vorgänge'!$J$8:$J$207,71),'Offene Vorgänge'!$J$8:$J$207,0))),"")</x:f>
      </x:c>
      <x:c r="F78" s="50" t="str">
        <x:f>IFERROR(IF(SMALL('Offene Vorgänge'!$J$8:$J$207,71)&gt;=1E+90,"",INDEX('Offene Vorgänge'!$F$8:$F$207,MATCH(SMALL('Offene Vorgänge'!$J$8:$J$207,71),'Offene Vorgänge'!$J$8:$J$207,0))),"")</x:f>
      </x:c>
      <x:c r="G78" s="50" t="str">
        <x:f>IF($E78="","",IF($C78="","ohne Frist",IF($C78&lt;TODAY(),"überfällig","offen")))</x:f>
      </x:c>
      <x:c r="H78" s="44" t="str">
        <x:f>IFERROR(IF(SMALL('Offene Vorgänge'!$J$8:$J$207,71)&gt;=1E+90,"",INDEX('Offene Vorgänge'!$H$8:$H$207,MATCH(SMALL('Offene Vorgänge'!$J$8:$J$207,71),'Offene Vorgänge'!$J$8:$J$207,0))),"")</x:f>
      </x:c>
      <x:c r="I78" s="1"/>
      <x:c r="J78" s="1"/>
      <x:c r="K78" s="1"/>
      <x:c r="L78" s="1"/>
      <x:c r="M78" s="1"/>
      <x:c r="N78" s="1"/>
      <x:c r="O78" s="1"/>
      <x:c r="P78" s="1"/>
      <x:c r="Q78" s="1"/>
      <x:c r="R78" s="1"/>
      <x:c r="S78" s="1"/>
      <x:c r="T78" s="1"/>
    </x:row>
    <x:row r="79" ht="18" customHeight="1">
      <x:c r="A79" s="1"/>
      <x:c r="B79" s="47" t="str">
        <x:f>IF($E79="","",72)</x:f>
      </x:c>
      <x:c r="C79" s="49" t="str">
        <x:f>IFERROR(IF(SMALL('Offene Vorgänge'!$J$8:$J$207,72)&gt;=1E+90,"",INDEX('Offene Vorgänge'!$C$8:$C$207,MATCH(SMALL('Offene Vorgänge'!$J$8:$J$207,72),'Offene Vorgänge'!$J$8:$J$207,0))),"")</x:f>
      </x:c>
      <x:c r="D79" s="50" t="str">
        <x:f>IFERROR(IF(SMALL('Offene Vorgänge'!$J$8:$J$207,72)&gt;=1E+90,"",INDEX('Offene Vorgänge'!$D$8:$D$207,MATCH(SMALL('Offene Vorgänge'!$J$8:$J$207,72),'Offene Vorgänge'!$J$8:$J$207,0))),"")</x:f>
      </x:c>
      <x:c r="E79" s="44" t="str">
        <x:f>IFERROR(IF(SMALL('Offene Vorgänge'!$J$8:$J$207,72)&gt;=1E+90,"",INDEX('Offene Vorgänge'!$E$8:$E$207,MATCH(SMALL('Offene Vorgänge'!$J$8:$J$207,72),'Offene Vorgänge'!$J$8:$J$207,0))),"")</x:f>
      </x:c>
      <x:c r="F79" s="50" t="str">
        <x:f>IFERROR(IF(SMALL('Offene Vorgänge'!$J$8:$J$207,72)&gt;=1E+90,"",INDEX('Offene Vorgänge'!$F$8:$F$207,MATCH(SMALL('Offene Vorgänge'!$J$8:$J$207,72),'Offene Vorgänge'!$J$8:$J$207,0))),"")</x:f>
      </x:c>
      <x:c r="G79" s="50" t="str">
        <x:f>IF($E79="","",IF($C79="","ohne Frist",IF($C79&lt;TODAY(),"überfällig","offen")))</x:f>
      </x:c>
      <x:c r="H79" s="44" t="str">
        <x:f>IFERROR(IF(SMALL('Offene Vorgänge'!$J$8:$J$207,72)&gt;=1E+90,"",INDEX('Offene Vorgänge'!$H$8:$H$207,MATCH(SMALL('Offene Vorgänge'!$J$8:$J$207,72),'Offene Vorgänge'!$J$8:$J$207,0))),"")</x:f>
      </x:c>
      <x:c r="I79" s="1"/>
      <x:c r="J79" s="1"/>
      <x:c r="K79" s="1"/>
      <x:c r="L79" s="1"/>
      <x:c r="M79" s="1"/>
      <x:c r="N79" s="1"/>
      <x:c r="O79" s="1"/>
      <x:c r="P79" s="1"/>
      <x:c r="Q79" s="1"/>
      <x:c r="R79" s="1"/>
      <x:c r="S79" s="1"/>
      <x:c r="T79" s="1"/>
    </x:row>
    <x:row r="80" ht="18" customHeight="1">
      <x:c r="A80" s="1"/>
      <x:c r="B80" s="47" t="str">
        <x:f>IF($E80="","",73)</x:f>
      </x:c>
      <x:c r="C80" s="49" t="str">
        <x:f>IFERROR(IF(SMALL('Offene Vorgänge'!$J$8:$J$207,73)&gt;=1E+90,"",INDEX('Offene Vorgänge'!$C$8:$C$207,MATCH(SMALL('Offene Vorgänge'!$J$8:$J$207,73),'Offene Vorgänge'!$J$8:$J$207,0))),"")</x:f>
      </x:c>
      <x:c r="D80" s="50" t="str">
        <x:f>IFERROR(IF(SMALL('Offene Vorgänge'!$J$8:$J$207,73)&gt;=1E+90,"",INDEX('Offene Vorgänge'!$D$8:$D$207,MATCH(SMALL('Offene Vorgänge'!$J$8:$J$207,73),'Offene Vorgänge'!$J$8:$J$207,0))),"")</x:f>
      </x:c>
      <x:c r="E80" s="44" t="str">
        <x:f>IFERROR(IF(SMALL('Offene Vorgänge'!$J$8:$J$207,73)&gt;=1E+90,"",INDEX('Offene Vorgänge'!$E$8:$E$207,MATCH(SMALL('Offene Vorgänge'!$J$8:$J$207,73),'Offene Vorgänge'!$J$8:$J$207,0))),"")</x:f>
      </x:c>
      <x:c r="F80" s="50" t="str">
        <x:f>IFERROR(IF(SMALL('Offene Vorgänge'!$J$8:$J$207,73)&gt;=1E+90,"",INDEX('Offene Vorgänge'!$F$8:$F$207,MATCH(SMALL('Offene Vorgänge'!$J$8:$J$207,73),'Offene Vorgänge'!$J$8:$J$207,0))),"")</x:f>
      </x:c>
      <x:c r="G80" s="50" t="str">
        <x:f>IF($E80="","",IF($C80="","ohne Frist",IF($C80&lt;TODAY(),"überfällig","offen")))</x:f>
      </x:c>
      <x:c r="H80" s="44" t="str">
        <x:f>IFERROR(IF(SMALL('Offene Vorgänge'!$J$8:$J$207,73)&gt;=1E+90,"",INDEX('Offene Vorgänge'!$H$8:$H$207,MATCH(SMALL('Offene Vorgänge'!$J$8:$J$207,73),'Offene Vorgänge'!$J$8:$J$207,0))),"")</x:f>
      </x:c>
      <x:c r="I80" s="1"/>
      <x:c r="J80" s="1"/>
      <x:c r="K80" s="1"/>
      <x:c r="L80" s="1"/>
      <x:c r="M80" s="1"/>
      <x:c r="N80" s="1"/>
      <x:c r="O80" s="1"/>
      <x:c r="P80" s="1"/>
      <x:c r="Q80" s="1"/>
      <x:c r="R80" s="1"/>
      <x:c r="S80" s="1"/>
      <x:c r="T80" s="1"/>
    </x:row>
    <x:row r="81" ht="18" customHeight="1">
      <x:c r="A81" s="1"/>
      <x:c r="B81" s="47" t="str">
        <x:f>IF($E81="","",74)</x:f>
      </x:c>
      <x:c r="C81" s="49" t="str">
        <x:f>IFERROR(IF(SMALL('Offene Vorgänge'!$J$8:$J$207,74)&gt;=1E+90,"",INDEX('Offene Vorgänge'!$C$8:$C$207,MATCH(SMALL('Offene Vorgänge'!$J$8:$J$207,74),'Offene Vorgänge'!$J$8:$J$207,0))),"")</x:f>
      </x:c>
      <x:c r="D81" s="50" t="str">
        <x:f>IFERROR(IF(SMALL('Offene Vorgänge'!$J$8:$J$207,74)&gt;=1E+90,"",INDEX('Offene Vorgänge'!$D$8:$D$207,MATCH(SMALL('Offene Vorgänge'!$J$8:$J$207,74),'Offene Vorgänge'!$J$8:$J$207,0))),"")</x:f>
      </x:c>
      <x:c r="E81" s="44" t="str">
        <x:f>IFERROR(IF(SMALL('Offene Vorgänge'!$J$8:$J$207,74)&gt;=1E+90,"",INDEX('Offene Vorgänge'!$E$8:$E$207,MATCH(SMALL('Offene Vorgänge'!$J$8:$J$207,74),'Offene Vorgänge'!$J$8:$J$207,0))),"")</x:f>
      </x:c>
      <x:c r="F81" s="50" t="str">
        <x:f>IFERROR(IF(SMALL('Offene Vorgänge'!$J$8:$J$207,74)&gt;=1E+90,"",INDEX('Offene Vorgänge'!$F$8:$F$207,MATCH(SMALL('Offene Vorgänge'!$J$8:$J$207,74),'Offene Vorgänge'!$J$8:$J$207,0))),"")</x:f>
      </x:c>
      <x:c r="G81" s="50" t="str">
        <x:f>IF($E81="","",IF($C81="","ohne Frist",IF($C81&lt;TODAY(),"überfällig","offen")))</x:f>
      </x:c>
      <x:c r="H81" s="44" t="str">
        <x:f>IFERROR(IF(SMALL('Offene Vorgänge'!$J$8:$J$207,74)&gt;=1E+90,"",INDEX('Offene Vorgänge'!$H$8:$H$207,MATCH(SMALL('Offene Vorgänge'!$J$8:$J$207,74),'Offene Vorgänge'!$J$8:$J$207,0))),"")</x:f>
      </x:c>
      <x:c r="I81" s="1"/>
      <x:c r="J81" s="1"/>
      <x:c r="K81" s="1"/>
      <x:c r="L81" s="1"/>
      <x:c r="M81" s="1"/>
      <x:c r="N81" s="1"/>
      <x:c r="O81" s="1"/>
      <x:c r="P81" s="1"/>
      <x:c r="Q81" s="1"/>
      <x:c r="R81" s="1"/>
      <x:c r="S81" s="1"/>
      <x:c r="T81" s="1"/>
    </x:row>
    <x:row r="82" ht="18" customHeight="1">
      <x:c r="A82" s="1"/>
      <x:c r="B82" s="47" t="str">
        <x:f>IF($E82="","",75)</x:f>
      </x:c>
      <x:c r="C82" s="49" t="str">
        <x:f>IFERROR(IF(SMALL('Offene Vorgänge'!$J$8:$J$207,75)&gt;=1E+90,"",INDEX('Offene Vorgänge'!$C$8:$C$207,MATCH(SMALL('Offene Vorgänge'!$J$8:$J$207,75),'Offene Vorgänge'!$J$8:$J$207,0))),"")</x:f>
      </x:c>
      <x:c r="D82" s="50" t="str">
        <x:f>IFERROR(IF(SMALL('Offene Vorgänge'!$J$8:$J$207,75)&gt;=1E+90,"",INDEX('Offene Vorgänge'!$D$8:$D$207,MATCH(SMALL('Offene Vorgänge'!$J$8:$J$207,75),'Offene Vorgänge'!$J$8:$J$207,0))),"")</x:f>
      </x:c>
      <x:c r="E82" s="44" t="str">
        <x:f>IFERROR(IF(SMALL('Offene Vorgänge'!$J$8:$J$207,75)&gt;=1E+90,"",INDEX('Offene Vorgänge'!$E$8:$E$207,MATCH(SMALL('Offene Vorgänge'!$J$8:$J$207,75),'Offene Vorgänge'!$J$8:$J$207,0))),"")</x:f>
      </x:c>
      <x:c r="F82" s="50" t="str">
        <x:f>IFERROR(IF(SMALL('Offene Vorgänge'!$J$8:$J$207,75)&gt;=1E+90,"",INDEX('Offene Vorgänge'!$F$8:$F$207,MATCH(SMALL('Offene Vorgänge'!$J$8:$J$207,75),'Offene Vorgänge'!$J$8:$J$207,0))),"")</x:f>
      </x:c>
      <x:c r="G82" s="50" t="str">
        <x:f>IF($E82="","",IF($C82="","ohne Frist",IF($C82&lt;TODAY(),"überfällig","offen")))</x:f>
      </x:c>
      <x:c r="H82" s="44" t="str">
        <x:f>IFERROR(IF(SMALL('Offene Vorgänge'!$J$8:$J$207,75)&gt;=1E+90,"",INDEX('Offene Vorgänge'!$H$8:$H$207,MATCH(SMALL('Offene Vorgänge'!$J$8:$J$207,75),'Offene Vorgänge'!$J$8:$J$207,0))),"")</x:f>
      </x:c>
      <x:c r="I82" s="1"/>
      <x:c r="J82" s="1"/>
      <x:c r="K82" s="1"/>
      <x:c r="L82" s="1"/>
      <x:c r="M82" s="1"/>
      <x:c r="N82" s="1"/>
      <x:c r="O82" s="1"/>
      <x:c r="P82" s="1"/>
      <x:c r="Q82" s="1"/>
      <x:c r="R82" s="1"/>
      <x:c r="S82" s="1"/>
      <x:c r="T82" s="1"/>
    </x:row>
    <x:row r="83" ht="18" customHeight="1">
      <x:c r="A83" s="1"/>
      <x:c r="B83" s="47" t="str">
        <x:f>IF($E83="","",76)</x:f>
      </x:c>
      <x:c r="C83" s="49" t="str">
        <x:f>IFERROR(IF(SMALL('Offene Vorgänge'!$J$8:$J$207,76)&gt;=1E+90,"",INDEX('Offene Vorgänge'!$C$8:$C$207,MATCH(SMALL('Offene Vorgänge'!$J$8:$J$207,76),'Offene Vorgänge'!$J$8:$J$207,0))),"")</x:f>
      </x:c>
      <x:c r="D83" s="50" t="str">
        <x:f>IFERROR(IF(SMALL('Offene Vorgänge'!$J$8:$J$207,76)&gt;=1E+90,"",INDEX('Offene Vorgänge'!$D$8:$D$207,MATCH(SMALL('Offene Vorgänge'!$J$8:$J$207,76),'Offene Vorgänge'!$J$8:$J$207,0))),"")</x:f>
      </x:c>
      <x:c r="E83" s="44" t="str">
        <x:f>IFERROR(IF(SMALL('Offene Vorgänge'!$J$8:$J$207,76)&gt;=1E+90,"",INDEX('Offene Vorgänge'!$E$8:$E$207,MATCH(SMALL('Offene Vorgänge'!$J$8:$J$207,76),'Offene Vorgänge'!$J$8:$J$207,0))),"")</x:f>
      </x:c>
      <x:c r="F83" s="50" t="str">
        <x:f>IFERROR(IF(SMALL('Offene Vorgänge'!$J$8:$J$207,76)&gt;=1E+90,"",INDEX('Offene Vorgänge'!$F$8:$F$207,MATCH(SMALL('Offene Vorgänge'!$J$8:$J$207,76),'Offene Vorgänge'!$J$8:$J$207,0))),"")</x:f>
      </x:c>
      <x:c r="G83" s="50" t="str">
        <x:f>IF($E83="","",IF($C83="","ohne Frist",IF($C83&lt;TODAY(),"überfällig","offen")))</x:f>
      </x:c>
      <x:c r="H83" s="44" t="str">
        <x:f>IFERROR(IF(SMALL('Offene Vorgänge'!$J$8:$J$207,76)&gt;=1E+90,"",INDEX('Offene Vorgänge'!$H$8:$H$207,MATCH(SMALL('Offene Vorgänge'!$J$8:$J$207,76),'Offene Vorgänge'!$J$8:$J$207,0))),"")</x:f>
      </x:c>
      <x:c r="I83" s="1"/>
      <x:c r="J83" s="1"/>
      <x:c r="K83" s="1"/>
      <x:c r="L83" s="1"/>
      <x:c r="M83" s="1"/>
      <x:c r="N83" s="1"/>
      <x:c r="O83" s="1"/>
      <x:c r="P83" s="1"/>
      <x:c r="Q83" s="1"/>
      <x:c r="R83" s="1"/>
      <x:c r="S83" s="1"/>
      <x:c r="T83" s="1"/>
    </x:row>
    <x:row r="84" ht="18" customHeight="1">
      <x:c r="A84" s="1"/>
      <x:c r="B84" s="47" t="str">
        <x:f>IF($E84="","",77)</x:f>
      </x:c>
      <x:c r="C84" s="49" t="str">
        <x:f>IFERROR(IF(SMALL('Offene Vorgänge'!$J$8:$J$207,77)&gt;=1E+90,"",INDEX('Offene Vorgänge'!$C$8:$C$207,MATCH(SMALL('Offene Vorgänge'!$J$8:$J$207,77),'Offene Vorgänge'!$J$8:$J$207,0))),"")</x:f>
      </x:c>
      <x:c r="D84" s="50" t="str">
        <x:f>IFERROR(IF(SMALL('Offene Vorgänge'!$J$8:$J$207,77)&gt;=1E+90,"",INDEX('Offene Vorgänge'!$D$8:$D$207,MATCH(SMALL('Offene Vorgänge'!$J$8:$J$207,77),'Offene Vorgänge'!$J$8:$J$207,0))),"")</x:f>
      </x:c>
      <x:c r="E84" s="44" t="str">
        <x:f>IFERROR(IF(SMALL('Offene Vorgänge'!$J$8:$J$207,77)&gt;=1E+90,"",INDEX('Offene Vorgänge'!$E$8:$E$207,MATCH(SMALL('Offene Vorgänge'!$J$8:$J$207,77),'Offene Vorgänge'!$J$8:$J$207,0))),"")</x:f>
      </x:c>
      <x:c r="F84" s="50" t="str">
        <x:f>IFERROR(IF(SMALL('Offene Vorgänge'!$J$8:$J$207,77)&gt;=1E+90,"",INDEX('Offene Vorgänge'!$F$8:$F$207,MATCH(SMALL('Offene Vorgänge'!$J$8:$J$207,77),'Offene Vorgänge'!$J$8:$J$207,0))),"")</x:f>
      </x:c>
      <x:c r="G84" s="50" t="str">
        <x:f>IF($E84="","",IF($C84="","ohne Frist",IF($C84&lt;TODAY(),"überfällig","offen")))</x:f>
      </x:c>
      <x:c r="H84" s="44" t="str">
        <x:f>IFERROR(IF(SMALL('Offene Vorgänge'!$J$8:$J$207,77)&gt;=1E+90,"",INDEX('Offene Vorgänge'!$H$8:$H$207,MATCH(SMALL('Offene Vorgänge'!$J$8:$J$207,77),'Offene Vorgänge'!$J$8:$J$207,0))),"")</x:f>
      </x:c>
      <x:c r="I84" s="1"/>
      <x:c r="J84" s="1"/>
      <x:c r="K84" s="1"/>
      <x:c r="L84" s="1"/>
      <x:c r="M84" s="1"/>
      <x:c r="N84" s="1"/>
      <x:c r="O84" s="1"/>
      <x:c r="P84" s="1"/>
      <x:c r="Q84" s="1"/>
      <x:c r="R84" s="1"/>
      <x:c r="S84" s="1"/>
      <x:c r="T84" s="1"/>
    </x:row>
    <x:row r="85" ht="18" customHeight="1">
      <x:c r="A85" s="1"/>
      <x:c r="B85" s="47" t="str">
        <x:f>IF($E85="","",78)</x:f>
      </x:c>
      <x:c r="C85" s="49" t="str">
        <x:f>IFERROR(IF(SMALL('Offene Vorgänge'!$J$8:$J$207,78)&gt;=1E+90,"",INDEX('Offene Vorgänge'!$C$8:$C$207,MATCH(SMALL('Offene Vorgänge'!$J$8:$J$207,78),'Offene Vorgänge'!$J$8:$J$207,0))),"")</x:f>
      </x:c>
      <x:c r="D85" s="50" t="str">
        <x:f>IFERROR(IF(SMALL('Offene Vorgänge'!$J$8:$J$207,78)&gt;=1E+90,"",INDEX('Offene Vorgänge'!$D$8:$D$207,MATCH(SMALL('Offene Vorgänge'!$J$8:$J$207,78),'Offene Vorgänge'!$J$8:$J$207,0))),"")</x:f>
      </x:c>
      <x:c r="E85" s="44" t="str">
        <x:f>IFERROR(IF(SMALL('Offene Vorgänge'!$J$8:$J$207,78)&gt;=1E+90,"",INDEX('Offene Vorgänge'!$E$8:$E$207,MATCH(SMALL('Offene Vorgänge'!$J$8:$J$207,78),'Offene Vorgänge'!$J$8:$J$207,0))),"")</x:f>
      </x:c>
      <x:c r="F85" s="50" t="str">
        <x:f>IFERROR(IF(SMALL('Offene Vorgänge'!$J$8:$J$207,78)&gt;=1E+90,"",INDEX('Offene Vorgänge'!$F$8:$F$207,MATCH(SMALL('Offene Vorgänge'!$J$8:$J$207,78),'Offene Vorgänge'!$J$8:$J$207,0))),"")</x:f>
      </x:c>
      <x:c r="G85" s="50" t="str">
        <x:f>IF($E85="","",IF($C85="","ohne Frist",IF($C85&lt;TODAY(),"überfällig","offen")))</x:f>
      </x:c>
      <x:c r="H85" s="44" t="str">
        <x:f>IFERROR(IF(SMALL('Offene Vorgänge'!$J$8:$J$207,78)&gt;=1E+90,"",INDEX('Offene Vorgänge'!$H$8:$H$207,MATCH(SMALL('Offene Vorgänge'!$J$8:$J$207,78),'Offene Vorgänge'!$J$8:$J$207,0))),"")</x:f>
      </x:c>
      <x:c r="I85" s="1"/>
      <x:c r="J85" s="1"/>
      <x:c r="K85" s="1"/>
      <x:c r="L85" s="1"/>
      <x:c r="M85" s="1"/>
      <x:c r="N85" s="1"/>
      <x:c r="O85" s="1"/>
      <x:c r="P85" s="1"/>
      <x:c r="Q85" s="1"/>
      <x:c r="R85" s="1"/>
      <x:c r="S85" s="1"/>
      <x:c r="T85" s="1"/>
    </x:row>
    <x:row r="86" ht="18" customHeight="1">
      <x:c r="A86" s="1"/>
      <x:c r="B86" s="47" t="str">
        <x:f>IF($E86="","",79)</x:f>
      </x:c>
      <x:c r="C86" s="49" t="str">
        <x:f>IFERROR(IF(SMALL('Offene Vorgänge'!$J$8:$J$207,79)&gt;=1E+90,"",INDEX('Offene Vorgänge'!$C$8:$C$207,MATCH(SMALL('Offene Vorgänge'!$J$8:$J$207,79),'Offene Vorgänge'!$J$8:$J$207,0))),"")</x:f>
      </x:c>
      <x:c r="D86" s="50" t="str">
        <x:f>IFERROR(IF(SMALL('Offene Vorgänge'!$J$8:$J$207,79)&gt;=1E+90,"",INDEX('Offene Vorgänge'!$D$8:$D$207,MATCH(SMALL('Offene Vorgänge'!$J$8:$J$207,79),'Offene Vorgänge'!$J$8:$J$207,0))),"")</x:f>
      </x:c>
      <x:c r="E86" s="44" t="str">
        <x:f>IFERROR(IF(SMALL('Offene Vorgänge'!$J$8:$J$207,79)&gt;=1E+90,"",INDEX('Offene Vorgänge'!$E$8:$E$207,MATCH(SMALL('Offene Vorgänge'!$J$8:$J$207,79),'Offene Vorgänge'!$J$8:$J$207,0))),"")</x:f>
      </x:c>
      <x:c r="F86" s="50" t="str">
        <x:f>IFERROR(IF(SMALL('Offene Vorgänge'!$J$8:$J$207,79)&gt;=1E+90,"",INDEX('Offene Vorgänge'!$F$8:$F$207,MATCH(SMALL('Offene Vorgänge'!$J$8:$J$207,79),'Offene Vorgänge'!$J$8:$J$207,0))),"")</x:f>
      </x:c>
      <x:c r="G86" s="50" t="str">
        <x:f>IF($E86="","",IF($C86="","ohne Frist",IF($C86&lt;TODAY(),"überfällig","offen")))</x:f>
      </x:c>
      <x:c r="H86" s="44" t="str">
        <x:f>IFERROR(IF(SMALL('Offene Vorgänge'!$J$8:$J$207,79)&gt;=1E+90,"",INDEX('Offene Vorgänge'!$H$8:$H$207,MATCH(SMALL('Offene Vorgänge'!$J$8:$J$207,79),'Offene Vorgänge'!$J$8:$J$207,0))),"")</x:f>
      </x:c>
      <x:c r="I86" s="1"/>
      <x:c r="J86" s="1"/>
      <x:c r="K86" s="1"/>
      <x:c r="L86" s="1"/>
      <x:c r="M86" s="1"/>
      <x:c r="N86" s="1"/>
      <x:c r="O86" s="1"/>
      <x:c r="P86" s="1"/>
      <x:c r="Q86" s="1"/>
      <x:c r="R86" s="1"/>
      <x:c r="S86" s="1"/>
      <x:c r="T86" s="1"/>
    </x:row>
    <x:row r="87" ht="18" customHeight="1">
      <x:c r="A87" s="1"/>
      <x:c r="B87" s="47" t="str">
        <x:f>IF($E87="","",80)</x:f>
      </x:c>
      <x:c r="C87" s="49" t="str">
        <x:f>IFERROR(IF(SMALL('Offene Vorgänge'!$J$8:$J$207,80)&gt;=1E+90,"",INDEX('Offene Vorgänge'!$C$8:$C$207,MATCH(SMALL('Offene Vorgänge'!$J$8:$J$207,80),'Offene Vorgänge'!$J$8:$J$207,0))),"")</x:f>
      </x:c>
      <x:c r="D87" s="50" t="str">
        <x:f>IFERROR(IF(SMALL('Offene Vorgänge'!$J$8:$J$207,80)&gt;=1E+90,"",INDEX('Offene Vorgänge'!$D$8:$D$207,MATCH(SMALL('Offene Vorgänge'!$J$8:$J$207,80),'Offene Vorgänge'!$J$8:$J$207,0))),"")</x:f>
      </x:c>
      <x:c r="E87" s="44" t="str">
        <x:f>IFERROR(IF(SMALL('Offene Vorgänge'!$J$8:$J$207,80)&gt;=1E+90,"",INDEX('Offene Vorgänge'!$E$8:$E$207,MATCH(SMALL('Offene Vorgänge'!$J$8:$J$207,80),'Offene Vorgänge'!$J$8:$J$207,0))),"")</x:f>
      </x:c>
      <x:c r="F87" s="50" t="str">
        <x:f>IFERROR(IF(SMALL('Offene Vorgänge'!$J$8:$J$207,80)&gt;=1E+90,"",INDEX('Offene Vorgänge'!$F$8:$F$207,MATCH(SMALL('Offene Vorgänge'!$J$8:$J$207,80),'Offene Vorgänge'!$J$8:$J$207,0))),"")</x:f>
      </x:c>
      <x:c r="G87" s="50" t="str">
        <x:f>IF($E87="","",IF($C87="","ohne Frist",IF($C87&lt;TODAY(),"überfällig","offen")))</x:f>
      </x:c>
      <x:c r="H87" s="44" t="str">
        <x:f>IFERROR(IF(SMALL('Offene Vorgänge'!$J$8:$J$207,80)&gt;=1E+90,"",INDEX('Offene Vorgänge'!$H$8:$H$207,MATCH(SMALL('Offene Vorgänge'!$J$8:$J$207,80),'Offene Vorgänge'!$J$8:$J$207,0))),"")</x:f>
      </x:c>
      <x:c r="I87" s="1"/>
      <x:c r="J87" s="1"/>
      <x:c r="K87" s="1"/>
      <x:c r="L87" s="1"/>
      <x:c r="M87" s="1"/>
      <x:c r="N87" s="1"/>
      <x:c r="O87" s="1"/>
      <x:c r="P87" s="1"/>
      <x:c r="Q87" s="1"/>
      <x:c r="R87" s="1"/>
      <x:c r="S87" s="1"/>
      <x:c r="T87" s="1"/>
    </x:row>
    <x:row r="88" ht="18" customHeight="1">
      <x:c r="A88" s="1"/>
      <x:c r="B88" s="47" t="str">
        <x:f>IF($E88="","",81)</x:f>
      </x:c>
      <x:c r="C88" s="49" t="str">
        <x:f>IFERROR(IF(SMALL('Offene Vorgänge'!$J$8:$J$207,81)&gt;=1E+90,"",INDEX('Offene Vorgänge'!$C$8:$C$207,MATCH(SMALL('Offene Vorgänge'!$J$8:$J$207,81),'Offene Vorgänge'!$J$8:$J$207,0))),"")</x:f>
      </x:c>
      <x:c r="D88" s="50" t="str">
        <x:f>IFERROR(IF(SMALL('Offene Vorgänge'!$J$8:$J$207,81)&gt;=1E+90,"",INDEX('Offene Vorgänge'!$D$8:$D$207,MATCH(SMALL('Offene Vorgänge'!$J$8:$J$207,81),'Offene Vorgänge'!$J$8:$J$207,0))),"")</x:f>
      </x:c>
      <x:c r="E88" s="44" t="str">
        <x:f>IFERROR(IF(SMALL('Offene Vorgänge'!$J$8:$J$207,81)&gt;=1E+90,"",INDEX('Offene Vorgänge'!$E$8:$E$207,MATCH(SMALL('Offene Vorgänge'!$J$8:$J$207,81),'Offene Vorgänge'!$J$8:$J$207,0))),"")</x:f>
      </x:c>
      <x:c r="F88" s="50" t="str">
        <x:f>IFERROR(IF(SMALL('Offene Vorgänge'!$J$8:$J$207,81)&gt;=1E+90,"",INDEX('Offene Vorgänge'!$F$8:$F$207,MATCH(SMALL('Offene Vorgänge'!$J$8:$J$207,81),'Offene Vorgänge'!$J$8:$J$207,0))),"")</x:f>
      </x:c>
      <x:c r="G88" s="50" t="str">
        <x:f>IF($E88="","",IF($C88="","ohne Frist",IF($C88&lt;TODAY(),"überfällig","offen")))</x:f>
      </x:c>
      <x:c r="H88" s="44" t="str">
        <x:f>IFERROR(IF(SMALL('Offene Vorgänge'!$J$8:$J$207,81)&gt;=1E+90,"",INDEX('Offene Vorgänge'!$H$8:$H$207,MATCH(SMALL('Offene Vorgänge'!$J$8:$J$207,81),'Offene Vorgänge'!$J$8:$J$207,0))),"")</x:f>
      </x:c>
      <x:c r="I88" s="1"/>
      <x:c r="J88" s="1"/>
      <x:c r="K88" s="1"/>
      <x:c r="L88" s="1"/>
      <x:c r="M88" s="1"/>
      <x:c r="N88" s="1"/>
      <x:c r="O88" s="1"/>
      <x:c r="P88" s="1"/>
      <x:c r="Q88" s="1"/>
      <x:c r="R88" s="1"/>
      <x:c r="S88" s="1"/>
      <x:c r="T88" s="1"/>
    </x:row>
    <x:row r="89" ht="18" customHeight="1">
      <x:c r="A89" s="1"/>
      <x:c r="B89" s="47" t="str">
        <x:f>IF($E89="","",82)</x:f>
      </x:c>
      <x:c r="C89" s="49" t="str">
        <x:f>IFERROR(IF(SMALL('Offene Vorgänge'!$J$8:$J$207,82)&gt;=1E+90,"",INDEX('Offene Vorgänge'!$C$8:$C$207,MATCH(SMALL('Offene Vorgänge'!$J$8:$J$207,82),'Offene Vorgänge'!$J$8:$J$207,0))),"")</x:f>
      </x:c>
      <x:c r="D89" s="50" t="str">
        <x:f>IFERROR(IF(SMALL('Offene Vorgänge'!$J$8:$J$207,82)&gt;=1E+90,"",INDEX('Offene Vorgänge'!$D$8:$D$207,MATCH(SMALL('Offene Vorgänge'!$J$8:$J$207,82),'Offene Vorgänge'!$J$8:$J$207,0))),"")</x:f>
      </x:c>
      <x:c r="E89" s="44" t="str">
        <x:f>IFERROR(IF(SMALL('Offene Vorgänge'!$J$8:$J$207,82)&gt;=1E+90,"",INDEX('Offene Vorgänge'!$E$8:$E$207,MATCH(SMALL('Offene Vorgänge'!$J$8:$J$207,82),'Offene Vorgänge'!$J$8:$J$207,0))),"")</x:f>
      </x:c>
      <x:c r="F89" s="50" t="str">
        <x:f>IFERROR(IF(SMALL('Offene Vorgänge'!$J$8:$J$207,82)&gt;=1E+90,"",INDEX('Offene Vorgänge'!$F$8:$F$207,MATCH(SMALL('Offene Vorgänge'!$J$8:$J$207,82),'Offene Vorgänge'!$J$8:$J$207,0))),"")</x:f>
      </x:c>
      <x:c r="G89" s="50" t="str">
        <x:f>IF($E89="","",IF($C89="","ohne Frist",IF($C89&lt;TODAY(),"überfällig","offen")))</x:f>
      </x:c>
      <x:c r="H89" s="44" t="str">
        <x:f>IFERROR(IF(SMALL('Offene Vorgänge'!$J$8:$J$207,82)&gt;=1E+90,"",INDEX('Offene Vorgänge'!$H$8:$H$207,MATCH(SMALL('Offene Vorgänge'!$J$8:$J$207,82),'Offene Vorgänge'!$J$8:$J$207,0))),"")</x:f>
      </x:c>
      <x:c r="I89" s="1"/>
      <x:c r="J89" s="1"/>
      <x:c r="K89" s="1"/>
      <x:c r="L89" s="1"/>
      <x:c r="M89" s="1"/>
      <x:c r="N89" s="1"/>
      <x:c r="O89" s="1"/>
      <x:c r="P89" s="1"/>
      <x:c r="Q89" s="1"/>
      <x:c r="R89" s="1"/>
      <x:c r="S89" s="1"/>
      <x:c r="T89" s="1"/>
    </x:row>
    <x:row r="90" ht="18" customHeight="1">
      <x:c r="A90" s="1"/>
      <x:c r="B90" s="47" t="str">
        <x:f>IF($E90="","",83)</x:f>
      </x:c>
      <x:c r="C90" s="49" t="str">
        <x:f>IFERROR(IF(SMALL('Offene Vorgänge'!$J$8:$J$207,83)&gt;=1E+90,"",INDEX('Offene Vorgänge'!$C$8:$C$207,MATCH(SMALL('Offene Vorgänge'!$J$8:$J$207,83),'Offene Vorgänge'!$J$8:$J$207,0))),"")</x:f>
      </x:c>
      <x:c r="D90" s="50" t="str">
        <x:f>IFERROR(IF(SMALL('Offene Vorgänge'!$J$8:$J$207,83)&gt;=1E+90,"",INDEX('Offene Vorgänge'!$D$8:$D$207,MATCH(SMALL('Offene Vorgänge'!$J$8:$J$207,83),'Offene Vorgänge'!$J$8:$J$207,0))),"")</x:f>
      </x:c>
      <x:c r="E90" s="44" t="str">
        <x:f>IFERROR(IF(SMALL('Offene Vorgänge'!$J$8:$J$207,83)&gt;=1E+90,"",INDEX('Offene Vorgänge'!$E$8:$E$207,MATCH(SMALL('Offene Vorgänge'!$J$8:$J$207,83),'Offene Vorgänge'!$J$8:$J$207,0))),"")</x:f>
      </x:c>
      <x:c r="F90" s="50" t="str">
        <x:f>IFERROR(IF(SMALL('Offene Vorgänge'!$J$8:$J$207,83)&gt;=1E+90,"",INDEX('Offene Vorgänge'!$F$8:$F$207,MATCH(SMALL('Offene Vorgänge'!$J$8:$J$207,83),'Offene Vorgänge'!$J$8:$J$207,0))),"")</x:f>
      </x:c>
      <x:c r="G90" s="50" t="str">
        <x:f>IF($E90="","",IF($C90="","ohne Frist",IF($C90&lt;TODAY(),"überfällig","offen")))</x:f>
      </x:c>
      <x:c r="H90" s="44" t="str">
        <x:f>IFERROR(IF(SMALL('Offene Vorgänge'!$J$8:$J$207,83)&gt;=1E+90,"",INDEX('Offene Vorgänge'!$H$8:$H$207,MATCH(SMALL('Offene Vorgänge'!$J$8:$J$207,83),'Offene Vorgänge'!$J$8:$J$207,0))),"")</x:f>
      </x:c>
      <x:c r="I90" s="1"/>
      <x:c r="J90" s="1"/>
      <x:c r="K90" s="1"/>
      <x:c r="L90" s="1"/>
      <x:c r="M90" s="1"/>
      <x:c r="N90" s="1"/>
      <x:c r="O90" s="1"/>
      <x:c r="P90" s="1"/>
      <x:c r="Q90" s="1"/>
      <x:c r="R90" s="1"/>
      <x:c r="S90" s="1"/>
      <x:c r="T90" s="1"/>
    </x:row>
    <x:row r="91" ht="18" customHeight="1">
      <x:c r="A91" s="1"/>
      <x:c r="B91" s="47" t="str">
        <x:f>IF($E91="","",84)</x:f>
      </x:c>
      <x:c r="C91" s="49" t="str">
        <x:f>IFERROR(IF(SMALL('Offene Vorgänge'!$J$8:$J$207,84)&gt;=1E+90,"",INDEX('Offene Vorgänge'!$C$8:$C$207,MATCH(SMALL('Offene Vorgänge'!$J$8:$J$207,84),'Offene Vorgänge'!$J$8:$J$207,0))),"")</x:f>
      </x:c>
      <x:c r="D91" s="50" t="str">
        <x:f>IFERROR(IF(SMALL('Offene Vorgänge'!$J$8:$J$207,84)&gt;=1E+90,"",INDEX('Offene Vorgänge'!$D$8:$D$207,MATCH(SMALL('Offene Vorgänge'!$J$8:$J$207,84),'Offene Vorgänge'!$J$8:$J$207,0))),"")</x:f>
      </x:c>
      <x:c r="E91" s="44" t="str">
        <x:f>IFERROR(IF(SMALL('Offene Vorgänge'!$J$8:$J$207,84)&gt;=1E+90,"",INDEX('Offene Vorgänge'!$E$8:$E$207,MATCH(SMALL('Offene Vorgänge'!$J$8:$J$207,84),'Offene Vorgänge'!$J$8:$J$207,0))),"")</x:f>
      </x:c>
      <x:c r="F91" s="50" t="str">
        <x:f>IFERROR(IF(SMALL('Offene Vorgänge'!$J$8:$J$207,84)&gt;=1E+90,"",INDEX('Offene Vorgänge'!$F$8:$F$207,MATCH(SMALL('Offene Vorgänge'!$J$8:$J$207,84),'Offene Vorgänge'!$J$8:$J$207,0))),"")</x:f>
      </x:c>
      <x:c r="G91" s="50" t="str">
        <x:f>IF($E91="","",IF($C91="","ohne Frist",IF($C91&lt;TODAY(),"überfällig","offen")))</x:f>
      </x:c>
      <x:c r="H91" s="44" t="str">
        <x:f>IFERROR(IF(SMALL('Offene Vorgänge'!$J$8:$J$207,84)&gt;=1E+90,"",INDEX('Offene Vorgänge'!$H$8:$H$207,MATCH(SMALL('Offene Vorgänge'!$J$8:$J$207,84),'Offene Vorgänge'!$J$8:$J$207,0))),"")</x:f>
      </x:c>
      <x:c r="I91" s="1"/>
      <x:c r="J91" s="1"/>
      <x:c r="K91" s="1"/>
      <x:c r="L91" s="1"/>
      <x:c r="M91" s="1"/>
      <x:c r="N91" s="1"/>
      <x:c r="O91" s="1"/>
      <x:c r="P91" s="1"/>
      <x:c r="Q91" s="1"/>
      <x:c r="R91" s="1"/>
      <x:c r="S91" s="1"/>
      <x:c r="T91" s="1"/>
    </x:row>
    <x:row r="92" ht="18" customHeight="1">
      <x:c r="A92" s="1"/>
      <x:c r="B92" s="47" t="str">
        <x:f>IF($E92="","",85)</x:f>
      </x:c>
      <x:c r="C92" s="49" t="str">
        <x:f>IFERROR(IF(SMALL('Offene Vorgänge'!$J$8:$J$207,85)&gt;=1E+90,"",INDEX('Offene Vorgänge'!$C$8:$C$207,MATCH(SMALL('Offene Vorgänge'!$J$8:$J$207,85),'Offene Vorgänge'!$J$8:$J$207,0))),"")</x:f>
      </x:c>
      <x:c r="D92" s="50" t="str">
        <x:f>IFERROR(IF(SMALL('Offene Vorgänge'!$J$8:$J$207,85)&gt;=1E+90,"",INDEX('Offene Vorgänge'!$D$8:$D$207,MATCH(SMALL('Offene Vorgänge'!$J$8:$J$207,85),'Offene Vorgänge'!$J$8:$J$207,0))),"")</x:f>
      </x:c>
      <x:c r="E92" s="44" t="str">
        <x:f>IFERROR(IF(SMALL('Offene Vorgänge'!$J$8:$J$207,85)&gt;=1E+90,"",INDEX('Offene Vorgänge'!$E$8:$E$207,MATCH(SMALL('Offene Vorgänge'!$J$8:$J$207,85),'Offene Vorgänge'!$J$8:$J$207,0))),"")</x:f>
      </x:c>
      <x:c r="F92" s="50" t="str">
        <x:f>IFERROR(IF(SMALL('Offene Vorgänge'!$J$8:$J$207,85)&gt;=1E+90,"",INDEX('Offene Vorgänge'!$F$8:$F$207,MATCH(SMALL('Offene Vorgänge'!$J$8:$J$207,85),'Offene Vorgänge'!$J$8:$J$207,0))),"")</x:f>
      </x:c>
      <x:c r="G92" s="50" t="str">
        <x:f>IF($E92="","",IF($C92="","ohne Frist",IF($C92&lt;TODAY(),"überfällig","offen")))</x:f>
      </x:c>
      <x:c r="H92" s="44" t="str">
        <x:f>IFERROR(IF(SMALL('Offene Vorgänge'!$J$8:$J$207,85)&gt;=1E+90,"",INDEX('Offene Vorgänge'!$H$8:$H$207,MATCH(SMALL('Offene Vorgänge'!$J$8:$J$207,85),'Offene Vorgänge'!$J$8:$J$207,0))),"")</x:f>
      </x:c>
      <x:c r="I92" s="1"/>
      <x:c r="J92" s="1"/>
      <x:c r="K92" s="1"/>
      <x:c r="L92" s="1"/>
      <x:c r="M92" s="1"/>
      <x:c r="N92" s="1"/>
      <x:c r="O92" s="1"/>
      <x:c r="P92" s="1"/>
      <x:c r="Q92" s="1"/>
      <x:c r="R92" s="1"/>
      <x:c r="S92" s="1"/>
      <x:c r="T92" s="1"/>
    </x:row>
    <x:row r="93" ht="18" customHeight="1">
      <x:c r="A93" s="1"/>
      <x:c r="B93" s="47" t="str">
        <x:f>IF($E93="","",86)</x:f>
      </x:c>
      <x:c r="C93" s="49" t="str">
        <x:f>IFERROR(IF(SMALL('Offene Vorgänge'!$J$8:$J$207,86)&gt;=1E+90,"",INDEX('Offene Vorgänge'!$C$8:$C$207,MATCH(SMALL('Offene Vorgänge'!$J$8:$J$207,86),'Offene Vorgänge'!$J$8:$J$207,0))),"")</x:f>
      </x:c>
      <x:c r="D93" s="50" t="str">
        <x:f>IFERROR(IF(SMALL('Offene Vorgänge'!$J$8:$J$207,86)&gt;=1E+90,"",INDEX('Offene Vorgänge'!$D$8:$D$207,MATCH(SMALL('Offene Vorgänge'!$J$8:$J$207,86),'Offene Vorgänge'!$J$8:$J$207,0))),"")</x:f>
      </x:c>
      <x:c r="E93" s="44" t="str">
        <x:f>IFERROR(IF(SMALL('Offene Vorgänge'!$J$8:$J$207,86)&gt;=1E+90,"",INDEX('Offene Vorgänge'!$E$8:$E$207,MATCH(SMALL('Offene Vorgänge'!$J$8:$J$207,86),'Offene Vorgänge'!$J$8:$J$207,0))),"")</x:f>
      </x:c>
      <x:c r="F93" s="50" t="str">
        <x:f>IFERROR(IF(SMALL('Offene Vorgänge'!$J$8:$J$207,86)&gt;=1E+90,"",INDEX('Offene Vorgänge'!$F$8:$F$207,MATCH(SMALL('Offene Vorgänge'!$J$8:$J$207,86),'Offene Vorgänge'!$J$8:$J$207,0))),"")</x:f>
      </x:c>
      <x:c r="G93" s="50" t="str">
        <x:f>IF($E93="","",IF($C93="","ohne Frist",IF($C93&lt;TODAY(),"überfällig","offen")))</x:f>
      </x:c>
      <x:c r="H93" s="44" t="str">
        <x:f>IFERROR(IF(SMALL('Offene Vorgänge'!$J$8:$J$207,86)&gt;=1E+90,"",INDEX('Offene Vorgänge'!$H$8:$H$207,MATCH(SMALL('Offene Vorgänge'!$J$8:$J$207,86),'Offene Vorgänge'!$J$8:$J$207,0))),"")</x:f>
      </x:c>
      <x:c r="I93" s="1"/>
      <x:c r="J93" s="1"/>
      <x:c r="K93" s="1"/>
      <x:c r="L93" s="1"/>
      <x:c r="M93" s="1"/>
      <x:c r="N93" s="1"/>
      <x:c r="O93" s="1"/>
      <x:c r="P93" s="1"/>
      <x:c r="Q93" s="1"/>
      <x:c r="R93" s="1"/>
      <x:c r="S93" s="1"/>
      <x:c r="T93" s="1"/>
    </x:row>
    <x:row r="94" ht="18" customHeight="1">
      <x:c r="A94" s="1"/>
      <x:c r="B94" s="47" t="str">
        <x:f>IF($E94="","",87)</x:f>
      </x:c>
      <x:c r="C94" s="49" t="str">
        <x:f>IFERROR(IF(SMALL('Offene Vorgänge'!$J$8:$J$207,87)&gt;=1E+90,"",INDEX('Offene Vorgänge'!$C$8:$C$207,MATCH(SMALL('Offene Vorgänge'!$J$8:$J$207,87),'Offene Vorgänge'!$J$8:$J$207,0))),"")</x:f>
      </x:c>
      <x:c r="D94" s="50" t="str">
        <x:f>IFERROR(IF(SMALL('Offene Vorgänge'!$J$8:$J$207,87)&gt;=1E+90,"",INDEX('Offene Vorgänge'!$D$8:$D$207,MATCH(SMALL('Offene Vorgänge'!$J$8:$J$207,87),'Offene Vorgänge'!$J$8:$J$207,0))),"")</x:f>
      </x:c>
      <x:c r="E94" s="44" t="str">
        <x:f>IFERROR(IF(SMALL('Offene Vorgänge'!$J$8:$J$207,87)&gt;=1E+90,"",INDEX('Offene Vorgänge'!$E$8:$E$207,MATCH(SMALL('Offene Vorgänge'!$J$8:$J$207,87),'Offene Vorgänge'!$J$8:$J$207,0))),"")</x:f>
      </x:c>
      <x:c r="F94" s="50" t="str">
        <x:f>IFERROR(IF(SMALL('Offene Vorgänge'!$J$8:$J$207,87)&gt;=1E+90,"",INDEX('Offene Vorgänge'!$F$8:$F$207,MATCH(SMALL('Offene Vorgänge'!$J$8:$J$207,87),'Offene Vorgänge'!$J$8:$J$207,0))),"")</x:f>
      </x:c>
      <x:c r="G94" s="50" t="str">
        <x:f>IF($E94="","",IF($C94="","ohne Frist",IF($C94&lt;TODAY(),"überfällig","offen")))</x:f>
      </x:c>
      <x:c r="H94" s="44" t="str">
        <x:f>IFERROR(IF(SMALL('Offene Vorgänge'!$J$8:$J$207,87)&gt;=1E+90,"",INDEX('Offene Vorgänge'!$H$8:$H$207,MATCH(SMALL('Offene Vorgänge'!$J$8:$J$207,87),'Offene Vorgänge'!$J$8:$J$207,0))),"")</x:f>
      </x:c>
      <x:c r="I94" s="1"/>
      <x:c r="J94" s="1"/>
      <x:c r="K94" s="1"/>
      <x:c r="L94" s="1"/>
      <x:c r="M94" s="1"/>
      <x:c r="N94" s="1"/>
      <x:c r="O94" s="1"/>
      <x:c r="P94" s="1"/>
      <x:c r="Q94" s="1"/>
      <x:c r="R94" s="1"/>
      <x:c r="S94" s="1"/>
      <x:c r="T94" s="1"/>
    </x:row>
    <x:row r="95" ht="18" customHeight="1">
      <x:c r="A95" s="1"/>
      <x:c r="B95" s="47" t="str">
        <x:f>IF($E95="","",88)</x:f>
      </x:c>
      <x:c r="C95" s="49" t="str">
        <x:f>IFERROR(IF(SMALL('Offene Vorgänge'!$J$8:$J$207,88)&gt;=1E+90,"",INDEX('Offene Vorgänge'!$C$8:$C$207,MATCH(SMALL('Offene Vorgänge'!$J$8:$J$207,88),'Offene Vorgänge'!$J$8:$J$207,0))),"")</x:f>
      </x:c>
      <x:c r="D95" s="50" t="str">
        <x:f>IFERROR(IF(SMALL('Offene Vorgänge'!$J$8:$J$207,88)&gt;=1E+90,"",INDEX('Offene Vorgänge'!$D$8:$D$207,MATCH(SMALL('Offene Vorgänge'!$J$8:$J$207,88),'Offene Vorgänge'!$J$8:$J$207,0))),"")</x:f>
      </x:c>
      <x:c r="E95" s="44" t="str">
        <x:f>IFERROR(IF(SMALL('Offene Vorgänge'!$J$8:$J$207,88)&gt;=1E+90,"",INDEX('Offene Vorgänge'!$E$8:$E$207,MATCH(SMALL('Offene Vorgänge'!$J$8:$J$207,88),'Offene Vorgänge'!$J$8:$J$207,0))),"")</x:f>
      </x:c>
      <x:c r="F95" s="50" t="str">
        <x:f>IFERROR(IF(SMALL('Offene Vorgänge'!$J$8:$J$207,88)&gt;=1E+90,"",INDEX('Offene Vorgänge'!$F$8:$F$207,MATCH(SMALL('Offene Vorgänge'!$J$8:$J$207,88),'Offene Vorgänge'!$J$8:$J$207,0))),"")</x:f>
      </x:c>
      <x:c r="G95" s="50" t="str">
        <x:f>IF($E95="","",IF($C95="","ohne Frist",IF($C95&lt;TODAY(),"überfällig","offen")))</x:f>
      </x:c>
      <x:c r="H95" s="44" t="str">
        <x:f>IFERROR(IF(SMALL('Offene Vorgänge'!$J$8:$J$207,88)&gt;=1E+90,"",INDEX('Offene Vorgänge'!$H$8:$H$207,MATCH(SMALL('Offene Vorgänge'!$J$8:$J$207,88),'Offene Vorgänge'!$J$8:$J$207,0))),"")</x:f>
      </x:c>
      <x:c r="I95" s="1"/>
      <x:c r="J95" s="1"/>
      <x:c r="K95" s="1"/>
      <x:c r="L95" s="1"/>
      <x:c r="M95" s="1"/>
      <x:c r="N95" s="1"/>
      <x:c r="O95" s="1"/>
      <x:c r="P95" s="1"/>
      <x:c r="Q95" s="1"/>
      <x:c r="R95" s="1"/>
      <x:c r="S95" s="1"/>
      <x:c r="T95" s="1"/>
    </x:row>
    <x:row r="96" ht="18" customHeight="1">
      <x:c r="A96" s="1"/>
      <x:c r="B96" s="47" t="str">
        <x:f>IF($E96="","",89)</x:f>
      </x:c>
      <x:c r="C96" s="49" t="str">
        <x:f>IFERROR(IF(SMALL('Offene Vorgänge'!$J$8:$J$207,89)&gt;=1E+90,"",INDEX('Offene Vorgänge'!$C$8:$C$207,MATCH(SMALL('Offene Vorgänge'!$J$8:$J$207,89),'Offene Vorgänge'!$J$8:$J$207,0))),"")</x:f>
      </x:c>
      <x:c r="D96" s="50" t="str">
        <x:f>IFERROR(IF(SMALL('Offene Vorgänge'!$J$8:$J$207,89)&gt;=1E+90,"",INDEX('Offene Vorgänge'!$D$8:$D$207,MATCH(SMALL('Offene Vorgänge'!$J$8:$J$207,89),'Offene Vorgänge'!$J$8:$J$207,0))),"")</x:f>
      </x:c>
      <x:c r="E96" s="44" t="str">
        <x:f>IFERROR(IF(SMALL('Offene Vorgänge'!$J$8:$J$207,89)&gt;=1E+90,"",INDEX('Offene Vorgänge'!$E$8:$E$207,MATCH(SMALL('Offene Vorgänge'!$J$8:$J$207,89),'Offene Vorgänge'!$J$8:$J$207,0))),"")</x:f>
      </x:c>
      <x:c r="F96" s="50" t="str">
        <x:f>IFERROR(IF(SMALL('Offene Vorgänge'!$J$8:$J$207,89)&gt;=1E+90,"",INDEX('Offene Vorgänge'!$F$8:$F$207,MATCH(SMALL('Offene Vorgänge'!$J$8:$J$207,89),'Offene Vorgänge'!$J$8:$J$207,0))),"")</x:f>
      </x:c>
      <x:c r="G96" s="50" t="str">
        <x:f>IF($E96="","",IF($C96="","ohne Frist",IF($C96&lt;TODAY(),"überfällig","offen")))</x:f>
      </x:c>
      <x:c r="H96" s="44" t="str">
        <x:f>IFERROR(IF(SMALL('Offene Vorgänge'!$J$8:$J$207,89)&gt;=1E+90,"",INDEX('Offene Vorgänge'!$H$8:$H$207,MATCH(SMALL('Offene Vorgänge'!$J$8:$J$207,89),'Offene Vorgänge'!$J$8:$J$207,0))),"")</x:f>
      </x:c>
      <x:c r="I96" s="1"/>
      <x:c r="J96" s="1"/>
      <x:c r="K96" s="1"/>
      <x:c r="L96" s="1"/>
      <x:c r="M96" s="1"/>
      <x:c r="N96" s="1"/>
      <x:c r="O96" s="1"/>
      <x:c r="P96" s="1"/>
      <x:c r="Q96" s="1"/>
      <x:c r="R96" s="1"/>
      <x:c r="S96" s="1"/>
      <x:c r="T96" s="1"/>
    </x:row>
    <x:row r="97" ht="18" customHeight="1">
      <x:c r="A97" s="1"/>
      <x:c r="B97" s="47" t="str">
        <x:f>IF($E97="","",90)</x:f>
      </x:c>
      <x:c r="C97" s="49" t="str">
        <x:f>IFERROR(IF(SMALL('Offene Vorgänge'!$J$8:$J$207,90)&gt;=1E+90,"",INDEX('Offene Vorgänge'!$C$8:$C$207,MATCH(SMALL('Offene Vorgänge'!$J$8:$J$207,90),'Offene Vorgänge'!$J$8:$J$207,0))),"")</x:f>
      </x:c>
      <x:c r="D97" s="50" t="str">
        <x:f>IFERROR(IF(SMALL('Offene Vorgänge'!$J$8:$J$207,90)&gt;=1E+90,"",INDEX('Offene Vorgänge'!$D$8:$D$207,MATCH(SMALL('Offene Vorgänge'!$J$8:$J$207,90),'Offene Vorgänge'!$J$8:$J$207,0))),"")</x:f>
      </x:c>
      <x:c r="E97" s="44" t="str">
        <x:f>IFERROR(IF(SMALL('Offene Vorgänge'!$J$8:$J$207,90)&gt;=1E+90,"",INDEX('Offene Vorgänge'!$E$8:$E$207,MATCH(SMALL('Offene Vorgänge'!$J$8:$J$207,90),'Offene Vorgänge'!$J$8:$J$207,0))),"")</x:f>
      </x:c>
      <x:c r="F97" s="50" t="str">
        <x:f>IFERROR(IF(SMALL('Offene Vorgänge'!$J$8:$J$207,90)&gt;=1E+90,"",INDEX('Offene Vorgänge'!$F$8:$F$207,MATCH(SMALL('Offene Vorgänge'!$J$8:$J$207,90),'Offene Vorgänge'!$J$8:$J$207,0))),"")</x:f>
      </x:c>
      <x:c r="G97" s="50" t="str">
        <x:f>IF($E97="","",IF($C97="","ohne Frist",IF($C97&lt;TODAY(),"überfällig","offen")))</x:f>
      </x:c>
      <x:c r="H97" s="44" t="str">
        <x:f>IFERROR(IF(SMALL('Offene Vorgänge'!$J$8:$J$207,90)&gt;=1E+90,"",INDEX('Offene Vorgänge'!$H$8:$H$207,MATCH(SMALL('Offene Vorgänge'!$J$8:$J$207,90),'Offene Vorgänge'!$J$8:$J$207,0))),"")</x:f>
      </x:c>
      <x:c r="I97" s="1"/>
      <x:c r="J97" s="1"/>
      <x:c r="K97" s="1"/>
      <x:c r="L97" s="1"/>
      <x:c r="M97" s="1"/>
      <x:c r="N97" s="1"/>
      <x:c r="O97" s="1"/>
      <x:c r="P97" s="1"/>
      <x:c r="Q97" s="1"/>
      <x:c r="R97" s="1"/>
      <x:c r="S97" s="1"/>
      <x:c r="T97" s="1"/>
    </x:row>
    <x:row r="98" ht="18" customHeight="1">
      <x:c r="A98" s="1"/>
      <x:c r="B98" s="47" t="str">
        <x:f>IF($E98="","",91)</x:f>
      </x:c>
      <x:c r="C98" s="49" t="str">
        <x:f>IFERROR(IF(SMALL('Offene Vorgänge'!$J$8:$J$207,91)&gt;=1E+90,"",INDEX('Offene Vorgänge'!$C$8:$C$207,MATCH(SMALL('Offene Vorgänge'!$J$8:$J$207,91),'Offene Vorgänge'!$J$8:$J$207,0))),"")</x:f>
      </x:c>
      <x:c r="D98" s="50" t="str">
        <x:f>IFERROR(IF(SMALL('Offene Vorgänge'!$J$8:$J$207,91)&gt;=1E+90,"",INDEX('Offene Vorgänge'!$D$8:$D$207,MATCH(SMALL('Offene Vorgänge'!$J$8:$J$207,91),'Offene Vorgänge'!$J$8:$J$207,0))),"")</x:f>
      </x:c>
      <x:c r="E98" s="44" t="str">
        <x:f>IFERROR(IF(SMALL('Offene Vorgänge'!$J$8:$J$207,91)&gt;=1E+90,"",INDEX('Offene Vorgänge'!$E$8:$E$207,MATCH(SMALL('Offene Vorgänge'!$J$8:$J$207,91),'Offene Vorgänge'!$J$8:$J$207,0))),"")</x:f>
      </x:c>
      <x:c r="F98" s="50" t="str">
        <x:f>IFERROR(IF(SMALL('Offene Vorgänge'!$J$8:$J$207,91)&gt;=1E+90,"",INDEX('Offene Vorgänge'!$F$8:$F$207,MATCH(SMALL('Offene Vorgänge'!$J$8:$J$207,91),'Offene Vorgänge'!$J$8:$J$207,0))),"")</x:f>
      </x:c>
      <x:c r="G98" s="50" t="str">
        <x:f>IF($E98="","",IF($C98="","ohne Frist",IF($C98&lt;TODAY(),"überfällig","offen")))</x:f>
      </x:c>
      <x:c r="H98" s="44" t="str">
        <x:f>IFERROR(IF(SMALL('Offene Vorgänge'!$J$8:$J$207,91)&gt;=1E+90,"",INDEX('Offene Vorgänge'!$H$8:$H$207,MATCH(SMALL('Offene Vorgänge'!$J$8:$J$207,91),'Offene Vorgänge'!$J$8:$J$207,0))),"")</x:f>
      </x:c>
      <x:c r="I98" s="1"/>
      <x:c r="J98" s="1"/>
      <x:c r="K98" s="1"/>
      <x:c r="L98" s="1"/>
      <x:c r="M98" s="1"/>
      <x:c r="N98" s="1"/>
      <x:c r="O98" s="1"/>
      <x:c r="P98" s="1"/>
      <x:c r="Q98" s="1"/>
      <x:c r="R98" s="1"/>
      <x:c r="S98" s="1"/>
      <x:c r="T98" s="1"/>
    </x:row>
    <x:row r="99" ht="18" customHeight="1">
      <x:c r="A99" s="1"/>
      <x:c r="B99" s="47" t="str">
        <x:f>IF($E99="","",92)</x:f>
      </x:c>
      <x:c r="C99" s="49" t="str">
        <x:f>IFERROR(IF(SMALL('Offene Vorgänge'!$J$8:$J$207,92)&gt;=1E+90,"",INDEX('Offene Vorgänge'!$C$8:$C$207,MATCH(SMALL('Offene Vorgänge'!$J$8:$J$207,92),'Offene Vorgänge'!$J$8:$J$207,0))),"")</x:f>
      </x:c>
      <x:c r="D99" s="50" t="str">
        <x:f>IFERROR(IF(SMALL('Offene Vorgänge'!$J$8:$J$207,92)&gt;=1E+90,"",INDEX('Offene Vorgänge'!$D$8:$D$207,MATCH(SMALL('Offene Vorgänge'!$J$8:$J$207,92),'Offene Vorgänge'!$J$8:$J$207,0))),"")</x:f>
      </x:c>
      <x:c r="E99" s="44" t="str">
        <x:f>IFERROR(IF(SMALL('Offene Vorgänge'!$J$8:$J$207,92)&gt;=1E+90,"",INDEX('Offene Vorgänge'!$E$8:$E$207,MATCH(SMALL('Offene Vorgänge'!$J$8:$J$207,92),'Offene Vorgänge'!$J$8:$J$207,0))),"")</x:f>
      </x:c>
      <x:c r="F99" s="50" t="str">
        <x:f>IFERROR(IF(SMALL('Offene Vorgänge'!$J$8:$J$207,92)&gt;=1E+90,"",INDEX('Offene Vorgänge'!$F$8:$F$207,MATCH(SMALL('Offene Vorgänge'!$J$8:$J$207,92),'Offene Vorgänge'!$J$8:$J$207,0))),"")</x:f>
      </x:c>
      <x:c r="G99" s="50" t="str">
        <x:f>IF($E99="","",IF($C99="","ohne Frist",IF($C99&lt;TODAY(),"überfällig","offen")))</x:f>
      </x:c>
      <x:c r="H99" s="44" t="str">
        <x:f>IFERROR(IF(SMALL('Offene Vorgänge'!$J$8:$J$207,92)&gt;=1E+90,"",INDEX('Offene Vorgänge'!$H$8:$H$207,MATCH(SMALL('Offene Vorgänge'!$J$8:$J$207,92),'Offene Vorgänge'!$J$8:$J$207,0))),"")</x:f>
      </x:c>
      <x:c r="I99" s="1"/>
      <x:c r="J99" s="1"/>
      <x:c r="K99" s="1"/>
      <x:c r="L99" s="1"/>
      <x:c r="M99" s="1"/>
      <x:c r="N99" s="1"/>
      <x:c r="O99" s="1"/>
      <x:c r="P99" s="1"/>
      <x:c r="Q99" s="1"/>
      <x:c r="R99" s="1"/>
      <x:c r="S99" s="1"/>
      <x:c r="T99" s="1"/>
    </x:row>
    <x:row r="100" ht="18" customHeight="1">
      <x:c r="A100" s="1"/>
      <x:c r="B100" s="47" t="str">
        <x:f>IF($E100="","",93)</x:f>
      </x:c>
      <x:c r="C100" s="49" t="str">
        <x:f>IFERROR(IF(SMALL('Offene Vorgänge'!$J$8:$J$207,93)&gt;=1E+90,"",INDEX('Offene Vorgänge'!$C$8:$C$207,MATCH(SMALL('Offene Vorgänge'!$J$8:$J$207,93),'Offene Vorgänge'!$J$8:$J$207,0))),"")</x:f>
      </x:c>
      <x:c r="D100" s="50" t="str">
        <x:f>IFERROR(IF(SMALL('Offene Vorgänge'!$J$8:$J$207,93)&gt;=1E+90,"",INDEX('Offene Vorgänge'!$D$8:$D$207,MATCH(SMALL('Offene Vorgänge'!$J$8:$J$207,93),'Offene Vorgänge'!$J$8:$J$207,0))),"")</x:f>
      </x:c>
      <x:c r="E100" s="44" t="str">
        <x:f>IFERROR(IF(SMALL('Offene Vorgänge'!$J$8:$J$207,93)&gt;=1E+90,"",INDEX('Offene Vorgänge'!$E$8:$E$207,MATCH(SMALL('Offene Vorgänge'!$J$8:$J$207,93),'Offene Vorgänge'!$J$8:$J$207,0))),"")</x:f>
      </x:c>
      <x:c r="F100" s="50" t="str">
        <x:f>IFERROR(IF(SMALL('Offene Vorgänge'!$J$8:$J$207,93)&gt;=1E+90,"",INDEX('Offene Vorgänge'!$F$8:$F$207,MATCH(SMALL('Offene Vorgänge'!$J$8:$J$207,93),'Offene Vorgänge'!$J$8:$J$207,0))),"")</x:f>
      </x:c>
      <x:c r="G100" s="50" t="str">
        <x:f>IF($E100="","",IF($C100="","ohne Frist",IF($C100&lt;TODAY(),"überfällig","offen")))</x:f>
      </x:c>
      <x:c r="H100" s="44" t="str">
        <x:f>IFERROR(IF(SMALL('Offene Vorgänge'!$J$8:$J$207,93)&gt;=1E+90,"",INDEX('Offene Vorgänge'!$H$8:$H$207,MATCH(SMALL('Offene Vorgänge'!$J$8:$J$207,93),'Offene Vorgänge'!$J$8:$J$207,0))),"")</x:f>
      </x:c>
      <x:c r="I100" s="1"/>
      <x:c r="J100" s="1"/>
      <x:c r="K100" s="1"/>
      <x:c r="L100" s="1"/>
      <x:c r="M100" s="1"/>
      <x:c r="N100" s="1"/>
      <x:c r="O100" s="1"/>
      <x:c r="P100" s="1"/>
      <x:c r="Q100" s="1"/>
      <x:c r="R100" s="1"/>
      <x:c r="S100" s="1"/>
      <x:c r="T100" s="1"/>
    </x:row>
    <x:row r="101" ht="18" customHeight="1">
      <x:c r="A101" s="1"/>
      <x:c r="B101" s="47" t="str">
        <x:f>IF($E101="","",94)</x:f>
      </x:c>
      <x:c r="C101" s="49" t="str">
        <x:f>IFERROR(IF(SMALL('Offene Vorgänge'!$J$8:$J$207,94)&gt;=1E+90,"",INDEX('Offene Vorgänge'!$C$8:$C$207,MATCH(SMALL('Offene Vorgänge'!$J$8:$J$207,94),'Offene Vorgänge'!$J$8:$J$207,0))),"")</x:f>
      </x:c>
      <x:c r="D101" s="50" t="str">
        <x:f>IFERROR(IF(SMALL('Offene Vorgänge'!$J$8:$J$207,94)&gt;=1E+90,"",INDEX('Offene Vorgänge'!$D$8:$D$207,MATCH(SMALL('Offene Vorgänge'!$J$8:$J$207,94),'Offene Vorgänge'!$J$8:$J$207,0))),"")</x:f>
      </x:c>
      <x:c r="E101" s="44" t="str">
        <x:f>IFERROR(IF(SMALL('Offene Vorgänge'!$J$8:$J$207,94)&gt;=1E+90,"",INDEX('Offene Vorgänge'!$E$8:$E$207,MATCH(SMALL('Offene Vorgänge'!$J$8:$J$207,94),'Offene Vorgänge'!$J$8:$J$207,0))),"")</x:f>
      </x:c>
      <x:c r="F101" s="50" t="str">
        <x:f>IFERROR(IF(SMALL('Offene Vorgänge'!$J$8:$J$207,94)&gt;=1E+90,"",INDEX('Offene Vorgänge'!$F$8:$F$207,MATCH(SMALL('Offene Vorgänge'!$J$8:$J$207,94),'Offene Vorgänge'!$J$8:$J$207,0))),"")</x:f>
      </x:c>
      <x:c r="G101" s="50" t="str">
        <x:f>IF($E101="","",IF($C101="","ohne Frist",IF($C101&lt;TODAY(),"überfällig","offen")))</x:f>
      </x:c>
      <x:c r="H101" s="44" t="str">
        <x:f>IFERROR(IF(SMALL('Offene Vorgänge'!$J$8:$J$207,94)&gt;=1E+90,"",INDEX('Offene Vorgänge'!$H$8:$H$207,MATCH(SMALL('Offene Vorgänge'!$J$8:$J$207,94),'Offene Vorgänge'!$J$8:$J$207,0))),"")</x:f>
      </x:c>
      <x:c r="I101" s="1"/>
      <x:c r="J101" s="1"/>
      <x:c r="K101" s="1"/>
      <x:c r="L101" s="1"/>
      <x:c r="M101" s="1"/>
      <x:c r="N101" s="1"/>
      <x:c r="O101" s="1"/>
      <x:c r="P101" s="1"/>
      <x:c r="Q101" s="1"/>
      <x:c r="R101" s="1"/>
      <x:c r="S101" s="1"/>
      <x:c r="T101" s="1"/>
    </x:row>
    <x:row r="102" ht="18" customHeight="1">
      <x:c r="A102" s="1"/>
      <x:c r="B102" s="47" t="str">
        <x:f>IF($E102="","",95)</x:f>
      </x:c>
      <x:c r="C102" s="49" t="str">
        <x:f>IFERROR(IF(SMALL('Offene Vorgänge'!$J$8:$J$207,95)&gt;=1E+90,"",INDEX('Offene Vorgänge'!$C$8:$C$207,MATCH(SMALL('Offene Vorgänge'!$J$8:$J$207,95),'Offene Vorgänge'!$J$8:$J$207,0))),"")</x:f>
      </x:c>
      <x:c r="D102" s="50" t="str">
        <x:f>IFERROR(IF(SMALL('Offene Vorgänge'!$J$8:$J$207,95)&gt;=1E+90,"",INDEX('Offene Vorgänge'!$D$8:$D$207,MATCH(SMALL('Offene Vorgänge'!$J$8:$J$207,95),'Offene Vorgänge'!$J$8:$J$207,0))),"")</x:f>
      </x:c>
      <x:c r="E102" s="44" t="str">
        <x:f>IFERROR(IF(SMALL('Offene Vorgänge'!$J$8:$J$207,95)&gt;=1E+90,"",INDEX('Offene Vorgänge'!$E$8:$E$207,MATCH(SMALL('Offene Vorgänge'!$J$8:$J$207,95),'Offene Vorgänge'!$J$8:$J$207,0))),"")</x:f>
      </x:c>
      <x:c r="F102" s="50" t="str">
        <x:f>IFERROR(IF(SMALL('Offene Vorgänge'!$J$8:$J$207,95)&gt;=1E+90,"",INDEX('Offene Vorgänge'!$F$8:$F$207,MATCH(SMALL('Offene Vorgänge'!$J$8:$J$207,95),'Offene Vorgänge'!$J$8:$J$207,0))),"")</x:f>
      </x:c>
      <x:c r="G102" s="50" t="str">
        <x:f>IF($E102="","",IF($C102="","ohne Frist",IF($C102&lt;TODAY(),"überfällig","offen")))</x:f>
      </x:c>
      <x:c r="H102" s="44" t="str">
        <x:f>IFERROR(IF(SMALL('Offene Vorgänge'!$J$8:$J$207,95)&gt;=1E+90,"",INDEX('Offene Vorgänge'!$H$8:$H$207,MATCH(SMALL('Offene Vorgänge'!$J$8:$J$207,95),'Offene Vorgänge'!$J$8:$J$207,0))),"")</x:f>
      </x:c>
      <x:c r="I102" s="1"/>
      <x:c r="J102" s="1"/>
      <x:c r="K102" s="1"/>
      <x:c r="L102" s="1"/>
      <x:c r="M102" s="1"/>
      <x:c r="N102" s="1"/>
      <x:c r="O102" s="1"/>
      <x:c r="P102" s="1"/>
      <x:c r="Q102" s="1"/>
      <x:c r="R102" s="1"/>
      <x:c r="S102" s="1"/>
      <x:c r="T102" s="1"/>
    </x:row>
    <x:row r="103" ht="18" customHeight="1">
      <x:c r="A103" s="1"/>
      <x:c r="B103" s="47" t="str">
        <x:f>IF($E103="","",96)</x:f>
      </x:c>
      <x:c r="C103" s="49" t="str">
        <x:f>IFERROR(IF(SMALL('Offene Vorgänge'!$J$8:$J$207,96)&gt;=1E+90,"",INDEX('Offene Vorgänge'!$C$8:$C$207,MATCH(SMALL('Offene Vorgänge'!$J$8:$J$207,96),'Offene Vorgänge'!$J$8:$J$207,0))),"")</x:f>
      </x:c>
      <x:c r="D103" s="50" t="str">
        <x:f>IFERROR(IF(SMALL('Offene Vorgänge'!$J$8:$J$207,96)&gt;=1E+90,"",INDEX('Offene Vorgänge'!$D$8:$D$207,MATCH(SMALL('Offene Vorgänge'!$J$8:$J$207,96),'Offene Vorgänge'!$J$8:$J$207,0))),"")</x:f>
      </x:c>
      <x:c r="E103" s="44" t="str">
        <x:f>IFERROR(IF(SMALL('Offene Vorgänge'!$J$8:$J$207,96)&gt;=1E+90,"",INDEX('Offene Vorgänge'!$E$8:$E$207,MATCH(SMALL('Offene Vorgänge'!$J$8:$J$207,96),'Offene Vorgänge'!$J$8:$J$207,0))),"")</x:f>
      </x:c>
      <x:c r="F103" s="50" t="str">
        <x:f>IFERROR(IF(SMALL('Offene Vorgänge'!$J$8:$J$207,96)&gt;=1E+90,"",INDEX('Offene Vorgänge'!$F$8:$F$207,MATCH(SMALL('Offene Vorgänge'!$J$8:$J$207,96),'Offene Vorgänge'!$J$8:$J$207,0))),"")</x:f>
      </x:c>
      <x:c r="G103" s="50" t="str">
        <x:f>IF($E103="","",IF($C103="","ohne Frist",IF($C103&lt;TODAY(),"überfällig","offen")))</x:f>
      </x:c>
      <x:c r="H103" s="44" t="str">
        <x:f>IFERROR(IF(SMALL('Offene Vorgänge'!$J$8:$J$207,96)&gt;=1E+90,"",INDEX('Offene Vorgänge'!$H$8:$H$207,MATCH(SMALL('Offene Vorgänge'!$J$8:$J$207,96),'Offene Vorgänge'!$J$8:$J$207,0))),"")</x:f>
      </x:c>
      <x:c r="I103" s="1"/>
      <x:c r="J103" s="1"/>
      <x:c r="K103" s="1"/>
      <x:c r="L103" s="1"/>
      <x:c r="M103" s="1"/>
      <x:c r="N103" s="1"/>
      <x:c r="O103" s="1"/>
      <x:c r="P103" s="1"/>
      <x:c r="Q103" s="1"/>
      <x:c r="R103" s="1"/>
      <x:c r="S103" s="1"/>
      <x:c r="T103" s="1"/>
    </x:row>
    <x:row r="104" ht="18" customHeight="1">
      <x:c r="A104" s="1"/>
      <x:c r="B104" s="47" t="str">
        <x:f>IF($E104="","",97)</x:f>
      </x:c>
      <x:c r="C104" s="49" t="str">
        <x:f>IFERROR(IF(SMALL('Offene Vorgänge'!$J$8:$J$207,97)&gt;=1E+90,"",INDEX('Offene Vorgänge'!$C$8:$C$207,MATCH(SMALL('Offene Vorgänge'!$J$8:$J$207,97),'Offene Vorgänge'!$J$8:$J$207,0))),"")</x:f>
      </x:c>
      <x:c r="D104" s="50" t="str">
        <x:f>IFERROR(IF(SMALL('Offene Vorgänge'!$J$8:$J$207,97)&gt;=1E+90,"",INDEX('Offene Vorgänge'!$D$8:$D$207,MATCH(SMALL('Offene Vorgänge'!$J$8:$J$207,97),'Offene Vorgänge'!$J$8:$J$207,0))),"")</x:f>
      </x:c>
      <x:c r="E104" s="44" t="str">
        <x:f>IFERROR(IF(SMALL('Offene Vorgänge'!$J$8:$J$207,97)&gt;=1E+90,"",INDEX('Offene Vorgänge'!$E$8:$E$207,MATCH(SMALL('Offene Vorgänge'!$J$8:$J$207,97),'Offene Vorgänge'!$J$8:$J$207,0))),"")</x:f>
      </x:c>
      <x:c r="F104" s="50" t="str">
        <x:f>IFERROR(IF(SMALL('Offene Vorgänge'!$J$8:$J$207,97)&gt;=1E+90,"",INDEX('Offene Vorgänge'!$F$8:$F$207,MATCH(SMALL('Offene Vorgänge'!$J$8:$J$207,97),'Offene Vorgänge'!$J$8:$J$207,0))),"")</x:f>
      </x:c>
      <x:c r="G104" s="50" t="str">
        <x:f>IF($E104="","",IF($C104="","ohne Frist",IF($C104&lt;TODAY(),"überfällig","offen")))</x:f>
      </x:c>
      <x:c r="H104" s="44" t="str">
        <x:f>IFERROR(IF(SMALL('Offene Vorgänge'!$J$8:$J$207,97)&gt;=1E+90,"",INDEX('Offene Vorgänge'!$H$8:$H$207,MATCH(SMALL('Offene Vorgänge'!$J$8:$J$207,97),'Offene Vorgänge'!$J$8:$J$207,0))),"")</x:f>
      </x:c>
      <x:c r="I104" s="1"/>
      <x:c r="J104" s="1"/>
      <x:c r="K104" s="1"/>
      <x:c r="L104" s="1"/>
      <x:c r="M104" s="1"/>
      <x:c r="N104" s="1"/>
      <x:c r="O104" s="1"/>
      <x:c r="P104" s="1"/>
      <x:c r="Q104" s="1"/>
      <x:c r="R104" s="1"/>
      <x:c r="S104" s="1"/>
      <x:c r="T104" s="1"/>
    </x:row>
    <x:row r="105" ht="18" customHeight="1">
      <x:c r="A105" s="1"/>
      <x:c r="B105" s="47" t="str">
        <x:f>IF($E105="","",98)</x:f>
      </x:c>
      <x:c r="C105" s="49" t="str">
        <x:f>IFERROR(IF(SMALL('Offene Vorgänge'!$J$8:$J$207,98)&gt;=1E+90,"",INDEX('Offene Vorgänge'!$C$8:$C$207,MATCH(SMALL('Offene Vorgänge'!$J$8:$J$207,98),'Offene Vorgänge'!$J$8:$J$207,0))),"")</x:f>
      </x:c>
      <x:c r="D105" s="50" t="str">
        <x:f>IFERROR(IF(SMALL('Offene Vorgänge'!$J$8:$J$207,98)&gt;=1E+90,"",INDEX('Offene Vorgänge'!$D$8:$D$207,MATCH(SMALL('Offene Vorgänge'!$J$8:$J$207,98),'Offene Vorgänge'!$J$8:$J$207,0))),"")</x:f>
      </x:c>
      <x:c r="E105" s="44" t="str">
        <x:f>IFERROR(IF(SMALL('Offene Vorgänge'!$J$8:$J$207,98)&gt;=1E+90,"",INDEX('Offene Vorgänge'!$E$8:$E$207,MATCH(SMALL('Offene Vorgänge'!$J$8:$J$207,98),'Offene Vorgänge'!$J$8:$J$207,0))),"")</x:f>
      </x:c>
      <x:c r="F105" s="50" t="str">
        <x:f>IFERROR(IF(SMALL('Offene Vorgänge'!$J$8:$J$207,98)&gt;=1E+90,"",INDEX('Offene Vorgänge'!$F$8:$F$207,MATCH(SMALL('Offene Vorgänge'!$J$8:$J$207,98),'Offene Vorgänge'!$J$8:$J$207,0))),"")</x:f>
      </x:c>
      <x:c r="G105" s="50" t="str">
        <x:f>IF($E105="","",IF($C105="","ohne Frist",IF($C105&lt;TODAY(),"überfällig","offen")))</x:f>
      </x:c>
      <x:c r="H105" s="44" t="str">
        <x:f>IFERROR(IF(SMALL('Offene Vorgänge'!$J$8:$J$207,98)&gt;=1E+90,"",INDEX('Offene Vorgänge'!$H$8:$H$207,MATCH(SMALL('Offene Vorgänge'!$J$8:$J$207,98),'Offene Vorgänge'!$J$8:$J$207,0))),"")</x:f>
      </x:c>
      <x:c r="I105" s="1"/>
      <x:c r="J105" s="1"/>
      <x:c r="K105" s="1"/>
      <x:c r="L105" s="1"/>
      <x:c r="M105" s="1"/>
      <x:c r="N105" s="1"/>
      <x:c r="O105" s="1"/>
      <x:c r="P105" s="1"/>
      <x:c r="Q105" s="1"/>
      <x:c r="R105" s="1"/>
      <x:c r="S105" s="1"/>
      <x:c r="T105" s="1"/>
    </x:row>
    <x:row r="106" ht="18" customHeight="1">
      <x:c r="A106" s="1"/>
      <x:c r="B106" s="47" t="str">
        <x:f>IF($E106="","",99)</x:f>
      </x:c>
      <x:c r="C106" s="49" t="str">
        <x:f>IFERROR(IF(SMALL('Offene Vorgänge'!$J$8:$J$207,99)&gt;=1E+90,"",INDEX('Offene Vorgänge'!$C$8:$C$207,MATCH(SMALL('Offene Vorgänge'!$J$8:$J$207,99),'Offene Vorgänge'!$J$8:$J$207,0))),"")</x:f>
      </x:c>
      <x:c r="D106" s="50" t="str">
        <x:f>IFERROR(IF(SMALL('Offene Vorgänge'!$J$8:$J$207,99)&gt;=1E+90,"",INDEX('Offene Vorgänge'!$D$8:$D$207,MATCH(SMALL('Offene Vorgänge'!$J$8:$J$207,99),'Offene Vorgänge'!$J$8:$J$207,0))),"")</x:f>
      </x:c>
      <x:c r="E106" s="44" t="str">
        <x:f>IFERROR(IF(SMALL('Offene Vorgänge'!$J$8:$J$207,99)&gt;=1E+90,"",INDEX('Offene Vorgänge'!$E$8:$E$207,MATCH(SMALL('Offene Vorgänge'!$J$8:$J$207,99),'Offene Vorgänge'!$J$8:$J$207,0))),"")</x:f>
      </x:c>
      <x:c r="F106" s="50" t="str">
        <x:f>IFERROR(IF(SMALL('Offene Vorgänge'!$J$8:$J$207,99)&gt;=1E+90,"",INDEX('Offene Vorgänge'!$F$8:$F$207,MATCH(SMALL('Offene Vorgänge'!$J$8:$J$207,99),'Offene Vorgänge'!$J$8:$J$207,0))),"")</x:f>
      </x:c>
      <x:c r="G106" s="50" t="str">
        <x:f>IF($E106="","",IF($C106="","ohne Frist",IF($C106&lt;TODAY(),"überfällig","offen")))</x:f>
      </x:c>
      <x:c r="H106" s="44" t="str">
        <x:f>IFERROR(IF(SMALL('Offene Vorgänge'!$J$8:$J$207,99)&gt;=1E+90,"",INDEX('Offene Vorgänge'!$H$8:$H$207,MATCH(SMALL('Offene Vorgänge'!$J$8:$J$207,99),'Offene Vorgänge'!$J$8:$J$207,0))),"")</x:f>
      </x:c>
      <x:c r="I106" s="1"/>
      <x:c r="J106" s="1"/>
      <x:c r="K106" s="1"/>
      <x:c r="L106" s="1"/>
      <x:c r="M106" s="1"/>
      <x:c r="N106" s="1"/>
      <x:c r="O106" s="1"/>
      <x:c r="P106" s="1"/>
      <x:c r="Q106" s="1"/>
      <x:c r="R106" s="1"/>
      <x:c r="S106" s="1"/>
      <x:c r="T106" s="1"/>
    </x:row>
    <x:row r="107" ht="18" customHeight="1">
      <x:c r="A107" s="1"/>
      <x:c r="B107" s="47" t="str">
        <x:f>IF($E107="","",100)</x:f>
      </x:c>
      <x:c r="C107" s="49" t="str">
        <x:f>IFERROR(IF(SMALL('Offene Vorgänge'!$J$8:$J$207,100)&gt;=1E+90,"",INDEX('Offene Vorgänge'!$C$8:$C$207,MATCH(SMALL('Offene Vorgänge'!$J$8:$J$207,100),'Offene Vorgänge'!$J$8:$J$207,0))),"")</x:f>
      </x:c>
      <x:c r="D107" s="50" t="str">
        <x:f>IFERROR(IF(SMALL('Offene Vorgänge'!$J$8:$J$207,100)&gt;=1E+90,"",INDEX('Offene Vorgänge'!$D$8:$D$207,MATCH(SMALL('Offene Vorgänge'!$J$8:$J$207,100),'Offene Vorgänge'!$J$8:$J$207,0))),"")</x:f>
      </x:c>
      <x:c r="E107" s="44" t="str">
        <x:f>IFERROR(IF(SMALL('Offene Vorgänge'!$J$8:$J$207,100)&gt;=1E+90,"",INDEX('Offene Vorgänge'!$E$8:$E$207,MATCH(SMALL('Offene Vorgänge'!$J$8:$J$207,100),'Offene Vorgänge'!$J$8:$J$207,0))),"")</x:f>
      </x:c>
      <x:c r="F107" s="50" t="str">
        <x:f>IFERROR(IF(SMALL('Offene Vorgänge'!$J$8:$J$207,100)&gt;=1E+90,"",INDEX('Offene Vorgänge'!$F$8:$F$207,MATCH(SMALL('Offene Vorgänge'!$J$8:$J$207,100),'Offene Vorgänge'!$J$8:$J$207,0))),"")</x:f>
      </x:c>
      <x:c r="G107" s="50" t="str">
        <x:f>IF($E107="","",IF($C107="","ohne Frist",IF($C107&lt;TODAY(),"überfällig","offen")))</x:f>
      </x:c>
      <x:c r="H107" s="44" t="str">
        <x:f>IFERROR(IF(SMALL('Offene Vorgänge'!$J$8:$J$207,100)&gt;=1E+90,"",INDEX('Offene Vorgänge'!$H$8:$H$207,MATCH(SMALL('Offene Vorgänge'!$J$8:$J$207,100),'Offene Vorgänge'!$J$8:$J$207,0))),"")</x:f>
      </x:c>
      <x:c r="I107" s="1"/>
      <x:c r="J107" s="1"/>
      <x:c r="K107" s="1"/>
      <x:c r="L107" s="1"/>
      <x:c r="M107" s="1"/>
      <x:c r="N107" s="1"/>
      <x:c r="O107" s="1"/>
      <x:c r="P107" s="1"/>
      <x:c r="Q107" s="1"/>
      <x:c r="R107" s="1"/>
      <x:c r="S107" s="1"/>
      <x:c r="T107" s="1"/>
    </x:row>
    <x:row r="108" ht="18" customHeight="1">
      <x:c r="A108" s="1"/>
      <x:c r="B108" s="47" t="str">
        <x:f>IF($E108="","",101)</x:f>
      </x:c>
      <x:c r="C108" s="49" t="str">
        <x:f>IFERROR(IF(SMALL('Offene Vorgänge'!$J$8:$J$207,101)&gt;=1E+90,"",INDEX('Offene Vorgänge'!$C$8:$C$207,MATCH(SMALL('Offene Vorgänge'!$J$8:$J$207,101),'Offene Vorgänge'!$J$8:$J$207,0))),"")</x:f>
      </x:c>
      <x:c r="D108" s="50" t="str">
        <x:f>IFERROR(IF(SMALL('Offene Vorgänge'!$J$8:$J$207,101)&gt;=1E+90,"",INDEX('Offene Vorgänge'!$D$8:$D$207,MATCH(SMALL('Offene Vorgänge'!$J$8:$J$207,101),'Offene Vorgänge'!$J$8:$J$207,0))),"")</x:f>
      </x:c>
      <x:c r="E108" s="44" t="str">
        <x:f>IFERROR(IF(SMALL('Offene Vorgänge'!$J$8:$J$207,101)&gt;=1E+90,"",INDEX('Offene Vorgänge'!$E$8:$E$207,MATCH(SMALL('Offene Vorgänge'!$J$8:$J$207,101),'Offene Vorgänge'!$J$8:$J$207,0))),"")</x:f>
      </x:c>
      <x:c r="F108" s="50" t="str">
        <x:f>IFERROR(IF(SMALL('Offene Vorgänge'!$J$8:$J$207,101)&gt;=1E+90,"",INDEX('Offene Vorgänge'!$F$8:$F$207,MATCH(SMALL('Offene Vorgänge'!$J$8:$J$207,101),'Offene Vorgänge'!$J$8:$J$207,0))),"")</x:f>
      </x:c>
      <x:c r="G108" s="50" t="str">
        <x:f>IF($E108="","",IF($C108="","ohne Frist",IF($C108&lt;TODAY(),"überfällig","offen")))</x:f>
      </x:c>
      <x:c r="H108" s="44" t="str">
        <x:f>IFERROR(IF(SMALL('Offene Vorgänge'!$J$8:$J$207,101)&gt;=1E+90,"",INDEX('Offene Vorgänge'!$H$8:$H$207,MATCH(SMALL('Offene Vorgänge'!$J$8:$J$207,101),'Offene Vorgänge'!$J$8:$J$207,0))),"")</x:f>
      </x:c>
      <x:c r="I108" s="1"/>
      <x:c r="J108" s="1"/>
      <x:c r="K108" s="1"/>
      <x:c r="L108" s="1"/>
      <x:c r="M108" s="1"/>
      <x:c r="N108" s="1"/>
      <x:c r="O108" s="1"/>
      <x:c r="P108" s="1"/>
      <x:c r="Q108" s="1"/>
      <x:c r="R108" s="1"/>
      <x:c r="S108" s="1"/>
      <x:c r="T108" s="1"/>
    </x:row>
    <x:row r="109" ht="18" customHeight="1">
      <x:c r="A109" s="1"/>
      <x:c r="B109" s="47" t="str">
        <x:f>IF($E109="","",102)</x:f>
      </x:c>
      <x:c r="C109" s="49" t="str">
        <x:f>IFERROR(IF(SMALL('Offene Vorgänge'!$J$8:$J$207,102)&gt;=1E+90,"",INDEX('Offene Vorgänge'!$C$8:$C$207,MATCH(SMALL('Offene Vorgänge'!$J$8:$J$207,102),'Offene Vorgänge'!$J$8:$J$207,0))),"")</x:f>
      </x:c>
      <x:c r="D109" s="50" t="str">
        <x:f>IFERROR(IF(SMALL('Offene Vorgänge'!$J$8:$J$207,102)&gt;=1E+90,"",INDEX('Offene Vorgänge'!$D$8:$D$207,MATCH(SMALL('Offene Vorgänge'!$J$8:$J$207,102),'Offene Vorgänge'!$J$8:$J$207,0))),"")</x:f>
      </x:c>
      <x:c r="E109" s="44" t="str">
        <x:f>IFERROR(IF(SMALL('Offene Vorgänge'!$J$8:$J$207,102)&gt;=1E+90,"",INDEX('Offene Vorgänge'!$E$8:$E$207,MATCH(SMALL('Offene Vorgänge'!$J$8:$J$207,102),'Offene Vorgänge'!$J$8:$J$207,0))),"")</x:f>
      </x:c>
      <x:c r="F109" s="50" t="str">
        <x:f>IFERROR(IF(SMALL('Offene Vorgänge'!$J$8:$J$207,102)&gt;=1E+90,"",INDEX('Offene Vorgänge'!$F$8:$F$207,MATCH(SMALL('Offene Vorgänge'!$J$8:$J$207,102),'Offene Vorgänge'!$J$8:$J$207,0))),"")</x:f>
      </x:c>
      <x:c r="G109" s="50" t="str">
        <x:f>IF($E109="","",IF($C109="","ohne Frist",IF($C109&lt;TODAY(),"überfällig","offen")))</x:f>
      </x:c>
      <x:c r="H109" s="44" t="str">
        <x:f>IFERROR(IF(SMALL('Offene Vorgänge'!$J$8:$J$207,102)&gt;=1E+90,"",INDEX('Offene Vorgänge'!$H$8:$H$207,MATCH(SMALL('Offene Vorgänge'!$J$8:$J$207,102),'Offene Vorgänge'!$J$8:$J$207,0))),"")</x:f>
      </x:c>
      <x:c r="I109" s="1"/>
      <x:c r="J109" s="1"/>
      <x:c r="K109" s="1"/>
      <x:c r="L109" s="1"/>
      <x:c r="M109" s="1"/>
      <x:c r="N109" s="1"/>
      <x:c r="O109" s="1"/>
      <x:c r="P109" s="1"/>
      <x:c r="Q109" s="1"/>
      <x:c r="R109" s="1"/>
      <x:c r="S109" s="1"/>
      <x:c r="T109" s="1"/>
    </x:row>
    <x:row r="110" ht="18" customHeight="1">
      <x:c r="A110" s="1"/>
      <x:c r="B110" s="47" t="str">
        <x:f>IF($E110="","",103)</x:f>
      </x:c>
      <x:c r="C110" s="49" t="str">
        <x:f>IFERROR(IF(SMALL('Offene Vorgänge'!$J$8:$J$207,103)&gt;=1E+90,"",INDEX('Offene Vorgänge'!$C$8:$C$207,MATCH(SMALL('Offene Vorgänge'!$J$8:$J$207,103),'Offene Vorgänge'!$J$8:$J$207,0))),"")</x:f>
      </x:c>
      <x:c r="D110" s="50" t="str">
        <x:f>IFERROR(IF(SMALL('Offene Vorgänge'!$J$8:$J$207,103)&gt;=1E+90,"",INDEX('Offene Vorgänge'!$D$8:$D$207,MATCH(SMALL('Offene Vorgänge'!$J$8:$J$207,103),'Offene Vorgänge'!$J$8:$J$207,0))),"")</x:f>
      </x:c>
      <x:c r="E110" s="44" t="str">
        <x:f>IFERROR(IF(SMALL('Offene Vorgänge'!$J$8:$J$207,103)&gt;=1E+90,"",INDEX('Offene Vorgänge'!$E$8:$E$207,MATCH(SMALL('Offene Vorgänge'!$J$8:$J$207,103),'Offene Vorgänge'!$J$8:$J$207,0))),"")</x:f>
      </x:c>
      <x:c r="F110" s="50" t="str">
        <x:f>IFERROR(IF(SMALL('Offene Vorgänge'!$J$8:$J$207,103)&gt;=1E+90,"",INDEX('Offene Vorgänge'!$F$8:$F$207,MATCH(SMALL('Offene Vorgänge'!$J$8:$J$207,103),'Offene Vorgänge'!$J$8:$J$207,0))),"")</x:f>
      </x:c>
      <x:c r="G110" s="50" t="str">
        <x:f>IF($E110="","",IF($C110="","ohne Frist",IF($C110&lt;TODAY(),"überfällig","offen")))</x:f>
      </x:c>
      <x:c r="H110" s="44" t="str">
        <x:f>IFERROR(IF(SMALL('Offene Vorgänge'!$J$8:$J$207,103)&gt;=1E+90,"",INDEX('Offene Vorgänge'!$H$8:$H$207,MATCH(SMALL('Offene Vorgänge'!$J$8:$J$207,103),'Offene Vorgänge'!$J$8:$J$207,0))),"")</x:f>
      </x:c>
      <x:c r="I110" s="1"/>
      <x:c r="J110" s="1"/>
      <x:c r="K110" s="1"/>
      <x:c r="L110" s="1"/>
      <x:c r="M110" s="1"/>
      <x:c r="N110" s="1"/>
      <x:c r="O110" s="1"/>
      <x:c r="P110" s="1"/>
      <x:c r="Q110" s="1"/>
      <x:c r="R110" s="1"/>
      <x:c r="S110" s="1"/>
      <x:c r="T110" s="1"/>
    </x:row>
    <x:row r="111" ht="18" customHeight="1">
      <x:c r="A111" s="1"/>
      <x:c r="B111" s="47" t="str">
        <x:f>IF($E111="","",104)</x:f>
      </x:c>
      <x:c r="C111" s="49" t="str">
        <x:f>IFERROR(IF(SMALL('Offene Vorgänge'!$J$8:$J$207,104)&gt;=1E+90,"",INDEX('Offene Vorgänge'!$C$8:$C$207,MATCH(SMALL('Offene Vorgänge'!$J$8:$J$207,104),'Offene Vorgänge'!$J$8:$J$207,0))),"")</x:f>
      </x:c>
      <x:c r="D111" s="50" t="str">
        <x:f>IFERROR(IF(SMALL('Offene Vorgänge'!$J$8:$J$207,104)&gt;=1E+90,"",INDEX('Offene Vorgänge'!$D$8:$D$207,MATCH(SMALL('Offene Vorgänge'!$J$8:$J$207,104),'Offene Vorgänge'!$J$8:$J$207,0))),"")</x:f>
      </x:c>
      <x:c r="E111" s="44" t="str">
        <x:f>IFERROR(IF(SMALL('Offene Vorgänge'!$J$8:$J$207,104)&gt;=1E+90,"",INDEX('Offene Vorgänge'!$E$8:$E$207,MATCH(SMALL('Offene Vorgänge'!$J$8:$J$207,104),'Offene Vorgänge'!$J$8:$J$207,0))),"")</x:f>
      </x:c>
      <x:c r="F111" s="50" t="str">
        <x:f>IFERROR(IF(SMALL('Offene Vorgänge'!$J$8:$J$207,104)&gt;=1E+90,"",INDEX('Offene Vorgänge'!$F$8:$F$207,MATCH(SMALL('Offene Vorgänge'!$J$8:$J$207,104),'Offene Vorgänge'!$J$8:$J$207,0))),"")</x:f>
      </x:c>
      <x:c r="G111" s="50" t="str">
        <x:f>IF($E111="","",IF($C111="","ohne Frist",IF($C111&lt;TODAY(),"überfällig","offen")))</x:f>
      </x:c>
      <x:c r="H111" s="44" t="str">
        <x:f>IFERROR(IF(SMALL('Offene Vorgänge'!$J$8:$J$207,104)&gt;=1E+90,"",INDEX('Offene Vorgänge'!$H$8:$H$207,MATCH(SMALL('Offene Vorgänge'!$J$8:$J$207,104),'Offene Vorgänge'!$J$8:$J$207,0))),"")</x:f>
      </x:c>
      <x:c r="I111" s="1"/>
      <x:c r="J111" s="1"/>
      <x:c r="K111" s="1"/>
      <x:c r="L111" s="1"/>
      <x:c r="M111" s="1"/>
      <x:c r="N111" s="1"/>
      <x:c r="O111" s="1"/>
      <x:c r="P111" s="1"/>
      <x:c r="Q111" s="1"/>
      <x:c r="R111" s="1"/>
      <x:c r="S111" s="1"/>
      <x:c r="T111" s="1"/>
    </x:row>
    <x:row r="112" ht="18" customHeight="1">
      <x:c r="A112" s="1"/>
      <x:c r="B112" s="47" t="str">
        <x:f>IF($E112="","",105)</x:f>
      </x:c>
      <x:c r="C112" s="49" t="str">
        <x:f>IFERROR(IF(SMALL('Offene Vorgänge'!$J$8:$J$207,105)&gt;=1E+90,"",INDEX('Offene Vorgänge'!$C$8:$C$207,MATCH(SMALL('Offene Vorgänge'!$J$8:$J$207,105),'Offene Vorgänge'!$J$8:$J$207,0))),"")</x:f>
      </x:c>
      <x:c r="D112" s="50" t="str">
        <x:f>IFERROR(IF(SMALL('Offene Vorgänge'!$J$8:$J$207,105)&gt;=1E+90,"",INDEX('Offene Vorgänge'!$D$8:$D$207,MATCH(SMALL('Offene Vorgänge'!$J$8:$J$207,105),'Offene Vorgänge'!$J$8:$J$207,0))),"")</x:f>
      </x:c>
      <x:c r="E112" s="44" t="str">
        <x:f>IFERROR(IF(SMALL('Offene Vorgänge'!$J$8:$J$207,105)&gt;=1E+90,"",INDEX('Offene Vorgänge'!$E$8:$E$207,MATCH(SMALL('Offene Vorgänge'!$J$8:$J$207,105),'Offene Vorgänge'!$J$8:$J$207,0))),"")</x:f>
      </x:c>
      <x:c r="F112" s="50" t="str">
        <x:f>IFERROR(IF(SMALL('Offene Vorgänge'!$J$8:$J$207,105)&gt;=1E+90,"",INDEX('Offene Vorgänge'!$F$8:$F$207,MATCH(SMALL('Offene Vorgänge'!$J$8:$J$207,105),'Offene Vorgänge'!$J$8:$J$207,0))),"")</x:f>
      </x:c>
      <x:c r="G112" s="50" t="str">
        <x:f>IF($E112="","",IF($C112="","ohne Frist",IF($C112&lt;TODAY(),"überfällig","offen")))</x:f>
      </x:c>
      <x:c r="H112" s="44" t="str">
        <x:f>IFERROR(IF(SMALL('Offene Vorgänge'!$J$8:$J$207,105)&gt;=1E+90,"",INDEX('Offene Vorgänge'!$H$8:$H$207,MATCH(SMALL('Offene Vorgänge'!$J$8:$J$207,105),'Offene Vorgänge'!$J$8:$J$207,0))),"")</x:f>
      </x:c>
      <x:c r="I112" s="1"/>
      <x:c r="J112" s="1"/>
      <x:c r="K112" s="1"/>
      <x:c r="L112" s="1"/>
      <x:c r="M112" s="1"/>
      <x:c r="N112" s="1"/>
      <x:c r="O112" s="1"/>
      <x:c r="P112" s="1"/>
      <x:c r="Q112" s="1"/>
      <x:c r="R112" s="1"/>
      <x:c r="S112" s="1"/>
      <x:c r="T112" s="1"/>
    </x:row>
    <x:row r="113" ht="18" customHeight="1">
      <x:c r="A113" s="1"/>
      <x:c r="B113" s="47" t="str">
        <x:f>IF($E113="","",106)</x:f>
      </x:c>
      <x:c r="C113" s="49" t="str">
        <x:f>IFERROR(IF(SMALL('Offene Vorgänge'!$J$8:$J$207,106)&gt;=1E+90,"",INDEX('Offene Vorgänge'!$C$8:$C$207,MATCH(SMALL('Offene Vorgänge'!$J$8:$J$207,106),'Offene Vorgänge'!$J$8:$J$207,0))),"")</x:f>
      </x:c>
      <x:c r="D113" s="50" t="str">
        <x:f>IFERROR(IF(SMALL('Offene Vorgänge'!$J$8:$J$207,106)&gt;=1E+90,"",INDEX('Offene Vorgänge'!$D$8:$D$207,MATCH(SMALL('Offene Vorgänge'!$J$8:$J$207,106),'Offene Vorgänge'!$J$8:$J$207,0))),"")</x:f>
      </x:c>
      <x:c r="E113" s="44" t="str">
        <x:f>IFERROR(IF(SMALL('Offene Vorgänge'!$J$8:$J$207,106)&gt;=1E+90,"",INDEX('Offene Vorgänge'!$E$8:$E$207,MATCH(SMALL('Offene Vorgänge'!$J$8:$J$207,106),'Offene Vorgänge'!$J$8:$J$207,0))),"")</x:f>
      </x:c>
      <x:c r="F113" s="50" t="str">
        <x:f>IFERROR(IF(SMALL('Offene Vorgänge'!$J$8:$J$207,106)&gt;=1E+90,"",INDEX('Offene Vorgänge'!$F$8:$F$207,MATCH(SMALL('Offene Vorgänge'!$J$8:$J$207,106),'Offene Vorgänge'!$J$8:$J$207,0))),"")</x:f>
      </x:c>
      <x:c r="G113" s="50" t="str">
        <x:f>IF($E113="","",IF($C113="","ohne Frist",IF($C113&lt;TODAY(),"überfällig","offen")))</x:f>
      </x:c>
      <x:c r="H113" s="44" t="str">
        <x:f>IFERROR(IF(SMALL('Offene Vorgänge'!$J$8:$J$207,106)&gt;=1E+90,"",INDEX('Offene Vorgänge'!$H$8:$H$207,MATCH(SMALL('Offene Vorgänge'!$J$8:$J$207,106),'Offene Vorgänge'!$J$8:$J$207,0))),"")</x:f>
      </x:c>
      <x:c r="I113" s="1"/>
      <x:c r="J113" s="1"/>
      <x:c r="K113" s="1"/>
      <x:c r="L113" s="1"/>
      <x:c r="M113" s="1"/>
      <x:c r="N113" s="1"/>
      <x:c r="O113" s="1"/>
      <x:c r="P113" s="1"/>
      <x:c r="Q113" s="1"/>
      <x:c r="R113" s="1"/>
      <x:c r="S113" s="1"/>
      <x:c r="T113" s="1"/>
    </x:row>
    <x:row r="114" ht="18" customHeight="1">
      <x:c r="A114" s="1"/>
      <x:c r="B114" s="47" t="str">
        <x:f>IF($E114="","",107)</x:f>
      </x:c>
      <x:c r="C114" s="49" t="str">
        <x:f>IFERROR(IF(SMALL('Offene Vorgänge'!$J$8:$J$207,107)&gt;=1E+90,"",INDEX('Offene Vorgänge'!$C$8:$C$207,MATCH(SMALL('Offene Vorgänge'!$J$8:$J$207,107),'Offene Vorgänge'!$J$8:$J$207,0))),"")</x:f>
      </x:c>
      <x:c r="D114" s="50" t="str">
        <x:f>IFERROR(IF(SMALL('Offene Vorgänge'!$J$8:$J$207,107)&gt;=1E+90,"",INDEX('Offene Vorgänge'!$D$8:$D$207,MATCH(SMALL('Offene Vorgänge'!$J$8:$J$207,107),'Offene Vorgänge'!$J$8:$J$207,0))),"")</x:f>
      </x:c>
      <x:c r="E114" s="44" t="str">
        <x:f>IFERROR(IF(SMALL('Offene Vorgänge'!$J$8:$J$207,107)&gt;=1E+90,"",INDEX('Offene Vorgänge'!$E$8:$E$207,MATCH(SMALL('Offene Vorgänge'!$J$8:$J$207,107),'Offene Vorgänge'!$J$8:$J$207,0))),"")</x:f>
      </x:c>
      <x:c r="F114" s="50" t="str">
        <x:f>IFERROR(IF(SMALL('Offene Vorgänge'!$J$8:$J$207,107)&gt;=1E+90,"",INDEX('Offene Vorgänge'!$F$8:$F$207,MATCH(SMALL('Offene Vorgänge'!$J$8:$J$207,107),'Offene Vorgänge'!$J$8:$J$207,0))),"")</x:f>
      </x:c>
      <x:c r="G114" s="50" t="str">
        <x:f>IF($E114="","",IF($C114="","ohne Frist",IF($C114&lt;TODAY(),"überfällig","offen")))</x:f>
      </x:c>
      <x:c r="H114" s="44" t="str">
        <x:f>IFERROR(IF(SMALL('Offene Vorgänge'!$J$8:$J$207,107)&gt;=1E+90,"",INDEX('Offene Vorgänge'!$H$8:$H$207,MATCH(SMALL('Offene Vorgänge'!$J$8:$J$207,107),'Offene Vorgänge'!$J$8:$J$207,0))),"")</x:f>
      </x:c>
      <x:c r="I114" s="1"/>
      <x:c r="J114" s="1"/>
      <x:c r="K114" s="1"/>
      <x:c r="L114" s="1"/>
      <x:c r="M114" s="1"/>
      <x:c r="N114" s="1"/>
      <x:c r="O114" s="1"/>
      <x:c r="P114" s="1"/>
      <x:c r="Q114" s="1"/>
      <x:c r="R114" s="1"/>
      <x:c r="S114" s="1"/>
      <x:c r="T114" s="1"/>
    </x:row>
    <x:row r="115" ht="18" customHeight="1">
      <x:c r="A115" s="1"/>
      <x:c r="B115" s="47" t="str">
        <x:f>IF($E115="","",108)</x:f>
      </x:c>
      <x:c r="C115" s="49" t="str">
        <x:f>IFERROR(IF(SMALL('Offene Vorgänge'!$J$8:$J$207,108)&gt;=1E+90,"",INDEX('Offene Vorgänge'!$C$8:$C$207,MATCH(SMALL('Offene Vorgänge'!$J$8:$J$207,108),'Offene Vorgänge'!$J$8:$J$207,0))),"")</x:f>
      </x:c>
      <x:c r="D115" s="50" t="str">
        <x:f>IFERROR(IF(SMALL('Offene Vorgänge'!$J$8:$J$207,108)&gt;=1E+90,"",INDEX('Offene Vorgänge'!$D$8:$D$207,MATCH(SMALL('Offene Vorgänge'!$J$8:$J$207,108),'Offene Vorgänge'!$J$8:$J$207,0))),"")</x:f>
      </x:c>
      <x:c r="E115" s="44" t="str">
        <x:f>IFERROR(IF(SMALL('Offene Vorgänge'!$J$8:$J$207,108)&gt;=1E+90,"",INDEX('Offene Vorgänge'!$E$8:$E$207,MATCH(SMALL('Offene Vorgänge'!$J$8:$J$207,108),'Offene Vorgänge'!$J$8:$J$207,0))),"")</x:f>
      </x:c>
      <x:c r="F115" s="50" t="str">
        <x:f>IFERROR(IF(SMALL('Offene Vorgänge'!$J$8:$J$207,108)&gt;=1E+90,"",INDEX('Offene Vorgänge'!$F$8:$F$207,MATCH(SMALL('Offene Vorgänge'!$J$8:$J$207,108),'Offene Vorgänge'!$J$8:$J$207,0))),"")</x:f>
      </x:c>
      <x:c r="G115" s="50" t="str">
        <x:f>IF($E115="","",IF($C115="","ohne Frist",IF($C115&lt;TODAY(),"überfällig","offen")))</x:f>
      </x:c>
      <x:c r="H115" s="44" t="str">
        <x:f>IFERROR(IF(SMALL('Offene Vorgänge'!$J$8:$J$207,108)&gt;=1E+90,"",INDEX('Offene Vorgänge'!$H$8:$H$207,MATCH(SMALL('Offene Vorgänge'!$J$8:$J$207,108),'Offene Vorgänge'!$J$8:$J$207,0))),"")</x:f>
      </x:c>
      <x:c r="I115" s="1"/>
      <x:c r="J115" s="1"/>
      <x:c r="K115" s="1"/>
      <x:c r="L115" s="1"/>
      <x:c r="M115" s="1"/>
      <x:c r="N115" s="1"/>
      <x:c r="O115" s="1"/>
      <x:c r="P115" s="1"/>
      <x:c r="Q115" s="1"/>
      <x:c r="R115" s="1"/>
      <x:c r="S115" s="1"/>
      <x:c r="T115" s="1"/>
    </x:row>
    <x:row r="116" ht="18" customHeight="1">
      <x:c r="A116" s="1"/>
      <x:c r="B116" s="47" t="str">
        <x:f>IF($E116="","",109)</x:f>
      </x:c>
      <x:c r="C116" s="49" t="str">
        <x:f>IFERROR(IF(SMALL('Offene Vorgänge'!$J$8:$J$207,109)&gt;=1E+90,"",INDEX('Offene Vorgänge'!$C$8:$C$207,MATCH(SMALL('Offene Vorgänge'!$J$8:$J$207,109),'Offene Vorgänge'!$J$8:$J$207,0))),"")</x:f>
      </x:c>
      <x:c r="D116" s="50" t="str">
        <x:f>IFERROR(IF(SMALL('Offene Vorgänge'!$J$8:$J$207,109)&gt;=1E+90,"",INDEX('Offene Vorgänge'!$D$8:$D$207,MATCH(SMALL('Offene Vorgänge'!$J$8:$J$207,109),'Offene Vorgänge'!$J$8:$J$207,0))),"")</x:f>
      </x:c>
      <x:c r="E116" s="44" t="str">
        <x:f>IFERROR(IF(SMALL('Offene Vorgänge'!$J$8:$J$207,109)&gt;=1E+90,"",INDEX('Offene Vorgänge'!$E$8:$E$207,MATCH(SMALL('Offene Vorgänge'!$J$8:$J$207,109),'Offene Vorgänge'!$J$8:$J$207,0))),"")</x:f>
      </x:c>
      <x:c r="F116" s="50" t="str">
        <x:f>IFERROR(IF(SMALL('Offene Vorgänge'!$J$8:$J$207,109)&gt;=1E+90,"",INDEX('Offene Vorgänge'!$F$8:$F$207,MATCH(SMALL('Offene Vorgänge'!$J$8:$J$207,109),'Offene Vorgänge'!$J$8:$J$207,0))),"")</x:f>
      </x:c>
      <x:c r="G116" s="50" t="str">
        <x:f>IF($E116="","",IF($C116="","ohne Frist",IF($C116&lt;TODAY(),"überfällig","offen")))</x:f>
      </x:c>
      <x:c r="H116" s="44" t="str">
        <x:f>IFERROR(IF(SMALL('Offene Vorgänge'!$J$8:$J$207,109)&gt;=1E+90,"",INDEX('Offene Vorgänge'!$H$8:$H$207,MATCH(SMALL('Offene Vorgänge'!$J$8:$J$207,109),'Offene Vorgänge'!$J$8:$J$207,0))),"")</x:f>
      </x:c>
      <x:c r="I116" s="1"/>
      <x:c r="J116" s="1"/>
      <x:c r="K116" s="1"/>
      <x:c r="L116" s="1"/>
      <x:c r="M116" s="1"/>
      <x:c r="N116" s="1"/>
      <x:c r="O116" s="1"/>
      <x:c r="P116" s="1"/>
      <x:c r="Q116" s="1"/>
      <x:c r="R116" s="1"/>
      <x:c r="S116" s="1"/>
      <x:c r="T116" s="1"/>
    </x:row>
    <x:row r="117" ht="18" customHeight="1">
      <x:c r="A117" s="1"/>
      <x:c r="B117" s="47" t="str">
        <x:f>IF($E117="","",110)</x:f>
      </x:c>
      <x:c r="C117" s="49" t="str">
        <x:f>IFERROR(IF(SMALL('Offene Vorgänge'!$J$8:$J$207,110)&gt;=1E+90,"",INDEX('Offene Vorgänge'!$C$8:$C$207,MATCH(SMALL('Offene Vorgänge'!$J$8:$J$207,110),'Offene Vorgänge'!$J$8:$J$207,0))),"")</x:f>
      </x:c>
      <x:c r="D117" s="50" t="str">
        <x:f>IFERROR(IF(SMALL('Offene Vorgänge'!$J$8:$J$207,110)&gt;=1E+90,"",INDEX('Offene Vorgänge'!$D$8:$D$207,MATCH(SMALL('Offene Vorgänge'!$J$8:$J$207,110),'Offene Vorgänge'!$J$8:$J$207,0))),"")</x:f>
      </x:c>
      <x:c r="E117" s="44" t="str">
        <x:f>IFERROR(IF(SMALL('Offene Vorgänge'!$J$8:$J$207,110)&gt;=1E+90,"",INDEX('Offene Vorgänge'!$E$8:$E$207,MATCH(SMALL('Offene Vorgänge'!$J$8:$J$207,110),'Offene Vorgänge'!$J$8:$J$207,0))),"")</x:f>
      </x:c>
      <x:c r="F117" s="50" t="str">
        <x:f>IFERROR(IF(SMALL('Offene Vorgänge'!$J$8:$J$207,110)&gt;=1E+90,"",INDEX('Offene Vorgänge'!$F$8:$F$207,MATCH(SMALL('Offene Vorgänge'!$J$8:$J$207,110),'Offene Vorgänge'!$J$8:$J$207,0))),"")</x:f>
      </x:c>
      <x:c r="G117" s="50" t="str">
        <x:f>IF($E117="","",IF($C117="","ohne Frist",IF($C117&lt;TODAY(),"überfällig","offen")))</x:f>
      </x:c>
      <x:c r="H117" s="44" t="str">
        <x:f>IFERROR(IF(SMALL('Offene Vorgänge'!$J$8:$J$207,110)&gt;=1E+90,"",INDEX('Offene Vorgänge'!$H$8:$H$207,MATCH(SMALL('Offene Vorgänge'!$J$8:$J$207,110),'Offene Vorgänge'!$J$8:$J$207,0))),"")</x:f>
      </x:c>
      <x:c r="I117" s="1"/>
      <x:c r="J117" s="1"/>
      <x:c r="K117" s="1"/>
      <x:c r="L117" s="1"/>
      <x:c r="M117" s="1"/>
      <x:c r="N117" s="1"/>
      <x:c r="O117" s="1"/>
      <x:c r="P117" s="1"/>
      <x:c r="Q117" s="1"/>
      <x:c r="R117" s="1"/>
      <x:c r="S117" s="1"/>
      <x:c r="T117" s="1"/>
    </x:row>
    <x:row r="118" ht="18" customHeight="1">
      <x:c r="A118" s="1"/>
      <x:c r="B118" s="47" t="str">
        <x:f>IF($E118="","",111)</x:f>
      </x:c>
      <x:c r="C118" s="49" t="str">
        <x:f>IFERROR(IF(SMALL('Offene Vorgänge'!$J$8:$J$207,111)&gt;=1E+90,"",INDEX('Offene Vorgänge'!$C$8:$C$207,MATCH(SMALL('Offene Vorgänge'!$J$8:$J$207,111),'Offene Vorgänge'!$J$8:$J$207,0))),"")</x:f>
      </x:c>
      <x:c r="D118" s="50" t="str">
        <x:f>IFERROR(IF(SMALL('Offene Vorgänge'!$J$8:$J$207,111)&gt;=1E+90,"",INDEX('Offene Vorgänge'!$D$8:$D$207,MATCH(SMALL('Offene Vorgänge'!$J$8:$J$207,111),'Offene Vorgänge'!$J$8:$J$207,0))),"")</x:f>
      </x:c>
      <x:c r="E118" s="44" t="str">
        <x:f>IFERROR(IF(SMALL('Offene Vorgänge'!$J$8:$J$207,111)&gt;=1E+90,"",INDEX('Offene Vorgänge'!$E$8:$E$207,MATCH(SMALL('Offene Vorgänge'!$J$8:$J$207,111),'Offene Vorgänge'!$J$8:$J$207,0))),"")</x:f>
      </x:c>
      <x:c r="F118" s="50" t="str">
        <x:f>IFERROR(IF(SMALL('Offene Vorgänge'!$J$8:$J$207,111)&gt;=1E+90,"",INDEX('Offene Vorgänge'!$F$8:$F$207,MATCH(SMALL('Offene Vorgänge'!$J$8:$J$207,111),'Offene Vorgänge'!$J$8:$J$207,0))),"")</x:f>
      </x:c>
      <x:c r="G118" s="50" t="str">
        <x:f>IF($E118="","",IF($C118="","ohne Frist",IF($C118&lt;TODAY(),"überfällig","offen")))</x:f>
      </x:c>
      <x:c r="H118" s="44" t="str">
        <x:f>IFERROR(IF(SMALL('Offene Vorgänge'!$J$8:$J$207,111)&gt;=1E+90,"",INDEX('Offene Vorgänge'!$H$8:$H$207,MATCH(SMALL('Offene Vorgänge'!$J$8:$J$207,111),'Offene Vorgänge'!$J$8:$J$207,0))),"")</x:f>
      </x:c>
      <x:c r="I118" s="1"/>
      <x:c r="J118" s="1"/>
      <x:c r="K118" s="1"/>
      <x:c r="L118" s="1"/>
      <x:c r="M118" s="1"/>
      <x:c r="N118" s="1"/>
      <x:c r="O118" s="1"/>
      <x:c r="P118" s="1"/>
      <x:c r="Q118" s="1"/>
      <x:c r="R118" s="1"/>
      <x:c r="S118" s="1"/>
      <x:c r="T118" s="1"/>
    </x:row>
    <x:row r="119" ht="18" customHeight="1">
      <x:c r="A119" s="1"/>
      <x:c r="B119" s="47" t="str">
        <x:f>IF($E119="","",112)</x:f>
      </x:c>
      <x:c r="C119" s="49" t="str">
        <x:f>IFERROR(IF(SMALL('Offene Vorgänge'!$J$8:$J$207,112)&gt;=1E+90,"",INDEX('Offene Vorgänge'!$C$8:$C$207,MATCH(SMALL('Offene Vorgänge'!$J$8:$J$207,112),'Offene Vorgänge'!$J$8:$J$207,0))),"")</x:f>
      </x:c>
      <x:c r="D119" s="50" t="str">
        <x:f>IFERROR(IF(SMALL('Offene Vorgänge'!$J$8:$J$207,112)&gt;=1E+90,"",INDEX('Offene Vorgänge'!$D$8:$D$207,MATCH(SMALL('Offene Vorgänge'!$J$8:$J$207,112),'Offene Vorgänge'!$J$8:$J$207,0))),"")</x:f>
      </x:c>
      <x:c r="E119" s="44" t="str">
        <x:f>IFERROR(IF(SMALL('Offene Vorgänge'!$J$8:$J$207,112)&gt;=1E+90,"",INDEX('Offene Vorgänge'!$E$8:$E$207,MATCH(SMALL('Offene Vorgänge'!$J$8:$J$207,112),'Offene Vorgänge'!$J$8:$J$207,0))),"")</x:f>
      </x:c>
      <x:c r="F119" s="50" t="str">
        <x:f>IFERROR(IF(SMALL('Offene Vorgänge'!$J$8:$J$207,112)&gt;=1E+90,"",INDEX('Offene Vorgänge'!$F$8:$F$207,MATCH(SMALL('Offene Vorgänge'!$J$8:$J$207,112),'Offene Vorgänge'!$J$8:$J$207,0))),"")</x:f>
      </x:c>
      <x:c r="G119" s="50" t="str">
        <x:f>IF($E119="","",IF($C119="","ohne Frist",IF($C119&lt;TODAY(),"überfällig","offen")))</x:f>
      </x:c>
      <x:c r="H119" s="44" t="str">
        <x:f>IFERROR(IF(SMALL('Offene Vorgänge'!$J$8:$J$207,112)&gt;=1E+90,"",INDEX('Offene Vorgänge'!$H$8:$H$207,MATCH(SMALL('Offene Vorgänge'!$J$8:$J$207,112),'Offene Vorgänge'!$J$8:$J$207,0))),"")</x:f>
      </x:c>
      <x:c r="I119" s="1"/>
      <x:c r="J119" s="1"/>
      <x:c r="K119" s="1"/>
      <x:c r="L119" s="1"/>
      <x:c r="M119" s="1"/>
      <x:c r="N119" s="1"/>
      <x:c r="O119" s="1"/>
      <x:c r="P119" s="1"/>
      <x:c r="Q119" s="1"/>
      <x:c r="R119" s="1"/>
      <x:c r="S119" s="1"/>
      <x:c r="T119" s="1"/>
    </x:row>
    <x:row r="120" ht="18" customHeight="1">
      <x:c r="A120" s="1"/>
      <x:c r="B120" s="47" t="str">
        <x:f>IF($E120="","",113)</x:f>
      </x:c>
      <x:c r="C120" s="49" t="str">
        <x:f>IFERROR(IF(SMALL('Offene Vorgänge'!$J$8:$J$207,113)&gt;=1E+90,"",INDEX('Offene Vorgänge'!$C$8:$C$207,MATCH(SMALL('Offene Vorgänge'!$J$8:$J$207,113),'Offene Vorgänge'!$J$8:$J$207,0))),"")</x:f>
      </x:c>
      <x:c r="D120" s="50" t="str">
        <x:f>IFERROR(IF(SMALL('Offene Vorgänge'!$J$8:$J$207,113)&gt;=1E+90,"",INDEX('Offene Vorgänge'!$D$8:$D$207,MATCH(SMALL('Offene Vorgänge'!$J$8:$J$207,113),'Offene Vorgänge'!$J$8:$J$207,0))),"")</x:f>
      </x:c>
      <x:c r="E120" s="44" t="str">
        <x:f>IFERROR(IF(SMALL('Offene Vorgänge'!$J$8:$J$207,113)&gt;=1E+90,"",INDEX('Offene Vorgänge'!$E$8:$E$207,MATCH(SMALL('Offene Vorgänge'!$J$8:$J$207,113),'Offene Vorgänge'!$J$8:$J$207,0))),"")</x:f>
      </x:c>
      <x:c r="F120" s="50" t="str">
        <x:f>IFERROR(IF(SMALL('Offene Vorgänge'!$J$8:$J$207,113)&gt;=1E+90,"",INDEX('Offene Vorgänge'!$F$8:$F$207,MATCH(SMALL('Offene Vorgänge'!$J$8:$J$207,113),'Offene Vorgänge'!$J$8:$J$207,0))),"")</x:f>
      </x:c>
      <x:c r="G120" s="50" t="str">
        <x:f>IF($E120="","",IF($C120="","ohne Frist",IF($C120&lt;TODAY(),"überfällig","offen")))</x:f>
      </x:c>
      <x:c r="H120" s="44" t="str">
        <x:f>IFERROR(IF(SMALL('Offene Vorgänge'!$J$8:$J$207,113)&gt;=1E+90,"",INDEX('Offene Vorgänge'!$H$8:$H$207,MATCH(SMALL('Offene Vorgänge'!$J$8:$J$207,113),'Offene Vorgänge'!$J$8:$J$207,0))),"")</x:f>
      </x:c>
      <x:c r="I120" s="1"/>
      <x:c r="J120" s="1"/>
      <x:c r="K120" s="1"/>
      <x:c r="L120" s="1"/>
      <x:c r="M120" s="1"/>
      <x:c r="N120" s="1"/>
      <x:c r="O120" s="1"/>
      <x:c r="P120" s="1"/>
      <x:c r="Q120" s="1"/>
      <x:c r="R120" s="1"/>
      <x:c r="S120" s="1"/>
      <x:c r="T120" s="1"/>
    </x:row>
    <x:row r="121" ht="18" customHeight="1">
      <x:c r="A121" s="1"/>
      <x:c r="B121" s="47" t="str">
        <x:f>IF($E121="","",114)</x:f>
      </x:c>
      <x:c r="C121" s="49" t="str">
        <x:f>IFERROR(IF(SMALL('Offene Vorgänge'!$J$8:$J$207,114)&gt;=1E+90,"",INDEX('Offene Vorgänge'!$C$8:$C$207,MATCH(SMALL('Offene Vorgänge'!$J$8:$J$207,114),'Offene Vorgänge'!$J$8:$J$207,0))),"")</x:f>
      </x:c>
      <x:c r="D121" s="50" t="str">
        <x:f>IFERROR(IF(SMALL('Offene Vorgänge'!$J$8:$J$207,114)&gt;=1E+90,"",INDEX('Offene Vorgänge'!$D$8:$D$207,MATCH(SMALL('Offene Vorgänge'!$J$8:$J$207,114),'Offene Vorgänge'!$J$8:$J$207,0))),"")</x:f>
      </x:c>
      <x:c r="E121" s="44" t="str">
        <x:f>IFERROR(IF(SMALL('Offene Vorgänge'!$J$8:$J$207,114)&gt;=1E+90,"",INDEX('Offene Vorgänge'!$E$8:$E$207,MATCH(SMALL('Offene Vorgänge'!$J$8:$J$207,114),'Offene Vorgänge'!$J$8:$J$207,0))),"")</x:f>
      </x:c>
      <x:c r="F121" s="50" t="str">
        <x:f>IFERROR(IF(SMALL('Offene Vorgänge'!$J$8:$J$207,114)&gt;=1E+90,"",INDEX('Offene Vorgänge'!$F$8:$F$207,MATCH(SMALL('Offene Vorgänge'!$J$8:$J$207,114),'Offene Vorgänge'!$J$8:$J$207,0))),"")</x:f>
      </x:c>
      <x:c r="G121" s="50" t="str">
        <x:f>IF($E121="","",IF($C121="","ohne Frist",IF($C121&lt;TODAY(),"überfällig","offen")))</x:f>
      </x:c>
      <x:c r="H121" s="44" t="str">
        <x:f>IFERROR(IF(SMALL('Offene Vorgänge'!$J$8:$J$207,114)&gt;=1E+90,"",INDEX('Offene Vorgänge'!$H$8:$H$207,MATCH(SMALL('Offene Vorgänge'!$J$8:$J$207,114),'Offene Vorgänge'!$J$8:$J$207,0))),"")</x:f>
      </x:c>
      <x:c r="I121" s="1"/>
      <x:c r="J121" s="1"/>
      <x:c r="K121" s="1"/>
      <x:c r="L121" s="1"/>
      <x:c r="M121" s="1"/>
      <x:c r="N121" s="1"/>
      <x:c r="O121" s="1"/>
      <x:c r="P121" s="1"/>
      <x:c r="Q121" s="1"/>
      <x:c r="R121" s="1"/>
      <x:c r="S121" s="1"/>
      <x:c r="T121" s="1"/>
    </x:row>
    <x:row r="122" ht="18" customHeight="1">
      <x:c r="A122" s="1"/>
      <x:c r="B122" s="47" t="str">
        <x:f>IF($E122="","",115)</x:f>
      </x:c>
      <x:c r="C122" s="49" t="str">
        <x:f>IFERROR(IF(SMALL('Offene Vorgänge'!$J$8:$J$207,115)&gt;=1E+90,"",INDEX('Offene Vorgänge'!$C$8:$C$207,MATCH(SMALL('Offene Vorgänge'!$J$8:$J$207,115),'Offene Vorgänge'!$J$8:$J$207,0))),"")</x:f>
      </x:c>
      <x:c r="D122" s="50" t="str">
        <x:f>IFERROR(IF(SMALL('Offene Vorgänge'!$J$8:$J$207,115)&gt;=1E+90,"",INDEX('Offene Vorgänge'!$D$8:$D$207,MATCH(SMALL('Offene Vorgänge'!$J$8:$J$207,115),'Offene Vorgänge'!$J$8:$J$207,0))),"")</x:f>
      </x:c>
      <x:c r="E122" s="44" t="str">
        <x:f>IFERROR(IF(SMALL('Offene Vorgänge'!$J$8:$J$207,115)&gt;=1E+90,"",INDEX('Offene Vorgänge'!$E$8:$E$207,MATCH(SMALL('Offene Vorgänge'!$J$8:$J$207,115),'Offene Vorgänge'!$J$8:$J$207,0))),"")</x:f>
      </x:c>
      <x:c r="F122" s="50" t="str">
        <x:f>IFERROR(IF(SMALL('Offene Vorgänge'!$J$8:$J$207,115)&gt;=1E+90,"",INDEX('Offene Vorgänge'!$F$8:$F$207,MATCH(SMALL('Offene Vorgänge'!$J$8:$J$207,115),'Offene Vorgänge'!$J$8:$J$207,0))),"")</x:f>
      </x:c>
      <x:c r="G122" s="50" t="str">
        <x:f>IF($E122="","",IF($C122="","ohne Frist",IF($C122&lt;TODAY(),"überfällig","offen")))</x:f>
      </x:c>
      <x:c r="H122" s="44" t="str">
        <x:f>IFERROR(IF(SMALL('Offene Vorgänge'!$J$8:$J$207,115)&gt;=1E+90,"",INDEX('Offene Vorgänge'!$H$8:$H$207,MATCH(SMALL('Offene Vorgänge'!$J$8:$J$207,115),'Offene Vorgänge'!$J$8:$J$207,0))),"")</x:f>
      </x:c>
      <x:c r="I122" s="1"/>
      <x:c r="J122" s="1"/>
      <x:c r="K122" s="1"/>
      <x:c r="L122" s="1"/>
      <x:c r="M122" s="1"/>
      <x:c r="N122" s="1"/>
      <x:c r="O122" s="1"/>
      <x:c r="P122" s="1"/>
      <x:c r="Q122" s="1"/>
      <x:c r="R122" s="1"/>
      <x:c r="S122" s="1"/>
      <x:c r="T122" s="1"/>
    </x:row>
    <x:row r="123" ht="18" customHeight="1">
      <x:c r="A123" s="1"/>
      <x:c r="B123" s="47" t="str">
        <x:f>IF($E123="","",116)</x:f>
      </x:c>
      <x:c r="C123" s="49" t="str">
        <x:f>IFERROR(IF(SMALL('Offene Vorgänge'!$J$8:$J$207,116)&gt;=1E+90,"",INDEX('Offene Vorgänge'!$C$8:$C$207,MATCH(SMALL('Offene Vorgänge'!$J$8:$J$207,116),'Offene Vorgänge'!$J$8:$J$207,0))),"")</x:f>
      </x:c>
      <x:c r="D123" s="50" t="str">
        <x:f>IFERROR(IF(SMALL('Offene Vorgänge'!$J$8:$J$207,116)&gt;=1E+90,"",INDEX('Offene Vorgänge'!$D$8:$D$207,MATCH(SMALL('Offene Vorgänge'!$J$8:$J$207,116),'Offene Vorgänge'!$J$8:$J$207,0))),"")</x:f>
      </x:c>
      <x:c r="E123" s="44" t="str">
        <x:f>IFERROR(IF(SMALL('Offene Vorgänge'!$J$8:$J$207,116)&gt;=1E+90,"",INDEX('Offene Vorgänge'!$E$8:$E$207,MATCH(SMALL('Offene Vorgänge'!$J$8:$J$207,116),'Offene Vorgänge'!$J$8:$J$207,0))),"")</x:f>
      </x:c>
      <x:c r="F123" s="50" t="str">
        <x:f>IFERROR(IF(SMALL('Offene Vorgänge'!$J$8:$J$207,116)&gt;=1E+90,"",INDEX('Offene Vorgänge'!$F$8:$F$207,MATCH(SMALL('Offene Vorgänge'!$J$8:$J$207,116),'Offene Vorgänge'!$J$8:$J$207,0))),"")</x:f>
      </x:c>
      <x:c r="G123" s="50" t="str">
        <x:f>IF($E123="","",IF($C123="","ohne Frist",IF($C123&lt;TODAY(),"überfällig","offen")))</x:f>
      </x:c>
      <x:c r="H123" s="44" t="str">
        <x:f>IFERROR(IF(SMALL('Offene Vorgänge'!$J$8:$J$207,116)&gt;=1E+90,"",INDEX('Offene Vorgänge'!$H$8:$H$207,MATCH(SMALL('Offene Vorgänge'!$J$8:$J$207,116),'Offene Vorgänge'!$J$8:$J$207,0))),"")</x:f>
      </x:c>
      <x:c r="I123" s="1"/>
      <x:c r="J123" s="1"/>
      <x:c r="K123" s="1"/>
      <x:c r="L123" s="1"/>
      <x:c r="M123" s="1"/>
      <x:c r="N123" s="1"/>
      <x:c r="O123" s="1"/>
      <x:c r="P123" s="1"/>
      <x:c r="Q123" s="1"/>
      <x:c r="R123" s="1"/>
      <x:c r="S123" s="1"/>
      <x:c r="T123" s="1"/>
    </x:row>
    <x:row r="124" ht="18" customHeight="1">
      <x:c r="A124" s="1"/>
      <x:c r="B124" s="47" t="str">
        <x:f>IF($E124="","",117)</x:f>
      </x:c>
      <x:c r="C124" s="49" t="str">
        <x:f>IFERROR(IF(SMALL('Offene Vorgänge'!$J$8:$J$207,117)&gt;=1E+90,"",INDEX('Offene Vorgänge'!$C$8:$C$207,MATCH(SMALL('Offene Vorgänge'!$J$8:$J$207,117),'Offene Vorgänge'!$J$8:$J$207,0))),"")</x:f>
      </x:c>
      <x:c r="D124" s="50" t="str">
        <x:f>IFERROR(IF(SMALL('Offene Vorgänge'!$J$8:$J$207,117)&gt;=1E+90,"",INDEX('Offene Vorgänge'!$D$8:$D$207,MATCH(SMALL('Offene Vorgänge'!$J$8:$J$207,117),'Offene Vorgänge'!$J$8:$J$207,0))),"")</x:f>
      </x:c>
      <x:c r="E124" s="44" t="str">
        <x:f>IFERROR(IF(SMALL('Offene Vorgänge'!$J$8:$J$207,117)&gt;=1E+90,"",INDEX('Offene Vorgänge'!$E$8:$E$207,MATCH(SMALL('Offene Vorgänge'!$J$8:$J$207,117),'Offene Vorgänge'!$J$8:$J$207,0))),"")</x:f>
      </x:c>
      <x:c r="F124" s="50" t="str">
        <x:f>IFERROR(IF(SMALL('Offene Vorgänge'!$J$8:$J$207,117)&gt;=1E+90,"",INDEX('Offene Vorgänge'!$F$8:$F$207,MATCH(SMALL('Offene Vorgänge'!$J$8:$J$207,117),'Offene Vorgänge'!$J$8:$J$207,0))),"")</x:f>
      </x:c>
      <x:c r="G124" s="50" t="str">
        <x:f>IF($E124="","",IF($C124="","ohne Frist",IF($C124&lt;TODAY(),"überfällig","offen")))</x:f>
      </x:c>
      <x:c r="H124" s="44" t="str">
        <x:f>IFERROR(IF(SMALL('Offene Vorgänge'!$J$8:$J$207,117)&gt;=1E+90,"",INDEX('Offene Vorgänge'!$H$8:$H$207,MATCH(SMALL('Offene Vorgänge'!$J$8:$J$207,117),'Offene Vorgänge'!$J$8:$J$207,0))),"")</x:f>
      </x:c>
      <x:c r="I124" s="1"/>
      <x:c r="J124" s="1"/>
      <x:c r="K124" s="1"/>
      <x:c r="L124" s="1"/>
      <x:c r="M124" s="1"/>
      <x:c r="N124" s="1"/>
      <x:c r="O124" s="1"/>
      <x:c r="P124" s="1"/>
      <x:c r="Q124" s="1"/>
      <x:c r="R124" s="1"/>
      <x:c r="S124" s="1"/>
      <x:c r="T124" s="1"/>
    </x:row>
    <x:row r="125" ht="18" customHeight="1">
      <x:c r="A125" s="1"/>
      <x:c r="B125" s="47" t="str">
        <x:f>IF($E125="","",118)</x:f>
      </x:c>
      <x:c r="C125" s="49" t="str">
        <x:f>IFERROR(IF(SMALL('Offene Vorgänge'!$J$8:$J$207,118)&gt;=1E+90,"",INDEX('Offene Vorgänge'!$C$8:$C$207,MATCH(SMALL('Offene Vorgänge'!$J$8:$J$207,118),'Offene Vorgänge'!$J$8:$J$207,0))),"")</x:f>
      </x:c>
      <x:c r="D125" s="50" t="str">
        <x:f>IFERROR(IF(SMALL('Offene Vorgänge'!$J$8:$J$207,118)&gt;=1E+90,"",INDEX('Offene Vorgänge'!$D$8:$D$207,MATCH(SMALL('Offene Vorgänge'!$J$8:$J$207,118),'Offene Vorgänge'!$J$8:$J$207,0))),"")</x:f>
      </x:c>
      <x:c r="E125" s="44" t="str">
        <x:f>IFERROR(IF(SMALL('Offene Vorgänge'!$J$8:$J$207,118)&gt;=1E+90,"",INDEX('Offene Vorgänge'!$E$8:$E$207,MATCH(SMALL('Offene Vorgänge'!$J$8:$J$207,118),'Offene Vorgänge'!$J$8:$J$207,0))),"")</x:f>
      </x:c>
      <x:c r="F125" s="50" t="str">
        <x:f>IFERROR(IF(SMALL('Offene Vorgänge'!$J$8:$J$207,118)&gt;=1E+90,"",INDEX('Offene Vorgänge'!$F$8:$F$207,MATCH(SMALL('Offene Vorgänge'!$J$8:$J$207,118),'Offene Vorgänge'!$J$8:$J$207,0))),"")</x:f>
      </x:c>
      <x:c r="G125" s="50" t="str">
        <x:f>IF($E125="","",IF($C125="","ohne Frist",IF($C125&lt;TODAY(),"überfällig","offen")))</x:f>
      </x:c>
      <x:c r="H125" s="44" t="str">
        <x:f>IFERROR(IF(SMALL('Offene Vorgänge'!$J$8:$J$207,118)&gt;=1E+90,"",INDEX('Offene Vorgänge'!$H$8:$H$207,MATCH(SMALL('Offene Vorgänge'!$J$8:$J$207,118),'Offene Vorgänge'!$J$8:$J$207,0))),"")</x:f>
      </x:c>
      <x:c r="I125" s="1"/>
      <x:c r="J125" s="1"/>
      <x:c r="K125" s="1"/>
      <x:c r="L125" s="1"/>
      <x:c r="M125" s="1"/>
      <x:c r="N125" s="1"/>
      <x:c r="O125" s="1"/>
      <x:c r="P125" s="1"/>
      <x:c r="Q125" s="1"/>
      <x:c r="R125" s="1"/>
      <x:c r="S125" s="1"/>
      <x:c r="T125" s="1"/>
    </x:row>
    <x:row r="126" ht="18" customHeight="1">
      <x:c r="A126" s="1"/>
      <x:c r="B126" s="47" t="str">
        <x:f>IF($E126="","",119)</x:f>
      </x:c>
      <x:c r="C126" s="49" t="str">
        <x:f>IFERROR(IF(SMALL('Offene Vorgänge'!$J$8:$J$207,119)&gt;=1E+90,"",INDEX('Offene Vorgänge'!$C$8:$C$207,MATCH(SMALL('Offene Vorgänge'!$J$8:$J$207,119),'Offene Vorgänge'!$J$8:$J$207,0))),"")</x:f>
      </x:c>
      <x:c r="D126" s="50" t="str">
        <x:f>IFERROR(IF(SMALL('Offene Vorgänge'!$J$8:$J$207,119)&gt;=1E+90,"",INDEX('Offene Vorgänge'!$D$8:$D$207,MATCH(SMALL('Offene Vorgänge'!$J$8:$J$207,119),'Offene Vorgänge'!$J$8:$J$207,0))),"")</x:f>
      </x:c>
      <x:c r="E126" s="44" t="str">
        <x:f>IFERROR(IF(SMALL('Offene Vorgänge'!$J$8:$J$207,119)&gt;=1E+90,"",INDEX('Offene Vorgänge'!$E$8:$E$207,MATCH(SMALL('Offene Vorgänge'!$J$8:$J$207,119),'Offene Vorgänge'!$J$8:$J$207,0))),"")</x:f>
      </x:c>
      <x:c r="F126" s="50" t="str">
        <x:f>IFERROR(IF(SMALL('Offene Vorgänge'!$J$8:$J$207,119)&gt;=1E+90,"",INDEX('Offene Vorgänge'!$F$8:$F$207,MATCH(SMALL('Offene Vorgänge'!$J$8:$J$207,119),'Offene Vorgänge'!$J$8:$J$207,0))),"")</x:f>
      </x:c>
      <x:c r="G126" s="50" t="str">
        <x:f>IF($E126="","",IF($C126="","ohne Frist",IF($C126&lt;TODAY(),"überfällig","offen")))</x:f>
      </x:c>
      <x:c r="H126" s="44" t="str">
        <x:f>IFERROR(IF(SMALL('Offene Vorgänge'!$J$8:$J$207,119)&gt;=1E+90,"",INDEX('Offene Vorgänge'!$H$8:$H$207,MATCH(SMALL('Offene Vorgänge'!$J$8:$J$207,119),'Offene Vorgänge'!$J$8:$J$207,0))),"")</x:f>
      </x:c>
      <x:c r="I126" s="1"/>
      <x:c r="J126" s="1"/>
      <x:c r="K126" s="1"/>
      <x:c r="L126" s="1"/>
      <x:c r="M126" s="1"/>
      <x:c r="N126" s="1"/>
      <x:c r="O126" s="1"/>
      <x:c r="P126" s="1"/>
      <x:c r="Q126" s="1"/>
      <x:c r="R126" s="1"/>
      <x:c r="S126" s="1"/>
      <x:c r="T126" s="1"/>
    </x:row>
    <x:row r="127" ht="18" customHeight="1">
      <x:c r="A127" s="1"/>
      <x:c r="B127" s="47" t="str">
        <x:f>IF($E127="","",120)</x:f>
      </x:c>
      <x:c r="C127" s="49" t="str">
        <x:f>IFERROR(IF(SMALL('Offene Vorgänge'!$J$8:$J$207,120)&gt;=1E+90,"",INDEX('Offene Vorgänge'!$C$8:$C$207,MATCH(SMALL('Offene Vorgänge'!$J$8:$J$207,120),'Offene Vorgänge'!$J$8:$J$207,0))),"")</x:f>
      </x:c>
      <x:c r="D127" s="50" t="str">
        <x:f>IFERROR(IF(SMALL('Offene Vorgänge'!$J$8:$J$207,120)&gt;=1E+90,"",INDEX('Offene Vorgänge'!$D$8:$D$207,MATCH(SMALL('Offene Vorgänge'!$J$8:$J$207,120),'Offene Vorgänge'!$J$8:$J$207,0))),"")</x:f>
      </x:c>
      <x:c r="E127" s="44" t="str">
        <x:f>IFERROR(IF(SMALL('Offene Vorgänge'!$J$8:$J$207,120)&gt;=1E+90,"",INDEX('Offene Vorgänge'!$E$8:$E$207,MATCH(SMALL('Offene Vorgänge'!$J$8:$J$207,120),'Offene Vorgänge'!$J$8:$J$207,0))),"")</x:f>
      </x:c>
      <x:c r="F127" s="50" t="str">
        <x:f>IFERROR(IF(SMALL('Offene Vorgänge'!$J$8:$J$207,120)&gt;=1E+90,"",INDEX('Offene Vorgänge'!$F$8:$F$207,MATCH(SMALL('Offene Vorgänge'!$J$8:$J$207,120),'Offene Vorgänge'!$J$8:$J$207,0))),"")</x:f>
      </x:c>
      <x:c r="G127" s="50" t="str">
        <x:f>IF($E127="","",IF($C127="","ohne Frist",IF($C127&lt;TODAY(),"überfällig","offen")))</x:f>
      </x:c>
      <x:c r="H127" s="44" t="str">
        <x:f>IFERROR(IF(SMALL('Offene Vorgänge'!$J$8:$J$207,120)&gt;=1E+90,"",INDEX('Offene Vorgänge'!$H$8:$H$207,MATCH(SMALL('Offene Vorgänge'!$J$8:$J$207,120),'Offene Vorgänge'!$J$8:$J$207,0))),"")</x:f>
      </x:c>
      <x:c r="I127" s="1"/>
      <x:c r="J127" s="1"/>
      <x:c r="K127" s="1"/>
      <x:c r="L127" s="1"/>
      <x:c r="M127" s="1"/>
      <x:c r="N127" s="1"/>
      <x:c r="O127" s="1"/>
      <x:c r="P127" s="1"/>
      <x:c r="Q127" s="1"/>
      <x:c r="R127" s="1"/>
      <x:c r="S127" s="1"/>
      <x:c r="T127" s="1"/>
    </x:row>
    <x:row r="128" ht="18" customHeight="1">
      <x:c r="A128" s="1"/>
      <x:c r="B128" s="47" t="str">
        <x:f>IF($E128="","",121)</x:f>
      </x:c>
      <x:c r="C128" s="49" t="str">
        <x:f>IFERROR(IF(SMALL('Offene Vorgänge'!$J$8:$J$207,121)&gt;=1E+90,"",INDEX('Offene Vorgänge'!$C$8:$C$207,MATCH(SMALL('Offene Vorgänge'!$J$8:$J$207,121),'Offene Vorgänge'!$J$8:$J$207,0))),"")</x:f>
      </x:c>
      <x:c r="D128" s="50" t="str">
        <x:f>IFERROR(IF(SMALL('Offene Vorgänge'!$J$8:$J$207,121)&gt;=1E+90,"",INDEX('Offene Vorgänge'!$D$8:$D$207,MATCH(SMALL('Offene Vorgänge'!$J$8:$J$207,121),'Offene Vorgänge'!$J$8:$J$207,0))),"")</x:f>
      </x:c>
      <x:c r="E128" s="44" t="str">
        <x:f>IFERROR(IF(SMALL('Offene Vorgänge'!$J$8:$J$207,121)&gt;=1E+90,"",INDEX('Offene Vorgänge'!$E$8:$E$207,MATCH(SMALL('Offene Vorgänge'!$J$8:$J$207,121),'Offene Vorgänge'!$J$8:$J$207,0))),"")</x:f>
      </x:c>
      <x:c r="F128" s="50" t="str">
        <x:f>IFERROR(IF(SMALL('Offene Vorgänge'!$J$8:$J$207,121)&gt;=1E+90,"",INDEX('Offene Vorgänge'!$F$8:$F$207,MATCH(SMALL('Offene Vorgänge'!$J$8:$J$207,121),'Offene Vorgänge'!$J$8:$J$207,0))),"")</x:f>
      </x:c>
      <x:c r="G128" s="50" t="str">
        <x:f>IF($E128="","",IF($C128="","ohne Frist",IF($C128&lt;TODAY(),"überfällig","offen")))</x:f>
      </x:c>
      <x:c r="H128" s="44" t="str">
        <x:f>IFERROR(IF(SMALL('Offene Vorgänge'!$J$8:$J$207,121)&gt;=1E+90,"",INDEX('Offene Vorgänge'!$H$8:$H$207,MATCH(SMALL('Offene Vorgänge'!$J$8:$J$207,121),'Offene Vorgänge'!$J$8:$J$207,0))),"")</x:f>
      </x:c>
      <x:c r="I128" s="1"/>
      <x:c r="J128" s="1"/>
      <x:c r="K128" s="1"/>
      <x:c r="L128" s="1"/>
      <x:c r="M128" s="1"/>
      <x:c r="N128" s="1"/>
      <x:c r="O128" s="1"/>
      <x:c r="P128" s="1"/>
      <x:c r="Q128" s="1"/>
      <x:c r="R128" s="1"/>
      <x:c r="S128" s="1"/>
      <x:c r="T128" s="1"/>
    </x:row>
    <x:row r="129" ht="18" customHeight="1">
      <x:c r="A129" s="1"/>
      <x:c r="B129" s="47" t="str">
        <x:f>IF($E129="","",122)</x:f>
      </x:c>
      <x:c r="C129" s="49" t="str">
        <x:f>IFERROR(IF(SMALL('Offene Vorgänge'!$J$8:$J$207,122)&gt;=1E+90,"",INDEX('Offene Vorgänge'!$C$8:$C$207,MATCH(SMALL('Offene Vorgänge'!$J$8:$J$207,122),'Offene Vorgänge'!$J$8:$J$207,0))),"")</x:f>
      </x:c>
      <x:c r="D129" s="50" t="str">
        <x:f>IFERROR(IF(SMALL('Offene Vorgänge'!$J$8:$J$207,122)&gt;=1E+90,"",INDEX('Offene Vorgänge'!$D$8:$D$207,MATCH(SMALL('Offene Vorgänge'!$J$8:$J$207,122),'Offene Vorgänge'!$J$8:$J$207,0))),"")</x:f>
      </x:c>
      <x:c r="E129" s="44" t="str">
        <x:f>IFERROR(IF(SMALL('Offene Vorgänge'!$J$8:$J$207,122)&gt;=1E+90,"",INDEX('Offene Vorgänge'!$E$8:$E$207,MATCH(SMALL('Offene Vorgänge'!$J$8:$J$207,122),'Offene Vorgänge'!$J$8:$J$207,0))),"")</x:f>
      </x:c>
      <x:c r="F129" s="50" t="str">
        <x:f>IFERROR(IF(SMALL('Offene Vorgänge'!$J$8:$J$207,122)&gt;=1E+90,"",INDEX('Offene Vorgänge'!$F$8:$F$207,MATCH(SMALL('Offene Vorgänge'!$J$8:$J$207,122),'Offene Vorgänge'!$J$8:$J$207,0))),"")</x:f>
      </x:c>
      <x:c r="G129" s="50" t="str">
        <x:f>IF($E129="","",IF($C129="","ohne Frist",IF($C129&lt;TODAY(),"überfällig","offen")))</x:f>
      </x:c>
      <x:c r="H129" s="44" t="str">
        <x:f>IFERROR(IF(SMALL('Offene Vorgänge'!$J$8:$J$207,122)&gt;=1E+90,"",INDEX('Offene Vorgänge'!$H$8:$H$207,MATCH(SMALL('Offene Vorgänge'!$J$8:$J$207,122),'Offene Vorgänge'!$J$8:$J$207,0))),"")</x:f>
      </x:c>
      <x:c r="I129" s="1"/>
      <x:c r="J129" s="1"/>
      <x:c r="K129" s="1"/>
      <x:c r="L129" s="1"/>
      <x:c r="M129" s="1"/>
      <x:c r="N129" s="1"/>
      <x:c r="O129" s="1"/>
      <x:c r="P129" s="1"/>
      <x:c r="Q129" s="1"/>
      <x:c r="R129" s="1"/>
      <x:c r="S129" s="1"/>
      <x:c r="T129" s="1"/>
    </x:row>
    <x:row r="130" ht="18" customHeight="1">
      <x:c r="A130" s="1"/>
      <x:c r="B130" s="47" t="str">
        <x:f>IF($E130="","",123)</x:f>
      </x:c>
      <x:c r="C130" s="49" t="str">
        <x:f>IFERROR(IF(SMALL('Offene Vorgänge'!$J$8:$J$207,123)&gt;=1E+90,"",INDEX('Offene Vorgänge'!$C$8:$C$207,MATCH(SMALL('Offene Vorgänge'!$J$8:$J$207,123),'Offene Vorgänge'!$J$8:$J$207,0))),"")</x:f>
      </x:c>
      <x:c r="D130" s="50" t="str">
        <x:f>IFERROR(IF(SMALL('Offene Vorgänge'!$J$8:$J$207,123)&gt;=1E+90,"",INDEX('Offene Vorgänge'!$D$8:$D$207,MATCH(SMALL('Offene Vorgänge'!$J$8:$J$207,123),'Offene Vorgänge'!$J$8:$J$207,0))),"")</x:f>
      </x:c>
      <x:c r="E130" s="44" t="str">
        <x:f>IFERROR(IF(SMALL('Offene Vorgänge'!$J$8:$J$207,123)&gt;=1E+90,"",INDEX('Offene Vorgänge'!$E$8:$E$207,MATCH(SMALL('Offene Vorgänge'!$J$8:$J$207,123),'Offene Vorgänge'!$J$8:$J$207,0))),"")</x:f>
      </x:c>
      <x:c r="F130" s="50" t="str">
        <x:f>IFERROR(IF(SMALL('Offene Vorgänge'!$J$8:$J$207,123)&gt;=1E+90,"",INDEX('Offene Vorgänge'!$F$8:$F$207,MATCH(SMALL('Offene Vorgänge'!$J$8:$J$207,123),'Offene Vorgänge'!$J$8:$J$207,0))),"")</x:f>
      </x:c>
      <x:c r="G130" s="50" t="str">
        <x:f>IF($E130="","",IF($C130="","ohne Frist",IF($C130&lt;TODAY(),"überfällig","offen")))</x:f>
      </x:c>
      <x:c r="H130" s="44" t="str">
        <x:f>IFERROR(IF(SMALL('Offene Vorgänge'!$J$8:$J$207,123)&gt;=1E+90,"",INDEX('Offene Vorgänge'!$H$8:$H$207,MATCH(SMALL('Offene Vorgänge'!$J$8:$J$207,123),'Offene Vorgänge'!$J$8:$J$207,0))),"")</x:f>
      </x:c>
      <x:c r="I130" s="1"/>
      <x:c r="J130" s="1"/>
      <x:c r="K130" s="1"/>
      <x:c r="L130" s="1"/>
      <x:c r="M130" s="1"/>
      <x:c r="N130" s="1"/>
      <x:c r="O130" s="1"/>
      <x:c r="P130" s="1"/>
      <x:c r="Q130" s="1"/>
      <x:c r="R130" s="1"/>
      <x:c r="S130" s="1"/>
      <x:c r="T130" s="1"/>
    </x:row>
    <x:row r="131" ht="18" customHeight="1">
      <x:c r="A131" s="1"/>
      <x:c r="B131" s="47" t="str">
        <x:f>IF($E131="","",124)</x:f>
      </x:c>
      <x:c r="C131" s="49" t="str">
        <x:f>IFERROR(IF(SMALL('Offene Vorgänge'!$J$8:$J$207,124)&gt;=1E+90,"",INDEX('Offene Vorgänge'!$C$8:$C$207,MATCH(SMALL('Offene Vorgänge'!$J$8:$J$207,124),'Offene Vorgänge'!$J$8:$J$207,0))),"")</x:f>
      </x:c>
      <x:c r="D131" s="50" t="str">
        <x:f>IFERROR(IF(SMALL('Offene Vorgänge'!$J$8:$J$207,124)&gt;=1E+90,"",INDEX('Offene Vorgänge'!$D$8:$D$207,MATCH(SMALL('Offene Vorgänge'!$J$8:$J$207,124),'Offene Vorgänge'!$J$8:$J$207,0))),"")</x:f>
      </x:c>
      <x:c r="E131" s="44" t="str">
        <x:f>IFERROR(IF(SMALL('Offene Vorgänge'!$J$8:$J$207,124)&gt;=1E+90,"",INDEX('Offene Vorgänge'!$E$8:$E$207,MATCH(SMALL('Offene Vorgänge'!$J$8:$J$207,124),'Offene Vorgänge'!$J$8:$J$207,0))),"")</x:f>
      </x:c>
      <x:c r="F131" s="50" t="str">
        <x:f>IFERROR(IF(SMALL('Offene Vorgänge'!$J$8:$J$207,124)&gt;=1E+90,"",INDEX('Offene Vorgänge'!$F$8:$F$207,MATCH(SMALL('Offene Vorgänge'!$J$8:$J$207,124),'Offene Vorgänge'!$J$8:$J$207,0))),"")</x:f>
      </x:c>
      <x:c r="G131" s="50" t="str">
        <x:f>IF($E131="","",IF($C131="","ohne Frist",IF($C131&lt;TODAY(),"überfällig","offen")))</x:f>
      </x:c>
      <x:c r="H131" s="44" t="str">
        <x:f>IFERROR(IF(SMALL('Offene Vorgänge'!$J$8:$J$207,124)&gt;=1E+90,"",INDEX('Offene Vorgänge'!$H$8:$H$207,MATCH(SMALL('Offene Vorgänge'!$J$8:$J$207,124),'Offene Vorgänge'!$J$8:$J$207,0))),"")</x:f>
      </x:c>
      <x:c r="I131" s="1"/>
      <x:c r="J131" s="1"/>
      <x:c r="K131" s="1"/>
      <x:c r="L131" s="1"/>
      <x:c r="M131" s="1"/>
      <x:c r="N131" s="1"/>
      <x:c r="O131" s="1"/>
      <x:c r="P131" s="1"/>
      <x:c r="Q131" s="1"/>
      <x:c r="R131" s="1"/>
      <x:c r="S131" s="1"/>
      <x:c r="T131" s="1"/>
    </x:row>
    <x:row r="132" ht="18" customHeight="1">
      <x:c r="A132" s="1"/>
      <x:c r="B132" s="47" t="str">
        <x:f>IF($E132="","",125)</x:f>
      </x:c>
      <x:c r="C132" s="49" t="str">
        <x:f>IFERROR(IF(SMALL('Offene Vorgänge'!$J$8:$J$207,125)&gt;=1E+90,"",INDEX('Offene Vorgänge'!$C$8:$C$207,MATCH(SMALL('Offene Vorgänge'!$J$8:$J$207,125),'Offene Vorgänge'!$J$8:$J$207,0))),"")</x:f>
      </x:c>
      <x:c r="D132" s="50" t="str">
        <x:f>IFERROR(IF(SMALL('Offene Vorgänge'!$J$8:$J$207,125)&gt;=1E+90,"",INDEX('Offene Vorgänge'!$D$8:$D$207,MATCH(SMALL('Offene Vorgänge'!$J$8:$J$207,125),'Offene Vorgänge'!$J$8:$J$207,0))),"")</x:f>
      </x:c>
      <x:c r="E132" s="44" t="str">
        <x:f>IFERROR(IF(SMALL('Offene Vorgänge'!$J$8:$J$207,125)&gt;=1E+90,"",INDEX('Offene Vorgänge'!$E$8:$E$207,MATCH(SMALL('Offene Vorgänge'!$J$8:$J$207,125),'Offene Vorgänge'!$J$8:$J$207,0))),"")</x:f>
      </x:c>
      <x:c r="F132" s="50" t="str">
        <x:f>IFERROR(IF(SMALL('Offene Vorgänge'!$J$8:$J$207,125)&gt;=1E+90,"",INDEX('Offene Vorgänge'!$F$8:$F$207,MATCH(SMALL('Offene Vorgänge'!$J$8:$J$207,125),'Offene Vorgänge'!$J$8:$J$207,0))),"")</x:f>
      </x:c>
      <x:c r="G132" s="50" t="str">
        <x:f>IF($E132="","",IF($C132="","ohne Frist",IF($C132&lt;TODAY(),"überfällig","offen")))</x:f>
      </x:c>
      <x:c r="H132" s="44" t="str">
        <x:f>IFERROR(IF(SMALL('Offene Vorgänge'!$J$8:$J$207,125)&gt;=1E+90,"",INDEX('Offene Vorgänge'!$H$8:$H$207,MATCH(SMALL('Offene Vorgänge'!$J$8:$J$207,125),'Offene Vorgänge'!$J$8:$J$207,0))),"")</x:f>
      </x:c>
      <x:c r="I132" s="1"/>
      <x:c r="J132" s="1"/>
      <x:c r="K132" s="1"/>
      <x:c r="L132" s="1"/>
      <x:c r="M132" s="1"/>
      <x:c r="N132" s="1"/>
      <x:c r="O132" s="1"/>
      <x:c r="P132" s="1"/>
      <x:c r="Q132" s="1"/>
      <x:c r="R132" s="1"/>
      <x:c r="S132" s="1"/>
      <x:c r="T132" s="1"/>
    </x:row>
    <x:row r="133" ht="18" customHeight="1">
      <x:c r="A133" s="1"/>
      <x:c r="B133" s="47" t="str">
        <x:f>IF($E133="","",126)</x:f>
      </x:c>
      <x:c r="C133" s="49" t="str">
        <x:f>IFERROR(IF(SMALL('Offene Vorgänge'!$J$8:$J$207,126)&gt;=1E+90,"",INDEX('Offene Vorgänge'!$C$8:$C$207,MATCH(SMALL('Offene Vorgänge'!$J$8:$J$207,126),'Offene Vorgänge'!$J$8:$J$207,0))),"")</x:f>
      </x:c>
      <x:c r="D133" s="50" t="str">
        <x:f>IFERROR(IF(SMALL('Offene Vorgänge'!$J$8:$J$207,126)&gt;=1E+90,"",INDEX('Offene Vorgänge'!$D$8:$D$207,MATCH(SMALL('Offene Vorgänge'!$J$8:$J$207,126),'Offene Vorgänge'!$J$8:$J$207,0))),"")</x:f>
      </x:c>
      <x:c r="E133" s="44" t="str">
        <x:f>IFERROR(IF(SMALL('Offene Vorgänge'!$J$8:$J$207,126)&gt;=1E+90,"",INDEX('Offene Vorgänge'!$E$8:$E$207,MATCH(SMALL('Offene Vorgänge'!$J$8:$J$207,126),'Offene Vorgänge'!$J$8:$J$207,0))),"")</x:f>
      </x:c>
      <x:c r="F133" s="50" t="str">
        <x:f>IFERROR(IF(SMALL('Offene Vorgänge'!$J$8:$J$207,126)&gt;=1E+90,"",INDEX('Offene Vorgänge'!$F$8:$F$207,MATCH(SMALL('Offene Vorgänge'!$J$8:$J$207,126),'Offene Vorgänge'!$J$8:$J$207,0))),"")</x:f>
      </x:c>
      <x:c r="G133" s="50" t="str">
        <x:f>IF($E133="","",IF($C133="","ohne Frist",IF($C133&lt;TODAY(),"überfällig","offen")))</x:f>
      </x:c>
      <x:c r="H133" s="44" t="str">
        <x:f>IFERROR(IF(SMALL('Offene Vorgänge'!$J$8:$J$207,126)&gt;=1E+90,"",INDEX('Offene Vorgänge'!$H$8:$H$207,MATCH(SMALL('Offene Vorgänge'!$J$8:$J$207,126),'Offene Vorgänge'!$J$8:$J$207,0))),"")</x:f>
      </x:c>
      <x:c r="I133" s="1"/>
      <x:c r="J133" s="1"/>
      <x:c r="K133" s="1"/>
      <x:c r="L133" s="1"/>
      <x:c r="M133" s="1"/>
      <x:c r="N133" s="1"/>
      <x:c r="O133" s="1"/>
      <x:c r="P133" s="1"/>
      <x:c r="Q133" s="1"/>
      <x:c r="R133" s="1"/>
      <x:c r="S133" s="1"/>
      <x:c r="T133" s="1"/>
    </x:row>
    <x:row r="134" ht="18" customHeight="1">
      <x:c r="A134" s="1"/>
      <x:c r="B134" s="47" t="str">
        <x:f>IF($E134="","",127)</x:f>
      </x:c>
      <x:c r="C134" s="49" t="str">
        <x:f>IFERROR(IF(SMALL('Offene Vorgänge'!$J$8:$J$207,127)&gt;=1E+90,"",INDEX('Offene Vorgänge'!$C$8:$C$207,MATCH(SMALL('Offene Vorgänge'!$J$8:$J$207,127),'Offene Vorgänge'!$J$8:$J$207,0))),"")</x:f>
      </x:c>
      <x:c r="D134" s="50" t="str">
        <x:f>IFERROR(IF(SMALL('Offene Vorgänge'!$J$8:$J$207,127)&gt;=1E+90,"",INDEX('Offene Vorgänge'!$D$8:$D$207,MATCH(SMALL('Offene Vorgänge'!$J$8:$J$207,127),'Offene Vorgänge'!$J$8:$J$207,0))),"")</x:f>
      </x:c>
      <x:c r="E134" s="44" t="str">
        <x:f>IFERROR(IF(SMALL('Offene Vorgänge'!$J$8:$J$207,127)&gt;=1E+90,"",INDEX('Offene Vorgänge'!$E$8:$E$207,MATCH(SMALL('Offene Vorgänge'!$J$8:$J$207,127),'Offene Vorgänge'!$J$8:$J$207,0))),"")</x:f>
      </x:c>
      <x:c r="F134" s="50" t="str">
        <x:f>IFERROR(IF(SMALL('Offene Vorgänge'!$J$8:$J$207,127)&gt;=1E+90,"",INDEX('Offene Vorgänge'!$F$8:$F$207,MATCH(SMALL('Offene Vorgänge'!$J$8:$J$207,127),'Offene Vorgänge'!$J$8:$J$207,0))),"")</x:f>
      </x:c>
      <x:c r="G134" s="50" t="str">
        <x:f>IF($E134="","",IF($C134="","ohne Frist",IF($C134&lt;TODAY(),"überfällig","offen")))</x:f>
      </x:c>
      <x:c r="H134" s="44" t="str">
        <x:f>IFERROR(IF(SMALL('Offene Vorgänge'!$J$8:$J$207,127)&gt;=1E+90,"",INDEX('Offene Vorgänge'!$H$8:$H$207,MATCH(SMALL('Offene Vorgänge'!$J$8:$J$207,127),'Offene Vorgänge'!$J$8:$J$207,0))),"")</x:f>
      </x:c>
      <x:c r="I134" s="1"/>
      <x:c r="J134" s="1"/>
      <x:c r="K134" s="1"/>
      <x:c r="L134" s="1"/>
      <x:c r="M134" s="1"/>
      <x:c r="N134" s="1"/>
      <x:c r="O134" s="1"/>
      <x:c r="P134" s="1"/>
      <x:c r="Q134" s="1"/>
      <x:c r="R134" s="1"/>
      <x:c r="S134" s="1"/>
      <x:c r="T134" s="1"/>
    </x:row>
    <x:row r="135" ht="18" customHeight="1">
      <x:c r="A135" s="1"/>
      <x:c r="B135" s="47" t="str">
        <x:f>IF($E135="","",128)</x:f>
      </x:c>
      <x:c r="C135" s="49" t="str">
        <x:f>IFERROR(IF(SMALL('Offene Vorgänge'!$J$8:$J$207,128)&gt;=1E+90,"",INDEX('Offene Vorgänge'!$C$8:$C$207,MATCH(SMALL('Offene Vorgänge'!$J$8:$J$207,128),'Offene Vorgänge'!$J$8:$J$207,0))),"")</x:f>
      </x:c>
      <x:c r="D135" s="50" t="str">
        <x:f>IFERROR(IF(SMALL('Offene Vorgänge'!$J$8:$J$207,128)&gt;=1E+90,"",INDEX('Offene Vorgänge'!$D$8:$D$207,MATCH(SMALL('Offene Vorgänge'!$J$8:$J$207,128),'Offene Vorgänge'!$J$8:$J$207,0))),"")</x:f>
      </x:c>
      <x:c r="E135" s="44" t="str">
        <x:f>IFERROR(IF(SMALL('Offene Vorgänge'!$J$8:$J$207,128)&gt;=1E+90,"",INDEX('Offene Vorgänge'!$E$8:$E$207,MATCH(SMALL('Offene Vorgänge'!$J$8:$J$207,128),'Offene Vorgänge'!$J$8:$J$207,0))),"")</x:f>
      </x:c>
      <x:c r="F135" s="50" t="str">
        <x:f>IFERROR(IF(SMALL('Offene Vorgänge'!$J$8:$J$207,128)&gt;=1E+90,"",INDEX('Offene Vorgänge'!$F$8:$F$207,MATCH(SMALL('Offene Vorgänge'!$J$8:$J$207,128),'Offene Vorgänge'!$J$8:$J$207,0))),"")</x:f>
      </x:c>
      <x:c r="G135" s="50" t="str">
        <x:f>IF($E135="","",IF($C135="","ohne Frist",IF($C135&lt;TODAY(),"überfällig","offen")))</x:f>
      </x:c>
      <x:c r="H135" s="44" t="str">
        <x:f>IFERROR(IF(SMALL('Offene Vorgänge'!$J$8:$J$207,128)&gt;=1E+90,"",INDEX('Offene Vorgänge'!$H$8:$H$207,MATCH(SMALL('Offene Vorgänge'!$J$8:$J$207,128),'Offene Vorgänge'!$J$8:$J$207,0))),"")</x:f>
      </x:c>
      <x:c r="I135" s="1"/>
      <x:c r="J135" s="1"/>
      <x:c r="K135" s="1"/>
      <x:c r="L135" s="1"/>
      <x:c r="M135" s="1"/>
      <x:c r="N135" s="1"/>
      <x:c r="O135" s="1"/>
      <x:c r="P135" s="1"/>
      <x:c r="Q135" s="1"/>
      <x:c r="R135" s="1"/>
      <x:c r="S135" s="1"/>
      <x:c r="T135" s="1"/>
    </x:row>
    <x:row r="136" ht="18" customHeight="1">
      <x:c r="A136" s="1"/>
      <x:c r="B136" s="47" t="str">
        <x:f>IF($E136="","",129)</x:f>
      </x:c>
      <x:c r="C136" s="49" t="str">
        <x:f>IFERROR(IF(SMALL('Offene Vorgänge'!$J$8:$J$207,129)&gt;=1E+90,"",INDEX('Offene Vorgänge'!$C$8:$C$207,MATCH(SMALL('Offene Vorgänge'!$J$8:$J$207,129),'Offene Vorgänge'!$J$8:$J$207,0))),"")</x:f>
      </x:c>
      <x:c r="D136" s="50" t="str">
        <x:f>IFERROR(IF(SMALL('Offene Vorgänge'!$J$8:$J$207,129)&gt;=1E+90,"",INDEX('Offene Vorgänge'!$D$8:$D$207,MATCH(SMALL('Offene Vorgänge'!$J$8:$J$207,129),'Offene Vorgänge'!$J$8:$J$207,0))),"")</x:f>
      </x:c>
      <x:c r="E136" s="44" t="str">
        <x:f>IFERROR(IF(SMALL('Offene Vorgänge'!$J$8:$J$207,129)&gt;=1E+90,"",INDEX('Offene Vorgänge'!$E$8:$E$207,MATCH(SMALL('Offene Vorgänge'!$J$8:$J$207,129),'Offene Vorgänge'!$J$8:$J$207,0))),"")</x:f>
      </x:c>
      <x:c r="F136" s="50" t="str">
        <x:f>IFERROR(IF(SMALL('Offene Vorgänge'!$J$8:$J$207,129)&gt;=1E+90,"",INDEX('Offene Vorgänge'!$F$8:$F$207,MATCH(SMALL('Offene Vorgänge'!$J$8:$J$207,129),'Offene Vorgänge'!$J$8:$J$207,0))),"")</x:f>
      </x:c>
      <x:c r="G136" s="50" t="str">
        <x:f>IF($E136="","",IF($C136="","ohne Frist",IF($C136&lt;TODAY(),"überfällig","offen")))</x:f>
      </x:c>
      <x:c r="H136" s="44" t="str">
        <x:f>IFERROR(IF(SMALL('Offene Vorgänge'!$J$8:$J$207,129)&gt;=1E+90,"",INDEX('Offene Vorgänge'!$H$8:$H$207,MATCH(SMALL('Offene Vorgänge'!$J$8:$J$207,129),'Offene Vorgänge'!$J$8:$J$207,0))),"")</x:f>
      </x:c>
      <x:c r="I136" s="1"/>
      <x:c r="J136" s="1"/>
      <x:c r="K136" s="1"/>
      <x:c r="L136" s="1"/>
      <x:c r="M136" s="1"/>
      <x:c r="N136" s="1"/>
      <x:c r="O136" s="1"/>
      <x:c r="P136" s="1"/>
      <x:c r="Q136" s="1"/>
      <x:c r="R136" s="1"/>
      <x:c r="S136" s="1"/>
      <x:c r="T136" s="1"/>
    </x:row>
    <x:row r="137" ht="18" customHeight="1">
      <x:c r="A137" s="1"/>
      <x:c r="B137" s="47" t="str">
        <x:f>IF($E137="","",130)</x:f>
      </x:c>
      <x:c r="C137" s="49" t="str">
        <x:f>IFERROR(IF(SMALL('Offene Vorgänge'!$J$8:$J$207,130)&gt;=1E+90,"",INDEX('Offene Vorgänge'!$C$8:$C$207,MATCH(SMALL('Offene Vorgänge'!$J$8:$J$207,130),'Offene Vorgänge'!$J$8:$J$207,0))),"")</x:f>
      </x:c>
      <x:c r="D137" s="50" t="str">
        <x:f>IFERROR(IF(SMALL('Offene Vorgänge'!$J$8:$J$207,130)&gt;=1E+90,"",INDEX('Offene Vorgänge'!$D$8:$D$207,MATCH(SMALL('Offene Vorgänge'!$J$8:$J$207,130),'Offene Vorgänge'!$J$8:$J$207,0))),"")</x:f>
      </x:c>
      <x:c r="E137" s="44" t="str">
        <x:f>IFERROR(IF(SMALL('Offene Vorgänge'!$J$8:$J$207,130)&gt;=1E+90,"",INDEX('Offene Vorgänge'!$E$8:$E$207,MATCH(SMALL('Offene Vorgänge'!$J$8:$J$207,130),'Offene Vorgänge'!$J$8:$J$207,0))),"")</x:f>
      </x:c>
      <x:c r="F137" s="50" t="str">
        <x:f>IFERROR(IF(SMALL('Offene Vorgänge'!$J$8:$J$207,130)&gt;=1E+90,"",INDEX('Offene Vorgänge'!$F$8:$F$207,MATCH(SMALL('Offene Vorgänge'!$J$8:$J$207,130),'Offene Vorgänge'!$J$8:$J$207,0))),"")</x:f>
      </x:c>
      <x:c r="G137" s="50" t="str">
        <x:f>IF($E137="","",IF($C137="","ohne Frist",IF($C137&lt;TODAY(),"überfällig","offen")))</x:f>
      </x:c>
      <x:c r="H137" s="44" t="str">
        <x:f>IFERROR(IF(SMALL('Offene Vorgänge'!$J$8:$J$207,130)&gt;=1E+90,"",INDEX('Offene Vorgänge'!$H$8:$H$207,MATCH(SMALL('Offene Vorgänge'!$J$8:$J$207,130),'Offene Vorgänge'!$J$8:$J$207,0))),"")</x:f>
      </x:c>
      <x:c r="I137" s="1"/>
      <x:c r="J137" s="1"/>
      <x:c r="K137" s="1"/>
      <x:c r="L137" s="1"/>
      <x:c r="M137" s="1"/>
      <x:c r="N137" s="1"/>
      <x:c r="O137" s="1"/>
      <x:c r="P137" s="1"/>
      <x:c r="Q137" s="1"/>
      <x:c r="R137" s="1"/>
      <x:c r="S137" s="1"/>
      <x:c r="T137" s="1"/>
    </x:row>
    <x:row r="138" ht="18" customHeight="1">
      <x:c r="A138" s="1"/>
      <x:c r="B138" s="47" t="str">
        <x:f>IF($E138="","",131)</x:f>
      </x:c>
      <x:c r="C138" s="49" t="str">
        <x:f>IFERROR(IF(SMALL('Offene Vorgänge'!$J$8:$J$207,131)&gt;=1E+90,"",INDEX('Offene Vorgänge'!$C$8:$C$207,MATCH(SMALL('Offene Vorgänge'!$J$8:$J$207,131),'Offene Vorgänge'!$J$8:$J$207,0))),"")</x:f>
      </x:c>
      <x:c r="D138" s="50" t="str">
        <x:f>IFERROR(IF(SMALL('Offene Vorgänge'!$J$8:$J$207,131)&gt;=1E+90,"",INDEX('Offene Vorgänge'!$D$8:$D$207,MATCH(SMALL('Offene Vorgänge'!$J$8:$J$207,131),'Offene Vorgänge'!$J$8:$J$207,0))),"")</x:f>
      </x:c>
      <x:c r="E138" s="44" t="str">
        <x:f>IFERROR(IF(SMALL('Offene Vorgänge'!$J$8:$J$207,131)&gt;=1E+90,"",INDEX('Offene Vorgänge'!$E$8:$E$207,MATCH(SMALL('Offene Vorgänge'!$J$8:$J$207,131),'Offene Vorgänge'!$J$8:$J$207,0))),"")</x:f>
      </x:c>
      <x:c r="F138" s="50" t="str">
        <x:f>IFERROR(IF(SMALL('Offene Vorgänge'!$J$8:$J$207,131)&gt;=1E+90,"",INDEX('Offene Vorgänge'!$F$8:$F$207,MATCH(SMALL('Offene Vorgänge'!$J$8:$J$207,131),'Offene Vorgänge'!$J$8:$J$207,0))),"")</x:f>
      </x:c>
      <x:c r="G138" s="50" t="str">
        <x:f>IF($E138="","",IF($C138="","ohne Frist",IF($C138&lt;TODAY(),"überfällig","offen")))</x:f>
      </x:c>
      <x:c r="H138" s="44" t="str">
        <x:f>IFERROR(IF(SMALL('Offene Vorgänge'!$J$8:$J$207,131)&gt;=1E+90,"",INDEX('Offene Vorgänge'!$H$8:$H$207,MATCH(SMALL('Offene Vorgänge'!$J$8:$J$207,131),'Offene Vorgänge'!$J$8:$J$207,0))),"")</x:f>
      </x:c>
      <x:c r="I138" s="1"/>
      <x:c r="J138" s="1"/>
      <x:c r="K138" s="1"/>
      <x:c r="L138" s="1"/>
      <x:c r="M138" s="1"/>
      <x:c r="N138" s="1"/>
      <x:c r="O138" s="1"/>
      <x:c r="P138" s="1"/>
      <x:c r="Q138" s="1"/>
      <x:c r="R138" s="1"/>
      <x:c r="S138" s="1"/>
      <x:c r="T138" s="1"/>
    </x:row>
    <x:row r="139" ht="18" customHeight="1">
      <x:c r="A139" s="1"/>
      <x:c r="B139" s="47" t="str">
        <x:f>IF($E139="","",132)</x:f>
      </x:c>
      <x:c r="C139" s="49" t="str">
        <x:f>IFERROR(IF(SMALL('Offene Vorgänge'!$J$8:$J$207,132)&gt;=1E+90,"",INDEX('Offene Vorgänge'!$C$8:$C$207,MATCH(SMALL('Offene Vorgänge'!$J$8:$J$207,132),'Offene Vorgänge'!$J$8:$J$207,0))),"")</x:f>
      </x:c>
      <x:c r="D139" s="50" t="str">
        <x:f>IFERROR(IF(SMALL('Offene Vorgänge'!$J$8:$J$207,132)&gt;=1E+90,"",INDEX('Offene Vorgänge'!$D$8:$D$207,MATCH(SMALL('Offene Vorgänge'!$J$8:$J$207,132),'Offene Vorgänge'!$J$8:$J$207,0))),"")</x:f>
      </x:c>
      <x:c r="E139" s="44" t="str">
        <x:f>IFERROR(IF(SMALL('Offene Vorgänge'!$J$8:$J$207,132)&gt;=1E+90,"",INDEX('Offene Vorgänge'!$E$8:$E$207,MATCH(SMALL('Offene Vorgänge'!$J$8:$J$207,132),'Offene Vorgänge'!$J$8:$J$207,0))),"")</x:f>
      </x:c>
      <x:c r="F139" s="50" t="str">
        <x:f>IFERROR(IF(SMALL('Offene Vorgänge'!$J$8:$J$207,132)&gt;=1E+90,"",INDEX('Offene Vorgänge'!$F$8:$F$207,MATCH(SMALL('Offene Vorgänge'!$J$8:$J$207,132),'Offene Vorgänge'!$J$8:$J$207,0))),"")</x:f>
      </x:c>
      <x:c r="G139" s="50" t="str">
        <x:f>IF($E139="","",IF($C139="","ohne Frist",IF($C139&lt;TODAY(),"überfällig","offen")))</x:f>
      </x:c>
      <x:c r="H139" s="44" t="str">
        <x:f>IFERROR(IF(SMALL('Offene Vorgänge'!$J$8:$J$207,132)&gt;=1E+90,"",INDEX('Offene Vorgänge'!$H$8:$H$207,MATCH(SMALL('Offene Vorgänge'!$J$8:$J$207,132),'Offene Vorgänge'!$J$8:$J$207,0))),"")</x:f>
      </x:c>
      <x:c r="I139" s="1"/>
      <x:c r="J139" s="1"/>
      <x:c r="K139" s="1"/>
      <x:c r="L139" s="1"/>
      <x:c r="M139" s="1"/>
      <x:c r="N139" s="1"/>
      <x:c r="O139" s="1"/>
      <x:c r="P139" s="1"/>
      <x:c r="Q139" s="1"/>
      <x:c r="R139" s="1"/>
      <x:c r="S139" s="1"/>
      <x:c r="T139" s="1"/>
    </x:row>
    <x:row r="140" ht="18" customHeight="1">
      <x:c r="A140" s="1"/>
      <x:c r="B140" s="47" t="str">
        <x:f>IF($E140="","",133)</x:f>
      </x:c>
      <x:c r="C140" s="49" t="str">
        <x:f>IFERROR(IF(SMALL('Offene Vorgänge'!$J$8:$J$207,133)&gt;=1E+90,"",INDEX('Offene Vorgänge'!$C$8:$C$207,MATCH(SMALL('Offene Vorgänge'!$J$8:$J$207,133),'Offene Vorgänge'!$J$8:$J$207,0))),"")</x:f>
      </x:c>
      <x:c r="D140" s="50" t="str">
        <x:f>IFERROR(IF(SMALL('Offene Vorgänge'!$J$8:$J$207,133)&gt;=1E+90,"",INDEX('Offene Vorgänge'!$D$8:$D$207,MATCH(SMALL('Offene Vorgänge'!$J$8:$J$207,133),'Offene Vorgänge'!$J$8:$J$207,0))),"")</x:f>
      </x:c>
      <x:c r="E140" s="44" t="str">
        <x:f>IFERROR(IF(SMALL('Offene Vorgänge'!$J$8:$J$207,133)&gt;=1E+90,"",INDEX('Offene Vorgänge'!$E$8:$E$207,MATCH(SMALL('Offene Vorgänge'!$J$8:$J$207,133),'Offene Vorgänge'!$J$8:$J$207,0))),"")</x:f>
      </x:c>
      <x:c r="F140" s="50" t="str">
        <x:f>IFERROR(IF(SMALL('Offene Vorgänge'!$J$8:$J$207,133)&gt;=1E+90,"",INDEX('Offene Vorgänge'!$F$8:$F$207,MATCH(SMALL('Offene Vorgänge'!$J$8:$J$207,133),'Offene Vorgänge'!$J$8:$J$207,0))),"")</x:f>
      </x:c>
      <x:c r="G140" s="50" t="str">
        <x:f>IF($E140="","",IF($C140="","ohne Frist",IF($C140&lt;TODAY(),"überfällig","offen")))</x:f>
      </x:c>
      <x:c r="H140" s="44" t="str">
        <x:f>IFERROR(IF(SMALL('Offene Vorgänge'!$J$8:$J$207,133)&gt;=1E+90,"",INDEX('Offene Vorgänge'!$H$8:$H$207,MATCH(SMALL('Offene Vorgänge'!$J$8:$J$207,133),'Offene Vorgänge'!$J$8:$J$207,0))),"")</x:f>
      </x:c>
      <x:c r="I140" s="1"/>
      <x:c r="J140" s="1"/>
      <x:c r="K140" s="1"/>
      <x:c r="L140" s="1"/>
      <x:c r="M140" s="1"/>
      <x:c r="N140" s="1"/>
      <x:c r="O140" s="1"/>
      <x:c r="P140" s="1"/>
      <x:c r="Q140" s="1"/>
      <x:c r="R140" s="1"/>
      <x:c r="S140" s="1"/>
      <x:c r="T140" s="1"/>
    </x:row>
    <x:row r="141" ht="18" customHeight="1">
      <x:c r="A141" s="1"/>
      <x:c r="B141" s="47" t="str">
        <x:f>IF($E141="","",134)</x:f>
      </x:c>
      <x:c r="C141" s="49" t="str">
        <x:f>IFERROR(IF(SMALL('Offene Vorgänge'!$J$8:$J$207,134)&gt;=1E+90,"",INDEX('Offene Vorgänge'!$C$8:$C$207,MATCH(SMALL('Offene Vorgänge'!$J$8:$J$207,134),'Offene Vorgänge'!$J$8:$J$207,0))),"")</x:f>
      </x:c>
      <x:c r="D141" s="50" t="str">
        <x:f>IFERROR(IF(SMALL('Offene Vorgänge'!$J$8:$J$207,134)&gt;=1E+90,"",INDEX('Offene Vorgänge'!$D$8:$D$207,MATCH(SMALL('Offene Vorgänge'!$J$8:$J$207,134),'Offene Vorgänge'!$J$8:$J$207,0))),"")</x:f>
      </x:c>
      <x:c r="E141" s="44" t="str">
        <x:f>IFERROR(IF(SMALL('Offene Vorgänge'!$J$8:$J$207,134)&gt;=1E+90,"",INDEX('Offene Vorgänge'!$E$8:$E$207,MATCH(SMALL('Offene Vorgänge'!$J$8:$J$207,134),'Offene Vorgänge'!$J$8:$J$207,0))),"")</x:f>
      </x:c>
      <x:c r="F141" s="50" t="str">
        <x:f>IFERROR(IF(SMALL('Offene Vorgänge'!$J$8:$J$207,134)&gt;=1E+90,"",INDEX('Offene Vorgänge'!$F$8:$F$207,MATCH(SMALL('Offene Vorgänge'!$J$8:$J$207,134),'Offene Vorgänge'!$J$8:$J$207,0))),"")</x:f>
      </x:c>
      <x:c r="G141" s="50" t="str">
        <x:f>IF($E141="","",IF($C141="","ohne Frist",IF($C141&lt;TODAY(),"überfällig","offen")))</x:f>
      </x:c>
      <x:c r="H141" s="44" t="str">
        <x:f>IFERROR(IF(SMALL('Offene Vorgänge'!$J$8:$J$207,134)&gt;=1E+90,"",INDEX('Offene Vorgänge'!$H$8:$H$207,MATCH(SMALL('Offene Vorgänge'!$J$8:$J$207,134),'Offene Vorgänge'!$J$8:$J$207,0))),"")</x:f>
      </x:c>
      <x:c r="I141" s="1"/>
      <x:c r="J141" s="1"/>
      <x:c r="K141" s="1"/>
      <x:c r="L141" s="1"/>
      <x:c r="M141" s="1"/>
      <x:c r="N141" s="1"/>
      <x:c r="O141" s="1"/>
      <x:c r="P141" s="1"/>
      <x:c r="Q141" s="1"/>
      <x:c r="R141" s="1"/>
      <x:c r="S141" s="1"/>
      <x:c r="T141" s="1"/>
    </x:row>
    <x:row r="142" ht="18" customHeight="1">
      <x:c r="A142" s="1"/>
      <x:c r="B142" s="47" t="str">
        <x:f>IF($E142="","",135)</x:f>
      </x:c>
      <x:c r="C142" s="49" t="str">
        <x:f>IFERROR(IF(SMALL('Offene Vorgänge'!$J$8:$J$207,135)&gt;=1E+90,"",INDEX('Offene Vorgänge'!$C$8:$C$207,MATCH(SMALL('Offene Vorgänge'!$J$8:$J$207,135),'Offene Vorgänge'!$J$8:$J$207,0))),"")</x:f>
      </x:c>
      <x:c r="D142" s="50" t="str">
        <x:f>IFERROR(IF(SMALL('Offene Vorgänge'!$J$8:$J$207,135)&gt;=1E+90,"",INDEX('Offene Vorgänge'!$D$8:$D$207,MATCH(SMALL('Offene Vorgänge'!$J$8:$J$207,135),'Offene Vorgänge'!$J$8:$J$207,0))),"")</x:f>
      </x:c>
      <x:c r="E142" s="44" t="str">
        <x:f>IFERROR(IF(SMALL('Offene Vorgänge'!$J$8:$J$207,135)&gt;=1E+90,"",INDEX('Offene Vorgänge'!$E$8:$E$207,MATCH(SMALL('Offene Vorgänge'!$J$8:$J$207,135),'Offene Vorgänge'!$J$8:$J$207,0))),"")</x:f>
      </x:c>
      <x:c r="F142" s="50" t="str">
        <x:f>IFERROR(IF(SMALL('Offene Vorgänge'!$J$8:$J$207,135)&gt;=1E+90,"",INDEX('Offene Vorgänge'!$F$8:$F$207,MATCH(SMALL('Offene Vorgänge'!$J$8:$J$207,135),'Offene Vorgänge'!$J$8:$J$207,0))),"")</x:f>
      </x:c>
      <x:c r="G142" s="50" t="str">
        <x:f>IF($E142="","",IF($C142="","ohne Frist",IF($C142&lt;TODAY(),"überfällig","offen")))</x:f>
      </x:c>
      <x:c r="H142" s="44" t="str">
        <x:f>IFERROR(IF(SMALL('Offene Vorgänge'!$J$8:$J$207,135)&gt;=1E+90,"",INDEX('Offene Vorgänge'!$H$8:$H$207,MATCH(SMALL('Offene Vorgänge'!$J$8:$J$207,135),'Offene Vorgänge'!$J$8:$J$207,0))),"")</x:f>
      </x:c>
      <x:c r="I142" s="1"/>
      <x:c r="J142" s="1"/>
      <x:c r="K142" s="1"/>
      <x:c r="L142" s="1"/>
      <x:c r="M142" s="1"/>
      <x:c r="N142" s="1"/>
      <x:c r="O142" s="1"/>
      <x:c r="P142" s="1"/>
      <x:c r="Q142" s="1"/>
      <x:c r="R142" s="1"/>
      <x:c r="S142" s="1"/>
      <x:c r="T142" s="1"/>
    </x:row>
    <x:row r="143" ht="18" customHeight="1">
      <x:c r="A143" s="1"/>
      <x:c r="B143" s="47" t="str">
        <x:f>IF($E143="","",136)</x:f>
      </x:c>
      <x:c r="C143" s="49" t="str">
        <x:f>IFERROR(IF(SMALL('Offene Vorgänge'!$J$8:$J$207,136)&gt;=1E+90,"",INDEX('Offene Vorgänge'!$C$8:$C$207,MATCH(SMALL('Offene Vorgänge'!$J$8:$J$207,136),'Offene Vorgänge'!$J$8:$J$207,0))),"")</x:f>
      </x:c>
      <x:c r="D143" s="50" t="str">
        <x:f>IFERROR(IF(SMALL('Offene Vorgänge'!$J$8:$J$207,136)&gt;=1E+90,"",INDEX('Offene Vorgänge'!$D$8:$D$207,MATCH(SMALL('Offene Vorgänge'!$J$8:$J$207,136),'Offene Vorgänge'!$J$8:$J$207,0))),"")</x:f>
      </x:c>
      <x:c r="E143" s="44" t="str">
        <x:f>IFERROR(IF(SMALL('Offene Vorgänge'!$J$8:$J$207,136)&gt;=1E+90,"",INDEX('Offene Vorgänge'!$E$8:$E$207,MATCH(SMALL('Offene Vorgänge'!$J$8:$J$207,136),'Offene Vorgänge'!$J$8:$J$207,0))),"")</x:f>
      </x:c>
      <x:c r="F143" s="50" t="str">
        <x:f>IFERROR(IF(SMALL('Offene Vorgänge'!$J$8:$J$207,136)&gt;=1E+90,"",INDEX('Offene Vorgänge'!$F$8:$F$207,MATCH(SMALL('Offene Vorgänge'!$J$8:$J$207,136),'Offene Vorgänge'!$J$8:$J$207,0))),"")</x:f>
      </x:c>
      <x:c r="G143" s="50" t="str">
        <x:f>IF($E143="","",IF($C143="","ohne Frist",IF($C143&lt;TODAY(),"überfällig","offen")))</x:f>
      </x:c>
      <x:c r="H143" s="44" t="str">
        <x:f>IFERROR(IF(SMALL('Offene Vorgänge'!$J$8:$J$207,136)&gt;=1E+90,"",INDEX('Offene Vorgänge'!$H$8:$H$207,MATCH(SMALL('Offene Vorgänge'!$J$8:$J$207,136),'Offene Vorgänge'!$J$8:$J$207,0))),"")</x:f>
      </x:c>
      <x:c r="I143" s="1"/>
      <x:c r="J143" s="1"/>
      <x:c r="K143" s="1"/>
      <x:c r="L143" s="1"/>
      <x:c r="M143" s="1"/>
      <x:c r="N143" s="1"/>
      <x:c r="O143" s="1"/>
      <x:c r="P143" s="1"/>
      <x:c r="Q143" s="1"/>
      <x:c r="R143" s="1"/>
      <x:c r="S143" s="1"/>
      <x:c r="T143" s="1"/>
    </x:row>
    <x:row r="144" ht="18" customHeight="1">
      <x:c r="A144" s="1"/>
      <x:c r="B144" s="47" t="str">
        <x:f>IF($E144="","",137)</x:f>
      </x:c>
      <x:c r="C144" s="49" t="str">
        <x:f>IFERROR(IF(SMALL('Offene Vorgänge'!$J$8:$J$207,137)&gt;=1E+90,"",INDEX('Offene Vorgänge'!$C$8:$C$207,MATCH(SMALL('Offene Vorgänge'!$J$8:$J$207,137),'Offene Vorgänge'!$J$8:$J$207,0))),"")</x:f>
      </x:c>
      <x:c r="D144" s="50" t="str">
        <x:f>IFERROR(IF(SMALL('Offene Vorgänge'!$J$8:$J$207,137)&gt;=1E+90,"",INDEX('Offene Vorgänge'!$D$8:$D$207,MATCH(SMALL('Offene Vorgänge'!$J$8:$J$207,137),'Offene Vorgänge'!$J$8:$J$207,0))),"")</x:f>
      </x:c>
      <x:c r="E144" s="44" t="str">
        <x:f>IFERROR(IF(SMALL('Offene Vorgänge'!$J$8:$J$207,137)&gt;=1E+90,"",INDEX('Offene Vorgänge'!$E$8:$E$207,MATCH(SMALL('Offene Vorgänge'!$J$8:$J$207,137),'Offene Vorgänge'!$J$8:$J$207,0))),"")</x:f>
      </x:c>
      <x:c r="F144" s="50" t="str">
        <x:f>IFERROR(IF(SMALL('Offene Vorgänge'!$J$8:$J$207,137)&gt;=1E+90,"",INDEX('Offene Vorgänge'!$F$8:$F$207,MATCH(SMALL('Offene Vorgänge'!$J$8:$J$207,137),'Offene Vorgänge'!$J$8:$J$207,0))),"")</x:f>
      </x:c>
      <x:c r="G144" s="50" t="str">
        <x:f>IF($E144="","",IF($C144="","ohne Frist",IF($C144&lt;TODAY(),"überfällig","offen")))</x:f>
      </x:c>
      <x:c r="H144" s="44" t="str">
        <x:f>IFERROR(IF(SMALL('Offene Vorgänge'!$J$8:$J$207,137)&gt;=1E+90,"",INDEX('Offene Vorgänge'!$H$8:$H$207,MATCH(SMALL('Offene Vorgänge'!$J$8:$J$207,137),'Offene Vorgänge'!$J$8:$J$207,0))),"")</x:f>
      </x:c>
      <x:c r="I144" s="1"/>
      <x:c r="J144" s="1"/>
      <x:c r="K144" s="1"/>
      <x:c r="L144" s="1"/>
      <x:c r="M144" s="1"/>
      <x:c r="N144" s="1"/>
      <x:c r="O144" s="1"/>
      <x:c r="P144" s="1"/>
      <x:c r="Q144" s="1"/>
      <x:c r="R144" s="1"/>
      <x:c r="S144" s="1"/>
      <x:c r="T144" s="1"/>
    </x:row>
    <x:row r="145" ht="18" customHeight="1">
      <x:c r="A145" s="1"/>
      <x:c r="B145" s="47" t="str">
        <x:f>IF($E145="","",138)</x:f>
      </x:c>
      <x:c r="C145" s="49" t="str">
        <x:f>IFERROR(IF(SMALL('Offene Vorgänge'!$J$8:$J$207,138)&gt;=1E+90,"",INDEX('Offene Vorgänge'!$C$8:$C$207,MATCH(SMALL('Offene Vorgänge'!$J$8:$J$207,138),'Offene Vorgänge'!$J$8:$J$207,0))),"")</x:f>
      </x:c>
      <x:c r="D145" s="50" t="str">
        <x:f>IFERROR(IF(SMALL('Offene Vorgänge'!$J$8:$J$207,138)&gt;=1E+90,"",INDEX('Offene Vorgänge'!$D$8:$D$207,MATCH(SMALL('Offene Vorgänge'!$J$8:$J$207,138),'Offene Vorgänge'!$J$8:$J$207,0))),"")</x:f>
      </x:c>
      <x:c r="E145" s="44" t="str">
        <x:f>IFERROR(IF(SMALL('Offene Vorgänge'!$J$8:$J$207,138)&gt;=1E+90,"",INDEX('Offene Vorgänge'!$E$8:$E$207,MATCH(SMALL('Offene Vorgänge'!$J$8:$J$207,138),'Offene Vorgänge'!$J$8:$J$207,0))),"")</x:f>
      </x:c>
      <x:c r="F145" s="50" t="str">
        <x:f>IFERROR(IF(SMALL('Offene Vorgänge'!$J$8:$J$207,138)&gt;=1E+90,"",INDEX('Offene Vorgänge'!$F$8:$F$207,MATCH(SMALL('Offene Vorgänge'!$J$8:$J$207,138),'Offene Vorgänge'!$J$8:$J$207,0))),"")</x:f>
      </x:c>
      <x:c r="G145" s="50" t="str">
        <x:f>IF($E145="","",IF($C145="","ohne Frist",IF($C145&lt;TODAY(),"überfällig","offen")))</x:f>
      </x:c>
      <x:c r="H145" s="44" t="str">
        <x:f>IFERROR(IF(SMALL('Offene Vorgänge'!$J$8:$J$207,138)&gt;=1E+90,"",INDEX('Offene Vorgänge'!$H$8:$H$207,MATCH(SMALL('Offene Vorgänge'!$J$8:$J$207,138),'Offene Vorgänge'!$J$8:$J$207,0))),"")</x:f>
      </x:c>
      <x:c r="I145" s="1"/>
      <x:c r="J145" s="1"/>
      <x:c r="K145" s="1"/>
      <x:c r="L145" s="1"/>
      <x:c r="M145" s="1"/>
      <x:c r="N145" s="1"/>
      <x:c r="O145" s="1"/>
      <x:c r="P145" s="1"/>
      <x:c r="Q145" s="1"/>
      <x:c r="R145" s="1"/>
      <x:c r="S145" s="1"/>
      <x:c r="T145" s="1"/>
    </x:row>
    <x:row r="146" ht="18" customHeight="1">
      <x:c r="A146" s="1"/>
      <x:c r="B146" s="47" t="str">
        <x:f>IF($E146="","",139)</x:f>
      </x:c>
      <x:c r="C146" s="49" t="str">
        <x:f>IFERROR(IF(SMALL('Offene Vorgänge'!$J$8:$J$207,139)&gt;=1E+90,"",INDEX('Offene Vorgänge'!$C$8:$C$207,MATCH(SMALL('Offene Vorgänge'!$J$8:$J$207,139),'Offene Vorgänge'!$J$8:$J$207,0))),"")</x:f>
      </x:c>
      <x:c r="D146" s="50" t="str">
        <x:f>IFERROR(IF(SMALL('Offene Vorgänge'!$J$8:$J$207,139)&gt;=1E+90,"",INDEX('Offene Vorgänge'!$D$8:$D$207,MATCH(SMALL('Offene Vorgänge'!$J$8:$J$207,139),'Offene Vorgänge'!$J$8:$J$207,0))),"")</x:f>
      </x:c>
      <x:c r="E146" s="44" t="str">
        <x:f>IFERROR(IF(SMALL('Offene Vorgänge'!$J$8:$J$207,139)&gt;=1E+90,"",INDEX('Offene Vorgänge'!$E$8:$E$207,MATCH(SMALL('Offene Vorgänge'!$J$8:$J$207,139),'Offene Vorgänge'!$J$8:$J$207,0))),"")</x:f>
      </x:c>
      <x:c r="F146" s="50" t="str">
        <x:f>IFERROR(IF(SMALL('Offene Vorgänge'!$J$8:$J$207,139)&gt;=1E+90,"",INDEX('Offene Vorgänge'!$F$8:$F$207,MATCH(SMALL('Offene Vorgänge'!$J$8:$J$207,139),'Offene Vorgänge'!$J$8:$J$207,0))),"")</x:f>
      </x:c>
      <x:c r="G146" s="50" t="str">
        <x:f>IF($E146="","",IF($C146="","ohne Frist",IF($C146&lt;TODAY(),"überfällig","offen")))</x:f>
      </x:c>
      <x:c r="H146" s="44" t="str">
        <x:f>IFERROR(IF(SMALL('Offene Vorgänge'!$J$8:$J$207,139)&gt;=1E+90,"",INDEX('Offene Vorgänge'!$H$8:$H$207,MATCH(SMALL('Offene Vorgänge'!$J$8:$J$207,139),'Offene Vorgänge'!$J$8:$J$207,0))),"")</x:f>
      </x:c>
      <x:c r="I146" s="1"/>
      <x:c r="J146" s="1"/>
      <x:c r="K146" s="1"/>
      <x:c r="L146" s="1"/>
      <x:c r="M146" s="1"/>
      <x:c r="N146" s="1"/>
      <x:c r="O146" s="1"/>
      <x:c r="P146" s="1"/>
      <x:c r="Q146" s="1"/>
      <x:c r="R146" s="1"/>
      <x:c r="S146" s="1"/>
      <x:c r="T146" s="1"/>
    </x:row>
    <x:row r="147" ht="18" customHeight="1">
      <x:c r="A147" s="1"/>
      <x:c r="B147" s="47" t="str">
        <x:f>IF($E147="","",140)</x:f>
      </x:c>
      <x:c r="C147" s="49" t="str">
        <x:f>IFERROR(IF(SMALL('Offene Vorgänge'!$J$8:$J$207,140)&gt;=1E+90,"",INDEX('Offene Vorgänge'!$C$8:$C$207,MATCH(SMALL('Offene Vorgänge'!$J$8:$J$207,140),'Offene Vorgänge'!$J$8:$J$207,0))),"")</x:f>
      </x:c>
      <x:c r="D147" s="50" t="str">
        <x:f>IFERROR(IF(SMALL('Offene Vorgänge'!$J$8:$J$207,140)&gt;=1E+90,"",INDEX('Offene Vorgänge'!$D$8:$D$207,MATCH(SMALL('Offene Vorgänge'!$J$8:$J$207,140),'Offene Vorgänge'!$J$8:$J$207,0))),"")</x:f>
      </x:c>
      <x:c r="E147" s="44" t="str">
        <x:f>IFERROR(IF(SMALL('Offene Vorgänge'!$J$8:$J$207,140)&gt;=1E+90,"",INDEX('Offene Vorgänge'!$E$8:$E$207,MATCH(SMALL('Offene Vorgänge'!$J$8:$J$207,140),'Offene Vorgänge'!$J$8:$J$207,0))),"")</x:f>
      </x:c>
      <x:c r="F147" s="50" t="str">
        <x:f>IFERROR(IF(SMALL('Offene Vorgänge'!$J$8:$J$207,140)&gt;=1E+90,"",INDEX('Offene Vorgänge'!$F$8:$F$207,MATCH(SMALL('Offene Vorgänge'!$J$8:$J$207,140),'Offene Vorgänge'!$J$8:$J$207,0))),"")</x:f>
      </x:c>
      <x:c r="G147" s="50" t="str">
        <x:f>IF($E147="","",IF($C147="","ohne Frist",IF($C147&lt;TODAY(),"überfällig","offen")))</x:f>
      </x:c>
      <x:c r="H147" s="44" t="str">
        <x:f>IFERROR(IF(SMALL('Offene Vorgänge'!$J$8:$J$207,140)&gt;=1E+90,"",INDEX('Offene Vorgänge'!$H$8:$H$207,MATCH(SMALL('Offene Vorgänge'!$J$8:$J$207,140),'Offene Vorgänge'!$J$8:$J$207,0))),"")</x:f>
      </x:c>
      <x:c r="I147" s="1"/>
      <x:c r="J147" s="1"/>
      <x:c r="K147" s="1"/>
      <x:c r="L147" s="1"/>
      <x:c r="M147" s="1"/>
      <x:c r="N147" s="1"/>
      <x:c r="O147" s="1"/>
      <x:c r="P147" s="1"/>
      <x:c r="Q147" s="1"/>
      <x:c r="R147" s="1"/>
      <x:c r="S147" s="1"/>
      <x:c r="T147" s="1"/>
    </x:row>
    <x:row r="148" ht="18" customHeight="1">
      <x:c r="A148" s="1"/>
      <x:c r="B148" s="47" t="str">
        <x:f>IF($E148="","",141)</x:f>
      </x:c>
      <x:c r="C148" s="49" t="str">
        <x:f>IFERROR(IF(SMALL('Offene Vorgänge'!$J$8:$J$207,141)&gt;=1E+90,"",INDEX('Offene Vorgänge'!$C$8:$C$207,MATCH(SMALL('Offene Vorgänge'!$J$8:$J$207,141),'Offene Vorgänge'!$J$8:$J$207,0))),"")</x:f>
      </x:c>
      <x:c r="D148" s="50" t="str">
        <x:f>IFERROR(IF(SMALL('Offene Vorgänge'!$J$8:$J$207,141)&gt;=1E+90,"",INDEX('Offene Vorgänge'!$D$8:$D$207,MATCH(SMALL('Offene Vorgänge'!$J$8:$J$207,141),'Offene Vorgänge'!$J$8:$J$207,0))),"")</x:f>
      </x:c>
      <x:c r="E148" s="44" t="str">
        <x:f>IFERROR(IF(SMALL('Offene Vorgänge'!$J$8:$J$207,141)&gt;=1E+90,"",INDEX('Offene Vorgänge'!$E$8:$E$207,MATCH(SMALL('Offene Vorgänge'!$J$8:$J$207,141),'Offene Vorgänge'!$J$8:$J$207,0))),"")</x:f>
      </x:c>
      <x:c r="F148" s="50" t="str">
        <x:f>IFERROR(IF(SMALL('Offene Vorgänge'!$J$8:$J$207,141)&gt;=1E+90,"",INDEX('Offene Vorgänge'!$F$8:$F$207,MATCH(SMALL('Offene Vorgänge'!$J$8:$J$207,141),'Offene Vorgänge'!$J$8:$J$207,0))),"")</x:f>
      </x:c>
      <x:c r="G148" s="50" t="str">
        <x:f>IF($E148="","",IF($C148="","ohne Frist",IF($C148&lt;TODAY(),"überfällig","offen")))</x:f>
      </x:c>
      <x:c r="H148" s="44" t="str">
        <x:f>IFERROR(IF(SMALL('Offene Vorgänge'!$J$8:$J$207,141)&gt;=1E+90,"",INDEX('Offene Vorgänge'!$H$8:$H$207,MATCH(SMALL('Offene Vorgänge'!$J$8:$J$207,141),'Offene Vorgänge'!$J$8:$J$207,0))),"")</x:f>
      </x:c>
      <x:c r="I148" s="1"/>
      <x:c r="J148" s="1"/>
      <x:c r="K148" s="1"/>
      <x:c r="L148" s="1"/>
      <x:c r="M148" s="1"/>
      <x:c r="N148" s="1"/>
      <x:c r="O148" s="1"/>
      <x:c r="P148" s="1"/>
      <x:c r="Q148" s="1"/>
      <x:c r="R148" s="1"/>
      <x:c r="S148" s="1"/>
      <x:c r="T148" s="1"/>
    </x:row>
    <x:row r="149" ht="18" customHeight="1">
      <x:c r="A149" s="1"/>
      <x:c r="B149" s="47" t="str">
        <x:f>IF($E149="","",142)</x:f>
      </x:c>
      <x:c r="C149" s="49" t="str">
        <x:f>IFERROR(IF(SMALL('Offene Vorgänge'!$J$8:$J$207,142)&gt;=1E+90,"",INDEX('Offene Vorgänge'!$C$8:$C$207,MATCH(SMALL('Offene Vorgänge'!$J$8:$J$207,142),'Offene Vorgänge'!$J$8:$J$207,0))),"")</x:f>
      </x:c>
      <x:c r="D149" s="50" t="str">
        <x:f>IFERROR(IF(SMALL('Offene Vorgänge'!$J$8:$J$207,142)&gt;=1E+90,"",INDEX('Offene Vorgänge'!$D$8:$D$207,MATCH(SMALL('Offene Vorgänge'!$J$8:$J$207,142),'Offene Vorgänge'!$J$8:$J$207,0))),"")</x:f>
      </x:c>
      <x:c r="E149" s="44" t="str">
        <x:f>IFERROR(IF(SMALL('Offene Vorgänge'!$J$8:$J$207,142)&gt;=1E+90,"",INDEX('Offene Vorgänge'!$E$8:$E$207,MATCH(SMALL('Offene Vorgänge'!$J$8:$J$207,142),'Offene Vorgänge'!$J$8:$J$207,0))),"")</x:f>
      </x:c>
      <x:c r="F149" s="50" t="str">
        <x:f>IFERROR(IF(SMALL('Offene Vorgänge'!$J$8:$J$207,142)&gt;=1E+90,"",INDEX('Offene Vorgänge'!$F$8:$F$207,MATCH(SMALL('Offene Vorgänge'!$J$8:$J$207,142),'Offene Vorgänge'!$J$8:$J$207,0))),"")</x:f>
      </x:c>
      <x:c r="G149" s="50" t="str">
        <x:f>IF($E149="","",IF($C149="","ohne Frist",IF($C149&lt;TODAY(),"überfällig","offen")))</x:f>
      </x:c>
      <x:c r="H149" s="44" t="str">
        <x:f>IFERROR(IF(SMALL('Offene Vorgänge'!$J$8:$J$207,142)&gt;=1E+90,"",INDEX('Offene Vorgänge'!$H$8:$H$207,MATCH(SMALL('Offene Vorgänge'!$J$8:$J$207,142),'Offene Vorgänge'!$J$8:$J$207,0))),"")</x:f>
      </x:c>
      <x:c r="I149" s="1"/>
      <x:c r="J149" s="1"/>
      <x:c r="K149" s="1"/>
      <x:c r="L149" s="1"/>
      <x:c r="M149" s="1"/>
      <x:c r="N149" s="1"/>
      <x:c r="O149" s="1"/>
      <x:c r="P149" s="1"/>
      <x:c r="Q149" s="1"/>
      <x:c r="R149" s="1"/>
      <x:c r="S149" s="1"/>
      <x:c r="T149" s="1"/>
    </x:row>
    <x:row r="150" ht="18" customHeight="1">
      <x:c r="A150" s="1"/>
      <x:c r="B150" s="47" t="str">
        <x:f>IF($E150="","",143)</x:f>
      </x:c>
      <x:c r="C150" s="49" t="str">
        <x:f>IFERROR(IF(SMALL('Offene Vorgänge'!$J$8:$J$207,143)&gt;=1E+90,"",INDEX('Offene Vorgänge'!$C$8:$C$207,MATCH(SMALL('Offene Vorgänge'!$J$8:$J$207,143),'Offene Vorgänge'!$J$8:$J$207,0))),"")</x:f>
      </x:c>
      <x:c r="D150" s="50" t="str">
        <x:f>IFERROR(IF(SMALL('Offene Vorgänge'!$J$8:$J$207,143)&gt;=1E+90,"",INDEX('Offene Vorgänge'!$D$8:$D$207,MATCH(SMALL('Offene Vorgänge'!$J$8:$J$207,143),'Offene Vorgänge'!$J$8:$J$207,0))),"")</x:f>
      </x:c>
      <x:c r="E150" s="44" t="str">
        <x:f>IFERROR(IF(SMALL('Offene Vorgänge'!$J$8:$J$207,143)&gt;=1E+90,"",INDEX('Offene Vorgänge'!$E$8:$E$207,MATCH(SMALL('Offene Vorgänge'!$J$8:$J$207,143),'Offene Vorgänge'!$J$8:$J$207,0))),"")</x:f>
      </x:c>
      <x:c r="F150" s="50" t="str">
        <x:f>IFERROR(IF(SMALL('Offene Vorgänge'!$J$8:$J$207,143)&gt;=1E+90,"",INDEX('Offene Vorgänge'!$F$8:$F$207,MATCH(SMALL('Offene Vorgänge'!$J$8:$J$207,143),'Offene Vorgänge'!$J$8:$J$207,0))),"")</x:f>
      </x:c>
      <x:c r="G150" s="50" t="str">
        <x:f>IF($E150="","",IF($C150="","ohne Frist",IF($C150&lt;TODAY(),"überfällig","offen")))</x:f>
      </x:c>
      <x:c r="H150" s="44" t="str">
        <x:f>IFERROR(IF(SMALL('Offene Vorgänge'!$J$8:$J$207,143)&gt;=1E+90,"",INDEX('Offene Vorgänge'!$H$8:$H$207,MATCH(SMALL('Offene Vorgänge'!$J$8:$J$207,143),'Offene Vorgänge'!$J$8:$J$207,0))),"")</x:f>
      </x:c>
      <x:c r="I150" s="1"/>
      <x:c r="J150" s="1"/>
      <x:c r="K150" s="1"/>
      <x:c r="L150" s="1"/>
      <x:c r="M150" s="1"/>
      <x:c r="N150" s="1"/>
      <x:c r="O150" s="1"/>
      <x:c r="P150" s="1"/>
      <x:c r="Q150" s="1"/>
      <x:c r="R150" s="1"/>
      <x:c r="S150" s="1"/>
      <x:c r="T150" s="1"/>
    </x:row>
    <x:row r="151" ht="18" customHeight="1">
      <x:c r="A151" s="1"/>
      <x:c r="B151" s="47" t="str">
        <x:f>IF($E151="","",144)</x:f>
      </x:c>
      <x:c r="C151" s="49" t="str">
        <x:f>IFERROR(IF(SMALL('Offene Vorgänge'!$J$8:$J$207,144)&gt;=1E+90,"",INDEX('Offene Vorgänge'!$C$8:$C$207,MATCH(SMALL('Offene Vorgänge'!$J$8:$J$207,144),'Offene Vorgänge'!$J$8:$J$207,0))),"")</x:f>
      </x:c>
      <x:c r="D151" s="50" t="str">
        <x:f>IFERROR(IF(SMALL('Offene Vorgänge'!$J$8:$J$207,144)&gt;=1E+90,"",INDEX('Offene Vorgänge'!$D$8:$D$207,MATCH(SMALL('Offene Vorgänge'!$J$8:$J$207,144),'Offene Vorgänge'!$J$8:$J$207,0))),"")</x:f>
      </x:c>
      <x:c r="E151" s="44" t="str">
        <x:f>IFERROR(IF(SMALL('Offene Vorgänge'!$J$8:$J$207,144)&gt;=1E+90,"",INDEX('Offene Vorgänge'!$E$8:$E$207,MATCH(SMALL('Offene Vorgänge'!$J$8:$J$207,144),'Offene Vorgänge'!$J$8:$J$207,0))),"")</x:f>
      </x:c>
      <x:c r="F151" s="50" t="str">
        <x:f>IFERROR(IF(SMALL('Offene Vorgänge'!$J$8:$J$207,144)&gt;=1E+90,"",INDEX('Offene Vorgänge'!$F$8:$F$207,MATCH(SMALL('Offene Vorgänge'!$J$8:$J$207,144),'Offene Vorgänge'!$J$8:$J$207,0))),"")</x:f>
      </x:c>
      <x:c r="G151" s="50" t="str">
        <x:f>IF($E151="","",IF($C151="","ohne Frist",IF($C151&lt;TODAY(),"überfällig","offen")))</x:f>
      </x:c>
      <x:c r="H151" s="44" t="str">
        <x:f>IFERROR(IF(SMALL('Offene Vorgänge'!$J$8:$J$207,144)&gt;=1E+90,"",INDEX('Offene Vorgänge'!$H$8:$H$207,MATCH(SMALL('Offene Vorgänge'!$J$8:$J$207,144),'Offene Vorgänge'!$J$8:$J$207,0))),"")</x:f>
      </x:c>
      <x:c r="I151" s="1"/>
      <x:c r="J151" s="1"/>
      <x:c r="K151" s="1"/>
      <x:c r="L151" s="1"/>
      <x:c r="M151" s="1"/>
      <x:c r="N151" s="1"/>
      <x:c r="O151" s="1"/>
      <x:c r="P151" s="1"/>
      <x:c r="Q151" s="1"/>
      <x:c r="R151" s="1"/>
      <x:c r="S151" s="1"/>
      <x:c r="T151" s="1"/>
    </x:row>
    <x:row r="152" ht="18" customHeight="1">
      <x:c r="A152" s="1"/>
      <x:c r="B152" s="47" t="str">
        <x:f>IF($E152="","",145)</x:f>
      </x:c>
      <x:c r="C152" s="49" t="str">
        <x:f>IFERROR(IF(SMALL('Offene Vorgänge'!$J$8:$J$207,145)&gt;=1E+90,"",INDEX('Offene Vorgänge'!$C$8:$C$207,MATCH(SMALL('Offene Vorgänge'!$J$8:$J$207,145),'Offene Vorgänge'!$J$8:$J$207,0))),"")</x:f>
      </x:c>
      <x:c r="D152" s="50" t="str">
        <x:f>IFERROR(IF(SMALL('Offene Vorgänge'!$J$8:$J$207,145)&gt;=1E+90,"",INDEX('Offene Vorgänge'!$D$8:$D$207,MATCH(SMALL('Offene Vorgänge'!$J$8:$J$207,145),'Offene Vorgänge'!$J$8:$J$207,0))),"")</x:f>
      </x:c>
      <x:c r="E152" s="44" t="str">
        <x:f>IFERROR(IF(SMALL('Offene Vorgänge'!$J$8:$J$207,145)&gt;=1E+90,"",INDEX('Offene Vorgänge'!$E$8:$E$207,MATCH(SMALL('Offene Vorgänge'!$J$8:$J$207,145),'Offene Vorgänge'!$J$8:$J$207,0))),"")</x:f>
      </x:c>
      <x:c r="F152" s="50" t="str">
        <x:f>IFERROR(IF(SMALL('Offene Vorgänge'!$J$8:$J$207,145)&gt;=1E+90,"",INDEX('Offene Vorgänge'!$F$8:$F$207,MATCH(SMALL('Offene Vorgänge'!$J$8:$J$207,145),'Offene Vorgänge'!$J$8:$J$207,0))),"")</x:f>
      </x:c>
      <x:c r="G152" s="50" t="str">
        <x:f>IF($E152="","",IF($C152="","ohne Frist",IF($C152&lt;TODAY(),"überfällig","offen")))</x:f>
      </x:c>
      <x:c r="H152" s="44" t="str">
        <x:f>IFERROR(IF(SMALL('Offene Vorgänge'!$J$8:$J$207,145)&gt;=1E+90,"",INDEX('Offene Vorgänge'!$H$8:$H$207,MATCH(SMALL('Offene Vorgänge'!$J$8:$J$207,145),'Offene Vorgänge'!$J$8:$J$207,0))),"")</x:f>
      </x:c>
      <x:c r="I152" s="1"/>
      <x:c r="J152" s="1"/>
      <x:c r="K152" s="1"/>
      <x:c r="L152" s="1"/>
      <x:c r="M152" s="1"/>
      <x:c r="N152" s="1"/>
      <x:c r="O152" s="1"/>
      <x:c r="P152" s="1"/>
      <x:c r="Q152" s="1"/>
      <x:c r="R152" s="1"/>
      <x:c r="S152" s="1"/>
      <x:c r="T152" s="1"/>
    </x:row>
    <x:row r="153" ht="18" customHeight="1">
      <x:c r="A153" s="1"/>
      <x:c r="B153" s="47" t="str">
        <x:f>IF($E153="","",146)</x:f>
      </x:c>
      <x:c r="C153" s="49" t="str">
        <x:f>IFERROR(IF(SMALL('Offene Vorgänge'!$J$8:$J$207,146)&gt;=1E+90,"",INDEX('Offene Vorgänge'!$C$8:$C$207,MATCH(SMALL('Offene Vorgänge'!$J$8:$J$207,146),'Offene Vorgänge'!$J$8:$J$207,0))),"")</x:f>
      </x:c>
      <x:c r="D153" s="50" t="str">
        <x:f>IFERROR(IF(SMALL('Offene Vorgänge'!$J$8:$J$207,146)&gt;=1E+90,"",INDEX('Offene Vorgänge'!$D$8:$D$207,MATCH(SMALL('Offene Vorgänge'!$J$8:$J$207,146),'Offene Vorgänge'!$J$8:$J$207,0))),"")</x:f>
      </x:c>
      <x:c r="E153" s="44" t="str">
        <x:f>IFERROR(IF(SMALL('Offene Vorgänge'!$J$8:$J$207,146)&gt;=1E+90,"",INDEX('Offene Vorgänge'!$E$8:$E$207,MATCH(SMALL('Offene Vorgänge'!$J$8:$J$207,146),'Offene Vorgänge'!$J$8:$J$207,0))),"")</x:f>
      </x:c>
      <x:c r="F153" s="50" t="str">
        <x:f>IFERROR(IF(SMALL('Offene Vorgänge'!$J$8:$J$207,146)&gt;=1E+90,"",INDEX('Offene Vorgänge'!$F$8:$F$207,MATCH(SMALL('Offene Vorgänge'!$J$8:$J$207,146),'Offene Vorgänge'!$J$8:$J$207,0))),"")</x:f>
      </x:c>
      <x:c r="G153" s="50" t="str">
        <x:f>IF($E153="","",IF($C153="","ohne Frist",IF($C153&lt;TODAY(),"überfällig","offen")))</x:f>
      </x:c>
      <x:c r="H153" s="44" t="str">
        <x:f>IFERROR(IF(SMALL('Offene Vorgänge'!$J$8:$J$207,146)&gt;=1E+90,"",INDEX('Offene Vorgänge'!$H$8:$H$207,MATCH(SMALL('Offene Vorgänge'!$J$8:$J$207,146),'Offene Vorgänge'!$J$8:$J$207,0))),"")</x:f>
      </x:c>
      <x:c r="I153" s="1"/>
      <x:c r="J153" s="1"/>
      <x:c r="K153" s="1"/>
      <x:c r="L153" s="1"/>
      <x:c r="M153" s="1"/>
      <x:c r="N153" s="1"/>
      <x:c r="O153" s="1"/>
      <x:c r="P153" s="1"/>
      <x:c r="Q153" s="1"/>
      <x:c r="R153" s="1"/>
      <x:c r="S153" s="1"/>
      <x:c r="T153" s="1"/>
    </x:row>
    <x:row r="154" ht="18" customHeight="1">
      <x:c r="A154" s="1"/>
      <x:c r="B154" s="47" t="str">
        <x:f>IF($E154="","",147)</x:f>
      </x:c>
      <x:c r="C154" s="49" t="str">
        <x:f>IFERROR(IF(SMALL('Offene Vorgänge'!$J$8:$J$207,147)&gt;=1E+90,"",INDEX('Offene Vorgänge'!$C$8:$C$207,MATCH(SMALL('Offene Vorgänge'!$J$8:$J$207,147),'Offene Vorgänge'!$J$8:$J$207,0))),"")</x:f>
      </x:c>
      <x:c r="D154" s="50" t="str">
        <x:f>IFERROR(IF(SMALL('Offene Vorgänge'!$J$8:$J$207,147)&gt;=1E+90,"",INDEX('Offene Vorgänge'!$D$8:$D$207,MATCH(SMALL('Offene Vorgänge'!$J$8:$J$207,147),'Offene Vorgänge'!$J$8:$J$207,0))),"")</x:f>
      </x:c>
      <x:c r="E154" s="44" t="str">
        <x:f>IFERROR(IF(SMALL('Offene Vorgänge'!$J$8:$J$207,147)&gt;=1E+90,"",INDEX('Offene Vorgänge'!$E$8:$E$207,MATCH(SMALL('Offene Vorgänge'!$J$8:$J$207,147),'Offene Vorgänge'!$J$8:$J$207,0))),"")</x:f>
      </x:c>
      <x:c r="F154" s="50" t="str">
        <x:f>IFERROR(IF(SMALL('Offene Vorgänge'!$J$8:$J$207,147)&gt;=1E+90,"",INDEX('Offene Vorgänge'!$F$8:$F$207,MATCH(SMALL('Offene Vorgänge'!$J$8:$J$207,147),'Offene Vorgänge'!$J$8:$J$207,0))),"")</x:f>
      </x:c>
      <x:c r="G154" s="50" t="str">
        <x:f>IF($E154="","",IF($C154="","ohne Frist",IF($C154&lt;TODAY(),"überfällig","offen")))</x:f>
      </x:c>
      <x:c r="H154" s="44" t="str">
        <x:f>IFERROR(IF(SMALL('Offene Vorgänge'!$J$8:$J$207,147)&gt;=1E+90,"",INDEX('Offene Vorgänge'!$H$8:$H$207,MATCH(SMALL('Offene Vorgänge'!$J$8:$J$207,147),'Offene Vorgänge'!$J$8:$J$207,0))),"")</x:f>
      </x:c>
      <x:c r="I154" s="1"/>
      <x:c r="J154" s="1"/>
      <x:c r="K154" s="1"/>
      <x:c r="L154" s="1"/>
      <x:c r="M154" s="1"/>
      <x:c r="N154" s="1"/>
      <x:c r="O154" s="1"/>
      <x:c r="P154" s="1"/>
      <x:c r="Q154" s="1"/>
      <x:c r="R154" s="1"/>
      <x:c r="S154" s="1"/>
      <x:c r="T154" s="1"/>
    </x:row>
    <x:row r="155" ht="18" customHeight="1">
      <x:c r="A155" s="1"/>
      <x:c r="B155" s="47" t="str">
        <x:f>IF($E155="","",148)</x:f>
      </x:c>
      <x:c r="C155" s="49" t="str">
        <x:f>IFERROR(IF(SMALL('Offene Vorgänge'!$J$8:$J$207,148)&gt;=1E+90,"",INDEX('Offene Vorgänge'!$C$8:$C$207,MATCH(SMALL('Offene Vorgänge'!$J$8:$J$207,148),'Offene Vorgänge'!$J$8:$J$207,0))),"")</x:f>
      </x:c>
      <x:c r="D155" s="50" t="str">
        <x:f>IFERROR(IF(SMALL('Offene Vorgänge'!$J$8:$J$207,148)&gt;=1E+90,"",INDEX('Offene Vorgänge'!$D$8:$D$207,MATCH(SMALL('Offene Vorgänge'!$J$8:$J$207,148),'Offene Vorgänge'!$J$8:$J$207,0))),"")</x:f>
      </x:c>
      <x:c r="E155" s="44" t="str">
        <x:f>IFERROR(IF(SMALL('Offene Vorgänge'!$J$8:$J$207,148)&gt;=1E+90,"",INDEX('Offene Vorgänge'!$E$8:$E$207,MATCH(SMALL('Offene Vorgänge'!$J$8:$J$207,148),'Offene Vorgänge'!$J$8:$J$207,0))),"")</x:f>
      </x:c>
      <x:c r="F155" s="50" t="str">
        <x:f>IFERROR(IF(SMALL('Offene Vorgänge'!$J$8:$J$207,148)&gt;=1E+90,"",INDEX('Offene Vorgänge'!$F$8:$F$207,MATCH(SMALL('Offene Vorgänge'!$J$8:$J$207,148),'Offene Vorgänge'!$J$8:$J$207,0))),"")</x:f>
      </x:c>
      <x:c r="G155" s="50" t="str">
        <x:f>IF($E155="","",IF($C155="","ohne Frist",IF($C155&lt;TODAY(),"überfällig","offen")))</x:f>
      </x:c>
      <x:c r="H155" s="44" t="str">
        <x:f>IFERROR(IF(SMALL('Offene Vorgänge'!$J$8:$J$207,148)&gt;=1E+90,"",INDEX('Offene Vorgänge'!$H$8:$H$207,MATCH(SMALL('Offene Vorgänge'!$J$8:$J$207,148),'Offene Vorgänge'!$J$8:$J$207,0))),"")</x:f>
      </x:c>
      <x:c r="I155" s="1"/>
      <x:c r="J155" s="1"/>
      <x:c r="K155" s="1"/>
      <x:c r="L155" s="1"/>
      <x:c r="M155" s="1"/>
      <x:c r="N155" s="1"/>
      <x:c r="O155" s="1"/>
      <x:c r="P155" s="1"/>
      <x:c r="Q155" s="1"/>
      <x:c r="R155" s="1"/>
      <x:c r="S155" s="1"/>
      <x:c r="T155" s="1"/>
    </x:row>
    <x:row r="156" ht="18" customHeight="1">
      <x:c r="A156" s="1"/>
      <x:c r="B156" s="47" t="str">
        <x:f>IF($E156="","",149)</x:f>
      </x:c>
      <x:c r="C156" s="49" t="str">
        <x:f>IFERROR(IF(SMALL('Offene Vorgänge'!$J$8:$J$207,149)&gt;=1E+90,"",INDEX('Offene Vorgänge'!$C$8:$C$207,MATCH(SMALL('Offene Vorgänge'!$J$8:$J$207,149),'Offene Vorgänge'!$J$8:$J$207,0))),"")</x:f>
      </x:c>
      <x:c r="D156" s="50" t="str">
        <x:f>IFERROR(IF(SMALL('Offene Vorgänge'!$J$8:$J$207,149)&gt;=1E+90,"",INDEX('Offene Vorgänge'!$D$8:$D$207,MATCH(SMALL('Offene Vorgänge'!$J$8:$J$207,149),'Offene Vorgänge'!$J$8:$J$207,0))),"")</x:f>
      </x:c>
      <x:c r="E156" s="44" t="str">
        <x:f>IFERROR(IF(SMALL('Offene Vorgänge'!$J$8:$J$207,149)&gt;=1E+90,"",INDEX('Offene Vorgänge'!$E$8:$E$207,MATCH(SMALL('Offene Vorgänge'!$J$8:$J$207,149),'Offene Vorgänge'!$J$8:$J$207,0))),"")</x:f>
      </x:c>
      <x:c r="F156" s="50" t="str">
        <x:f>IFERROR(IF(SMALL('Offene Vorgänge'!$J$8:$J$207,149)&gt;=1E+90,"",INDEX('Offene Vorgänge'!$F$8:$F$207,MATCH(SMALL('Offene Vorgänge'!$J$8:$J$207,149),'Offene Vorgänge'!$J$8:$J$207,0))),"")</x:f>
      </x:c>
      <x:c r="G156" s="50" t="str">
        <x:f>IF($E156="","",IF($C156="","ohne Frist",IF($C156&lt;TODAY(),"überfällig","offen")))</x:f>
      </x:c>
      <x:c r="H156" s="44" t="str">
        <x:f>IFERROR(IF(SMALL('Offene Vorgänge'!$J$8:$J$207,149)&gt;=1E+90,"",INDEX('Offene Vorgänge'!$H$8:$H$207,MATCH(SMALL('Offene Vorgänge'!$J$8:$J$207,149),'Offene Vorgänge'!$J$8:$J$207,0))),"")</x:f>
      </x:c>
      <x:c r="I156" s="1"/>
      <x:c r="J156" s="1"/>
      <x:c r="K156" s="1"/>
      <x:c r="L156" s="1"/>
      <x:c r="M156" s="1"/>
      <x:c r="N156" s="1"/>
      <x:c r="O156" s="1"/>
      <x:c r="P156" s="1"/>
      <x:c r="Q156" s="1"/>
      <x:c r="R156" s="1"/>
      <x:c r="S156" s="1"/>
      <x:c r="T156" s="1"/>
    </x:row>
    <x:row r="157" ht="18" customHeight="1">
      <x:c r="A157" s="1"/>
      <x:c r="B157" s="47" t="str">
        <x:f>IF($E157="","",150)</x:f>
      </x:c>
      <x:c r="C157" s="49" t="str">
        <x:f>IFERROR(IF(SMALL('Offene Vorgänge'!$J$8:$J$207,150)&gt;=1E+90,"",INDEX('Offene Vorgänge'!$C$8:$C$207,MATCH(SMALL('Offene Vorgänge'!$J$8:$J$207,150),'Offene Vorgänge'!$J$8:$J$207,0))),"")</x:f>
      </x:c>
      <x:c r="D157" s="50" t="str">
        <x:f>IFERROR(IF(SMALL('Offene Vorgänge'!$J$8:$J$207,150)&gt;=1E+90,"",INDEX('Offene Vorgänge'!$D$8:$D$207,MATCH(SMALL('Offene Vorgänge'!$J$8:$J$207,150),'Offene Vorgänge'!$J$8:$J$207,0))),"")</x:f>
      </x:c>
      <x:c r="E157" s="44" t="str">
        <x:f>IFERROR(IF(SMALL('Offene Vorgänge'!$J$8:$J$207,150)&gt;=1E+90,"",INDEX('Offene Vorgänge'!$E$8:$E$207,MATCH(SMALL('Offene Vorgänge'!$J$8:$J$207,150),'Offene Vorgänge'!$J$8:$J$207,0))),"")</x:f>
      </x:c>
      <x:c r="F157" s="50" t="str">
        <x:f>IFERROR(IF(SMALL('Offene Vorgänge'!$J$8:$J$207,150)&gt;=1E+90,"",INDEX('Offene Vorgänge'!$F$8:$F$207,MATCH(SMALL('Offene Vorgänge'!$J$8:$J$207,150),'Offene Vorgänge'!$J$8:$J$207,0))),"")</x:f>
      </x:c>
      <x:c r="G157" s="50" t="str">
        <x:f>IF($E157="","",IF($C157="","ohne Frist",IF($C157&lt;TODAY(),"überfällig","offen")))</x:f>
      </x:c>
      <x:c r="H157" s="44" t="str">
        <x:f>IFERROR(IF(SMALL('Offene Vorgänge'!$J$8:$J$207,150)&gt;=1E+90,"",INDEX('Offene Vorgänge'!$H$8:$H$207,MATCH(SMALL('Offene Vorgänge'!$J$8:$J$207,150),'Offene Vorgänge'!$J$8:$J$207,0))),"")</x:f>
      </x:c>
      <x:c r="I157" s="1"/>
      <x:c r="J157" s="1"/>
      <x:c r="K157" s="1"/>
      <x:c r="L157" s="1"/>
      <x:c r="M157" s="1"/>
      <x:c r="N157" s="1"/>
      <x:c r="O157" s="1"/>
      <x:c r="P157" s="1"/>
      <x:c r="Q157" s="1"/>
      <x:c r="R157" s="1"/>
      <x:c r="S157" s="1"/>
      <x:c r="T157" s="1"/>
    </x:row>
    <x:row r="158" ht="18" customHeight="1">
      <x:c r="A158" s="1"/>
      <x:c r="B158" s="47" t="str">
        <x:f>IF($E158="","",151)</x:f>
      </x:c>
      <x:c r="C158" s="49" t="str">
        <x:f>IFERROR(IF(SMALL('Offene Vorgänge'!$J$8:$J$207,151)&gt;=1E+90,"",INDEX('Offene Vorgänge'!$C$8:$C$207,MATCH(SMALL('Offene Vorgänge'!$J$8:$J$207,151),'Offene Vorgänge'!$J$8:$J$207,0))),"")</x:f>
      </x:c>
      <x:c r="D158" s="50" t="str">
        <x:f>IFERROR(IF(SMALL('Offene Vorgänge'!$J$8:$J$207,151)&gt;=1E+90,"",INDEX('Offene Vorgänge'!$D$8:$D$207,MATCH(SMALL('Offene Vorgänge'!$J$8:$J$207,151),'Offene Vorgänge'!$J$8:$J$207,0))),"")</x:f>
      </x:c>
      <x:c r="E158" s="44" t="str">
        <x:f>IFERROR(IF(SMALL('Offene Vorgänge'!$J$8:$J$207,151)&gt;=1E+90,"",INDEX('Offene Vorgänge'!$E$8:$E$207,MATCH(SMALL('Offene Vorgänge'!$J$8:$J$207,151),'Offene Vorgänge'!$J$8:$J$207,0))),"")</x:f>
      </x:c>
      <x:c r="F158" s="50" t="str">
        <x:f>IFERROR(IF(SMALL('Offene Vorgänge'!$J$8:$J$207,151)&gt;=1E+90,"",INDEX('Offene Vorgänge'!$F$8:$F$207,MATCH(SMALL('Offene Vorgänge'!$J$8:$J$207,151),'Offene Vorgänge'!$J$8:$J$207,0))),"")</x:f>
      </x:c>
      <x:c r="G158" s="50" t="str">
        <x:f>IF($E158="","",IF($C158="","ohne Frist",IF($C158&lt;TODAY(),"überfällig","offen")))</x:f>
      </x:c>
      <x:c r="H158" s="44" t="str">
        <x:f>IFERROR(IF(SMALL('Offene Vorgänge'!$J$8:$J$207,151)&gt;=1E+90,"",INDEX('Offene Vorgänge'!$H$8:$H$207,MATCH(SMALL('Offene Vorgänge'!$J$8:$J$207,151),'Offene Vorgänge'!$J$8:$J$207,0))),"")</x:f>
      </x:c>
      <x:c r="I158" s="1"/>
      <x:c r="J158" s="1"/>
      <x:c r="K158" s="1"/>
      <x:c r="L158" s="1"/>
      <x:c r="M158" s="1"/>
      <x:c r="N158" s="1"/>
      <x:c r="O158" s="1"/>
      <x:c r="P158" s="1"/>
      <x:c r="Q158" s="1"/>
      <x:c r="R158" s="1"/>
      <x:c r="S158" s="1"/>
      <x:c r="T158" s="1"/>
    </x:row>
    <x:row r="159" ht="18" customHeight="1">
      <x:c r="A159" s="1"/>
      <x:c r="B159" s="47" t="str">
        <x:f>IF($E159="","",152)</x:f>
      </x:c>
      <x:c r="C159" s="49" t="str">
        <x:f>IFERROR(IF(SMALL('Offene Vorgänge'!$J$8:$J$207,152)&gt;=1E+90,"",INDEX('Offene Vorgänge'!$C$8:$C$207,MATCH(SMALL('Offene Vorgänge'!$J$8:$J$207,152),'Offene Vorgänge'!$J$8:$J$207,0))),"")</x:f>
      </x:c>
      <x:c r="D159" s="50" t="str">
        <x:f>IFERROR(IF(SMALL('Offene Vorgänge'!$J$8:$J$207,152)&gt;=1E+90,"",INDEX('Offene Vorgänge'!$D$8:$D$207,MATCH(SMALL('Offene Vorgänge'!$J$8:$J$207,152),'Offene Vorgänge'!$J$8:$J$207,0))),"")</x:f>
      </x:c>
      <x:c r="E159" s="44" t="str">
        <x:f>IFERROR(IF(SMALL('Offene Vorgänge'!$J$8:$J$207,152)&gt;=1E+90,"",INDEX('Offene Vorgänge'!$E$8:$E$207,MATCH(SMALL('Offene Vorgänge'!$J$8:$J$207,152),'Offene Vorgänge'!$J$8:$J$207,0))),"")</x:f>
      </x:c>
      <x:c r="F159" s="50" t="str">
        <x:f>IFERROR(IF(SMALL('Offene Vorgänge'!$J$8:$J$207,152)&gt;=1E+90,"",INDEX('Offene Vorgänge'!$F$8:$F$207,MATCH(SMALL('Offene Vorgänge'!$J$8:$J$207,152),'Offene Vorgänge'!$J$8:$J$207,0))),"")</x:f>
      </x:c>
      <x:c r="G159" s="50" t="str">
        <x:f>IF($E159="","",IF($C159="","ohne Frist",IF($C159&lt;TODAY(),"überfällig","offen")))</x:f>
      </x:c>
      <x:c r="H159" s="44" t="str">
        <x:f>IFERROR(IF(SMALL('Offene Vorgänge'!$J$8:$J$207,152)&gt;=1E+90,"",INDEX('Offene Vorgänge'!$H$8:$H$207,MATCH(SMALL('Offene Vorgänge'!$J$8:$J$207,152),'Offene Vorgänge'!$J$8:$J$207,0))),"")</x:f>
      </x:c>
      <x:c r="I159" s="1"/>
      <x:c r="J159" s="1"/>
      <x:c r="K159" s="1"/>
      <x:c r="L159" s="1"/>
      <x:c r="M159" s="1"/>
      <x:c r="N159" s="1"/>
      <x:c r="O159" s="1"/>
      <x:c r="P159" s="1"/>
      <x:c r="Q159" s="1"/>
      <x:c r="R159" s="1"/>
      <x:c r="S159" s="1"/>
      <x:c r="T159" s="1"/>
    </x:row>
    <x:row r="160" ht="18" customHeight="1">
      <x:c r="A160" s="1"/>
      <x:c r="B160" s="47" t="str">
        <x:f>IF($E160="","",153)</x:f>
      </x:c>
      <x:c r="C160" s="49" t="str">
        <x:f>IFERROR(IF(SMALL('Offene Vorgänge'!$J$8:$J$207,153)&gt;=1E+90,"",INDEX('Offene Vorgänge'!$C$8:$C$207,MATCH(SMALL('Offene Vorgänge'!$J$8:$J$207,153),'Offene Vorgänge'!$J$8:$J$207,0))),"")</x:f>
      </x:c>
      <x:c r="D160" s="50" t="str">
        <x:f>IFERROR(IF(SMALL('Offene Vorgänge'!$J$8:$J$207,153)&gt;=1E+90,"",INDEX('Offene Vorgänge'!$D$8:$D$207,MATCH(SMALL('Offene Vorgänge'!$J$8:$J$207,153),'Offene Vorgänge'!$J$8:$J$207,0))),"")</x:f>
      </x:c>
      <x:c r="E160" s="44" t="str">
        <x:f>IFERROR(IF(SMALL('Offene Vorgänge'!$J$8:$J$207,153)&gt;=1E+90,"",INDEX('Offene Vorgänge'!$E$8:$E$207,MATCH(SMALL('Offene Vorgänge'!$J$8:$J$207,153),'Offene Vorgänge'!$J$8:$J$207,0))),"")</x:f>
      </x:c>
      <x:c r="F160" s="50" t="str">
        <x:f>IFERROR(IF(SMALL('Offene Vorgänge'!$J$8:$J$207,153)&gt;=1E+90,"",INDEX('Offene Vorgänge'!$F$8:$F$207,MATCH(SMALL('Offene Vorgänge'!$J$8:$J$207,153),'Offene Vorgänge'!$J$8:$J$207,0))),"")</x:f>
      </x:c>
      <x:c r="G160" s="50" t="str">
        <x:f>IF($E160="","",IF($C160="","ohne Frist",IF($C160&lt;TODAY(),"überfällig","offen")))</x:f>
      </x:c>
      <x:c r="H160" s="44" t="str">
        <x:f>IFERROR(IF(SMALL('Offene Vorgänge'!$J$8:$J$207,153)&gt;=1E+90,"",INDEX('Offene Vorgänge'!$H$8:$H$207,MATCH(SMALL('Offene Vorgänge'!$J$8:$J$207,153),'Offene Vorgänge'!$J$8:$J$207,0))),"")</x:f>
      </x:c>
      <x:c r="I160" s="1"/>
      <x:c r="J160" s="1"/>
      <x:c r="K160" s="1"/>
      <x:c r="L160" s="1"/>
      <x:c r="M160" s="1"/>
      <x:c r="N160" s="1"/>
      <x:c r="O160" s="1"/>
      <x:c r="P160" s="1"/>
      <x:c r="Q160" s="1"/>
      <x:c r="R160" s="1"/>
      <x:c r="S160" s="1"/>
      <x:c r="T160" s="1"/>
    </x:row>
    <x:row r="161" ht="18" customHeight="1">
      <x:c r="A161" s="1"/>
      <x:c r="B161" s="47" t="str">
        <x:f>IF($E161="","",154)</x:f>
      </x:c>
      <x:c r="C161" s="49" t="str">
        <x:f>IFERROR(IF(SMALL('Offene Vorgänge'!$J$8:$J$207,154)&gt;=1E+90,"",INDEX('Offene Vorgänge'!$C$8:$C$207,MATCH(SMALL('Offene Vorgänge'!$J$8:$J$207,154),'Offene Vorgänge'!$J$8:$J$207,0))),"")</x:f>
      </x:c>
      <x:c r="D161" s="50" t="str">
        <x:f>IFERROR(IF(SMALL('Offene Vorgänge'!$J$8:$J$207,154)&gt;=1E+90,"",INDEX('Offene Vorgänge'!$D$8:$D$207,MATCH(SMALL('Offene Vorgänge'!$J$8:$J$207,154),'Offene Vorgänge'!$J$8:$J$207,0))),"")</x:f>
      </x:c>
      <x:c r="E161" s="44" t="str">
        <x:f>IFERROR(IF(SMALL('Offene Vorgänge'!$J$8:$J$207,154)&gt;=1E+90,"",INDEX('Offene Vorgänge'!$E$8:$E$207,MATCH(SMALL('Offene Vorgänge'!$J$8:$J$207,154),'Offene Vorgänge'!$J$8:$J$207,0))),"")</x:f>
      </x:c>
      <x:c r="F161" s="50" t="str">
        <x:f>IFERROR(IF(SMALL('Offene Vorgänge'!$J$8:$J$207,154)&gt;=1E+90,"",INDEX('Offene Vorgänge'!$F$8:$F$207,MATCH(SMALL('Offene Vorgänge'!$J$8:$J$207,154),'Offene Vorgänge'!$J$8:$J$207,0))),"")</x:f>
      </x:c>
      <x:c r="G161" s="50" t="str">
        <x:f>IF($E161="","",IF($C161="","ohne Frist",IF($C161&lt;TODAY(),"überfällig","offen")))</x:f>
      </x:c>
      <x:c r="H161" s="44" t="str">
        <x:f>IFERROR(IF(SMALL('Offene Vorgänge'!$J$8:$J$207,154)&gt;=1E+90,"",INDEX('Offene Vorgänge'!$H$8:$H$207,MATCH(SMALL('Offene Vorgänge'!$J$8:$J$207,154),'Offene Vorgänge'!$J$8:$J$207,0))),"")</x:f>
      </x:c>
      <x:c r="I161" s="1"/>
      <x:c r="J161" s="1"/>
      <x:c r="K161" s="1"/>
      <x:c r="L161" s="1"/>
      <x:c r="M161" s="1"/>
      <x:c r="N161" s="1"/>
      <x:c r="O161" s="1"/>
      <x:c r="P161" s="1"/>
      <x:c r="Q161" s="1"/>
      <x:c r="R161" s="1"/>
      <x:c r="S161" s="1"/>
      <x:c r="T161" s="1"/>
    </x:row>
    <x:row r="162" ht="18" customHeight="1">
      <x:c r="A162" s="1"/>
      <x:c r="B162" s="47" t="str">
        <x:f>IF($E162="","",155)</x:f>
      </x:c>
      <x:c r="C162" s="49" t="str">
        <x:f>IFERROR(IF(SMALL('Offene Vorgänge'!$J$8:$J$207,155)&gt;=1E+90,"",INDEX('Offene Vorgänge'!$C$8:$C$207,MATCH(SMALL('Offene Vorgänge'!$J$8:$J$207,155),'Offene Vorgänge'!$J$8:$J$207,0))),"")</x:f>
      </x:c>
      <x:c r="D162" s="50" t="str">
        <x:f>IFERROR(IF(SMALL('Offene Vorgänge'!$J$8:$J$207,155)&gt;=1E+90,"",INDEX('Offene Vorgänge'!$D$8:$D$207,MATCH(SMALL('Offene Vorgänge'!$J$8:$J$207,155),'Offene Vorgänge'!$J$8:$J$207,0))),"")</x:f>
      </x:c>
      <x:c r="E162" s="44" t="str">
        <x:f>IFERROR(IF(SMALL('Offene Vorgänge'!$J$8:$J$207,155)&gt;=1E+90,"",INDEX('Offene Vorgänge'!$E$8:$E$207,MATCH(SMALL('Offene Vorgänge'!$J$8:$J$207,155),'Offene Vorgänge'!$J$8:$J$207,0))),"")</x:f>
      </x:c>
      <x:c r="F162" s="50" t="str">
        <x:f>IFERROR(IF(SMALL('Offene Vorgänge'!$J$8:$J$207,155)&gt;=1E+90,"",INDEX('Offene Vorgänge'!$F$8:$F$207,MATCH(SMALL('Offene Vorgänge'!$J$8:$J$207,155),'Offene Vorgänge'!$J$8:$J$207,0))),"")</x:f>
      </x:c>
      <x:c r="G162" s="50" t="str">
        <x:f>IF($E162="","",IF($C162="","ohne Frist",IF($C162&lt;TODAY(),"überfällig","offen")))</x:f>
      </x:c>
      <x:c r="H162" s="44" t="str">
        <x:f>IFERROR(IF(SMALL('Offene Vorgänge'!$J$8:$J$207,155)&gt;=1E+90,"",INDEX('Offene Vorgänge'!$H$8:$H$207,MATCH(SMALL('Offene Vorgänge'!$J$8:$J$207,155),'Offene Vorgänge'!$J$8:$J$207,0))),"")</x:f>
      </x:c>
      <x:c r="I162" s="1"/>
      <x:c r="J162" s="1"/>
      <x:c r="K162" s="1"/>
      <x:c r="L162" s="1"/>
      <x:c r="M162" s="1"/>
      <x:c r="N162" s="1"/>
      <x:c r="O162" s="1"/>
      <x:c r="P162" s="1"/>
      <x:c r="Q162" s="1"/>
      <x:c r="R162" s="1"/>
      <x:c r="S162" s="1"/>
      <x:c r="T162" s="1"/>
    </x:row>
    <x:row r="163" ht="18" customHeight="1">
      <x:c r="A163" s="1"/>
      <x:c r="B163" s="47" t="str">
        <x:f>IF($E163="","",156)</x:f>
      </x:c>
      <x:c r="C163" s="49" t="str">
        <x:f>IFERROR(IF(SMALL('Offene Vorgänge'!$J$8:$J$207,156)&gt;=1E+90,"",INDEX('Offene Vorgänge'!$C$8:$C$207,MATCH(SMALL('Offene Vorgänge'!$J$8:$J$207,156),'Offene Vorgänge'!$J$8:$J$207,0))),"")</x:f>
      </x:c>
      <x:c r="D163" s="50" t="str">
        <x:f>IFERROR(IF(SMALL('Offene Vorgänge'!$J$8:$J$207,156)&gt;=1E+90,"",INDEX('Offene Vorgänge'!$D$8:$D$207,MATCH(SMALL('Offene Vorgänge'!$J$8:$J$207,156),'Offene Vorgänge'!$J$8:$J$207,0))),"")</x:f>
      </x:c>
      <x:c r="E163" s="44" t="str">
        <x:f>IFERROR(IF(SMALL('Offene Vorgänge'!$J$8:$J$207,156)&gt;=1E+90,"",INDEX('Offene Vorgänge'!$E$8:$E$207,MATCH(SMALL('Offene Vorgänge'!$J$8:$J$207,156),'Offene Vorgänge'!$J$8:$J$207,0))),"")</x:f>
      </x:c>
      <x:c r="F163" s="50" t="str">
        <x:f>IFERROR(IF(SMALL('Offene Vorgänge'!$J$8:$J$207,156)&gt;=1E+90,"",INDEX('Offene Vorgänge'!$F$8:$F$207,MATCH(SMALL('Offene Vorgänge'!$J$8:$J$207,156),'Offene Vorgänge'!$J$8:$J$207,0))),"")</x:f>
      </x:c>
      <x:c r="G163" s="50" t="str">
        <x:f>IF($E163="","",IF($C163="","ohne Frist",IF($C163&lt;TODAY(),"überfällig","offen")))</x:f>
      </x:c>
      <x:c r="H163" s="44" t="str">
        <x:f>IFERROR(IF(SMALL('Offene Vorgänge'!$J$8:$J$207,156)&gt;=1E+90,"",INDEX('Offene Vorgänge'!$H$8:$H$207,MATCH(SMALL('Offene Vorgänge'!$J$8:$J$207,156),'Offene Vorgänge'!$J$8:$J$207,0))),"")</x:f>
      </x:c>
      <x:c r="I163" s="1"/>
      <x:c r="J163" s="1"/>
      <x:c r="K163" s="1"/>
      <x:c r="L163" s="1"/>
      <x:c r="M163" s="1"/>
      <x:c r="N163" s="1"/>
      <x:c r="O163" s="1"/>
      <x:c r="P163" s="1"/>
      <x:c r="Q163" s="1"/>
      <x:c r="R163" s="1"/>
      <x:c r="S163" s="1"/>
      <x:c r="T163" s="1"/>
    </x:row>
    <x:row r="164" ht="18" customHeight="1">
      <x:c r="A164" s="1"/>
      <x:c r="B164" s="47" t="str">
        <x:f>IF($E164="","",157)</x:f>
      </x:c>
      <x:c r="C164" s="49" t="str">
        <x:f>IFERROR(IF(SMALL('Offene Vorgänge'!$J$8:$J$207,157)&gt;=1E+90,"",INDEX('Offene Vorgänge'!$C$8:$C$207,MATCH(SMALL('Offene Vorgänge'!$J$8:$J$207,157),'Offene Vorgänge'!$J$8:$J$207,0))),"")</x:f>
      </x:c>
      <x:c r="D164" s="50" t="str">
        <x:f>IFERROR(IF(SMALL('Offene Vorgänge'!$J$8:$J$207,157)&gt;=1E+90,"",INDEX('Offene Vorgänge'!$D$8:$D$207,MATCH(SMALL('Offene Vorgänge'!$J$8:$J$207,157),'Offene Vorgänge'!$J$8:$J$207,0))),"")</x:f>
      </x:c>
      <x:c r="E164" s="44" t="str">
        <x:f>IFERROR(IF(SMALL('Offene Vorgänge'!$J$8:$J$207,157)&gt;=1E+90,"",INDEX('Offene Vorgänge'!$E$8:$E$207,MATCH(SMALL('Offene Vorgänge'!$J$8:$J$207,157),'Offene Vorgänge'!$J$8:$J$207,0))),"")</x:f>
      </x:c>
      <x:c r="F164" s="50" t="str">
        <x:f>IFERROR(IF(SMALL('Offene Vorgänge'!$J$8:$J$207,157)&gt;=1E+90,"",INDEX('Offene Vorgänge'!$F$8:$F$207,MATCH(SMALL('Offene Vorgänge'!$J$8:$J$207,157),'Offene Vorgänge'!$J$8:$J$207,0))),"")</x:f>
      </x:c>
      <x:c r="G164" s="50" t="str">
        <x:f>IF($E164="","",IF($C164="","ohne Frist",IF($C164&lt;TODAY(),"überfällig","offen")))</x:f>
      </x:c>
      <x:c r="H164" s="44" t="str">
        <x:f>IFERROR(IF(SMALL('Offene Vorgänge'!$J$8:$J$207,157)&gt;=1E+90,"",INDEX('Offene Vorgänge'!$H$8:$H$207,MATCH(SMALL('Offene Vorgänge'!$J$8:$J$207,157),'Offene Vorgänge'!$J$8:$J$207,0))),"")</x:f>
      </x:c>
      <x:c r="I164" s="1"/>
      <x:c r="J164" s="1"/>
      <x:c r="K164" s="1"/>
      <x:c r="L164" s="1"/>
      <x:c r="M164" s="1"/>
      <x:c r="N164" s="1"/>
      <x:c r="O164" s="1"/>
      <x:c r="P164" s="1"/>
      <x:c r="Q164" s="1"/>
      <x:c r="R164" s="1"/>
      <x:c r="S164" s="1"/>
      <x:c r="T164" s="1"/>
    </x:row>
    <x:row r="165" ht="18" customHeight="1">
      <x:c r="A165" s="1"/>
      <x:c r="B165" s="47" t="str">
        <x:f>IF($E165="","",158)</x:f>
      </x:c>
      <x:c r="C165" s="49" t="str">
        <x:f>IFERROR(IF(SMALL('Offene Vorgänge'!$J$8:$J$207,158)&gt;=1E+90,"",INDEX('Offene Vorgänge'!$C$8:$C$207,MATCH(SMALL('Offene Vorgänge'!$J$8:$J$207,158),'Offene Vorgänge'!$J$8:$J$207,0))),"")</x:f>
      </x:c>
      <x:c r="D165" s="50" t="str">
        <x:f>IFERROR(IF(SMALL('Offene Vorgänge'!$J$8:$J$207,158)&gt;=1E+90,"",INDEX('Offene Vorgänge'!$D$8:$D$207,MATCH(SMALL('Offene Vorgänge'!$J$8:$J$207,158),'Offene Vorgänge'!$J$8:$J$207,0))),"")</x:f>
      </x:c>
      <x:c r="E165" s="44" t="str">
        <x:f>IFERROR(IF(SMALL('Offene Vorgänge'!$J$8:$J$207,158)&gt;=1E+90,"",INDEX('Offene Vorgänge'!$E$8:$E$207,MATCH(SMALL('Offene Vorgänge'!$J$8:$J$207,158),'Offene Vorgänge'!$J$8:$J$207,0))),"")</x:f>
      </x:c>
      <x:c r="F165" s="50" t="str">
        <x:f>IFERROR(IF(SMALL('Offene Vorgänge'!$J$8:$J$207,158)&gt;=1E+90,"",INDEX('Offene Vorgänge'!$F$8:$F$207,MATCH(SMALL('Offene Vorgänge'!$J$8:$J$207,158),'Offene Vorgänge'!$J$8:$J$207,0))),"")</x:f>
      </x:c>
      <x:c r="G165" s="50" t="str">
        <x:f>IF($E165="","",IF($C165="","ohne Frist",IF($C165&lt;TODAY(),"überfällig","offen")))</x:f>
      </x:c>
      <x:c r="H165" s="44" t="str">
        <x:f>IFERROR(IF(SMALL('Offene Vorgänge'!$J$8:$J$207,158)&gt;=1E+90,"",INDEX('Offene Vorgänge'!$H$8:$H$207,MATCH(SMALL('Offene Vorgänge'!$J$8:$J$207,158),'Offene Vorgänge'!$J$8:$J$207,0))),"")</x:f>
      </x:c>
      <x:c r="I165" s="1"/>
      <x:c r="J165" s="1"/>
      <x:c r="K165" s="1"/>
      <x:c r="L165" s="1"/>
      <x:c r="M165" s="1"/>
      <x:c r="N165" s="1"/>
      <x:c r="O165" s="1"/>
      <x:c r="P165" s="1"/>
      <x:c r="Q165" s="1"/>
      <x:c r="R165" s="1"/>
      <x:c r="S165" s="1"/>
      <x:c r="T165" s="1"/>
    </x:row>
    <x:row r="166" ht="18" customHeight="1">
      <x:c r="A166" s="1"/>
      <x:c r="B166" s="47" t="str">
        <x:f>IF($E166="","",159)</x:f>
      </x:c>
      <x:c r="C166" s="49" t="str">
        <x:f>IFERROR(IF(SMALL('Offene Vorgänge'!$J$8:$J$207,159)&gt;=1E+90,"",INDEX('Offene Vorgänge'!$C$8:$C$207,MATCH(SMALL('Offene Vorgänge'!$J$8:$J$207,159),'Offene Vorgänge'!$J$8:$J$207,0))),"")</x:f>
      </x:c>
      <x:c r="D166" s="50" t="str">
        <x:f>IFERROR(IF(SMALL('Offene Vorgänge'!$J$8:$J$207,159)&gt;=1E+90,"",INDEX('Offene Vorgänge'!$D$8:$D$207,MATCH(SMALL('Offene Vorgänge'!$J$8:$J$207,159),'Offene Vorgänge'!$J$8:$J$207,0))),"")</x:f>
      </x:c>
      <x:c r="E166" s="44" t="str">
        <x:f>IFERROR(IF(SMALL('Offene Vorgänge'!$J$8:$J$207,159)&gt;=1E+90,"",INDEX('Offene Vorgänge'!$E$8:$E$207,MATCH(SMALL('Offene Vorgänge'!$J$8:$J$207,159),'Offene Vorgänge'!$J$8:$J$207,0))),"")</x:f>
      </x:c>
      <x:c r="F166" s="50" t="str">
        <x:f>IFERROR(IF(SMALL('Offene Vorgänge'!$J$8:$J$207,159)&gt;=1E+90,"",INDEX('Offene Vorgänge'!$F$8:$F$207,MATCH(SMALL('Offene Vorgänge'!$J$8:$J$207,159),'Offene Vorgänge'!$J$8:$J$207,0))),"")</x:f>
      </x:c>
      <x:c r="G166" s="50" t="str">
        <x:f>IF($E166="","",IF($C166="","ohne Frist",IF($C166&lt;TODAY(),"überfällig","offen")))</x:f>
      </x:c>
      <x:c r="H166" s="44" t="str">
        <x:f>IFERROR(IF(SMALL('Offene Vorgänge'!$J$8:$J$207,159)&gt;=1E+90,"",INDEX('Offene Vorgänge'!$H$8:$H$207,MATCH(SMALL('Offene Vorgänge'!$J$8:$J$207,159),'Offene Vorgänge'!$J$8:$J$207,0))),"")</x:f>
      </x:c>
      <x:c r="I166" s="1"/>
      <x:c r="J166" s="1"/>
      <x:c r="K166" s="1"/>
      <x:c r="L166" s="1"/>
      <x:c r="M166" s="1"/>
      <x:c r="N166" s="1"/>
      <x:c r="O166" s="1"/>
      <x:c r="P166" s="1"/>
      <x:c r="Q166" s="1"/>
      <x:c r="R166" s="1"/>
      <x:c r="S166" s="1"/>
      <x:c r="T166" s="1"/>
    </x:row>
    <x:row r="167" ht="18" customHeight="1">
      <x:c r="A167" s="1"/>
      <x:c r="B167" s="47" t="str">
        <x:f>IF($E167="","",160)</x:f>
      </x:c>
      <x:c r="C167" s="49" t="str">
        <x:f>IFERROR(IF(SMALL('Offene Vorgänge'!$J$8:$J$207,160)&gt;=1E+90,"",INDEX('Offene Vorgänge'!$C$8:$C$207,MATCH(SMALL('Offene Vorgänge'!$J$8:$J$207,160),'Offene Vorgänge'!$J$8:$J$207,0))),"")</x:f>
      </x:c>
      <x:c r="D167" s="50" t="str">
        <x:f>IFERROR(IF(SMALL('Offene Vorgänge'!$J$8:$J$207,160)&gt;=1E+90,"",INDEX('Offene Vorgänge'!$D$8:$D$207,MATCH(SMALL('Offene Vorgänge'!$J$8:$J$207,160),'Offene Vorgänge'!$J$8:$J$207,0))),"")</x:f>
      </x:c>
      <x:c r="E167" s="44" t="str">
        <x:f>IFERROR(IF(SMALL('Offene Vorgänge'!$J$8:$J$207,160)&gt;=1E+90,"",INDEX('Offene Vorgänge'!$E$8:$E$207,MATCH(SMALL('Offene Vorgänge'!$J$8:$J$207,160),'Offene Vorgänge'!$J$8:$J$207,0))),"")</x:f>
      </x:c>
      <x:c r="F167" s="50" t="str">
        <x:f>IFERROR(IF(SMALL('Offene Vorgänge'!$J$8:$J$207,160)&gt;=1E+90,"",INDEX('Offene Vorgänge'!$F$8:$F$207,MATCH(SMALL('Offene Vorgänge'!$J$8:$J$207,160),'Offene Vorgänge'!$J$8:$J$207,0))),"")</x:f>
      </x:c>
      <x:c r="G167" s="50" t="str">
        <x:f>IF($E167="","",IF($C167="","ohne Frist",IF($C167&lt;TODAY(),"überfällig","offen")))</x:f>
      </x:c>
      <x:c r="H167" s="44" t="str">
        <x:f>IFERROR(IF(SMALL('Offene Vorgänge'!$J$8:$J$207,160)&gt;=1E+90,"",INDEX('Offene Vorgänge'!$H$8:$H$207,MATCH(SMALL('Offene Vorgänge'!$J$8:$J$207,160),'Offene Vorgänge'!$J$8:$J$207,0))),"")</x:f>
      </x:c>
      <x:c r="I167" s="1"/>
      <x:c r="J167" s="1"/>
      <x:c r="K167" s="1"/>
      <x:c r="L167" s="1"/>
      <x:c r="M167" s="1"/>
      <x:c r="N167" s="1"/>
      <x:c r="O167" s="1"/>
      <x:c r="P167" s="1"/>
      <x:c r="Q167" s="1"/>
      <x:c r="R167" s="1"/>
      <x:c r="S167" s="1"/>
      <x:c r="T167" s="1"/>
    </x:row>
    <x:row r="168" ht="18" customHeight="1">
      <x:c r="A168" s="1"/>
      <x:c r="B168" s="47" t="str">
        <x:f>IF($E168="","",161)</x:f>
      </x:c>
      <x:c r="C168" s="49" t="str">
        <x:f>IFERROR(IF(SMALL('Offene Vorgänge'!$J$8:$J$207,161)&gt;=1E+90,"",INDEX('Offene Vorgänge'!$C$8:$C$207,MATCH(SMALL('Offene Vorgänge'!$J$8:$J$207,161),'Offene Vorgänge'!$J$8:$J$207,0))),"")</x:f>
      </x:c>
      <x:c r="D168" s="50" t="str">
        <x:f>IFERROR(IF(SMALL('Offene Vorgänge'!$J$8:$J$207,161)&gt;=1E+90,"",INDEX('Offene Vorgänge'!$D$8:$D$207,MATCH(SMALL('Offene Vorgänge'!$J$8:$J$207,161),'Offene Vorgänge'!$J$8:$J$207,0))),"")</x:f>
      </x:c>
      <x:c r="E168" s="44" t="str">
        <x:f>IFERROR(IF(SMALL('Offene Vorgänge'!$J$8:$J$207,161)&gt;=1E+90,"",INDEX('Offene Vorgänge'!$E$8:$E$207,MATCH(SMALL('Offene Vorgänge'!$J$8:$J$207,161),'Offene Vorgänge'!$J$8:$J$207,0))),"")</x:f>
      </x:c>
      <x:c r="F168" s="50" t="str">
        <x:f>IFERROR(IF(SMALL('Offene Vorgänge'!$J$8:$J$207,161)&gt;=1E+90,"",INDEX('Offene Vorgänge'!$F$8:$F$207,MATCH(SMALL('Offene Vorgänge'!$J$8:$J$207,161),'Offene Vorgänge'!$J$8:$J$207,0))),"")</x:f>
      </x:c>
      <x:c r="G168" s="50" t="str">
        <x:f>IF($E168="","",IF($C168="","ohne Frist",IF($C168&lt;TODAY(),"überfällig","offen")))</x:f>
      </x:c>
      <x:c r="H168" s="44" t="str">
        <x:f>IFERROR(IF(SMALL('Offene Vorgänge'!$J$8:$J$207,161)&gt;=1E+90,"",INDEX('Offene Vorgänge'!$H$8:$H$207,MATCH(SMALL('Offene Vorgänge'!$J$8:$J$207,161),'Offene Vorgänge'!$J$8:$J$207,0))),"")</x:f>
      </x:c>
      <x:c r="I168" s="1"/>
      <x:c r="J168" s="1"/>
      <x:c r="K168" s="1"/>
      <x:c r="L168" s="1"/>
      <x:c r="M168" s="1"/>
      <x:c r="N168" s="1"/>
      <x:c r="O168" s="1"/>
      <x:c r="P168" s="1"/>
      <x:c r="Q168" s="1"/>
      <x:c r="R168" s="1"/>
      <x:c r="S168" s="1"/>
      <x:c r="T168" s="1"/>
    </x:row>
    <x:row r="169" ht="18" customHeight="1">
      <x:c r="A169" s="1"/>
      <x:c r="B169" s="47" t="str">
        <x:f>IF($E169="","",162)</x:f>
      </x:c>
      <x:c r="C169" s="49" t="str">
        <x:f>IFERROR(IF(SMALL('Offene Vorgänge'!$J$8:$J$207,162)&gt;=1E+90,"",INDEX('Offene Vorgänge'!$C$8:$C$207,MATCH(SMALL('Offene Vorgänge'!$J$8:$J$207,162),'Offene Vorgänge'!$J$8:$J$207,0))),"")</x:f>
      </x:c>
      <x:c r="D169" s="50" t="str">
        <x:f>IFERROR(IF(SMALL('Offene Vorgänge'!$J$8:$J$207,162)&gt;=1E+90,"",INDEX('Offene Vorgänge'!$D$8:$D$207,MATCH(SMALL('Offene Vorgänge'!$J$8:$J$207,162),'Offene Vorgänge'!$J$8:$J$207,0))),"")</x:f>
      </x:c>
      <x:c r="E169" s="44" t="str">
        <x:f>IFERROR(IF(SMALL('Offene Vorgänge'!$J$8:$J$207,162)&gt;=1E+90,"",INDEX('Offene Vorgänge'!$E$8:$E$207,MATCH(SMALL('Offene Vorgänge'!$J$8:$J$207,162),'Offene Vorgänge'!$J$8:$J$207,0))),"")</x:f>
      </x:c>
      <x:c r="F169" s="50" t="str">
        <x:f>IFERROR(IF(SMALL('Offene Vorgänge'!$J$8:$J$207,162)&gt;=1E+90,"",INDEX('Offene Vorgänge'!$F$8:$F$207,MATCH(SMALL('Offene Vorgänge'!$J$8:$J$207,162),'Offene Vorgänge'!$J$8:$J$207,0))),"")</x:f>
      </x:c>
      <x:c r="G169" s="50" t="str">
        <x:f>IF($E169="","",IF($C169="","ohne Frist",IF($C169&lt;TODAY(),"überfällig","offen")))</x:f>
      </x:c>
      <x:c r="H169" s="44" t="str">
        <x:f>IFERROR(IF(SMALL('Offene Vorgänge'!$J$8:$J$207,162)&gt;=1E+90,"",INDEX('Offene Vorgänge'!$H$8:$H$207,MATCH(SMALL('Offene Vorgänge'!$J$8:$J$207,162),'Offene Vorgänge'!$J$8:$J$207,0))),"")</x:f>
      </x:c>
      <x:c r="I169" s="1"/>
      <x:c r="J169" s="1"/>
      <x:c r="K169" s="1"/>
      <x:c r="L169" s="1"/>
      <x:c r="M169" s="1"/>
      <x:c r="N169" s="1"/>
      <x:c r="O169" s="1"/>
      <x:c r="P169" s="1"/>
      <x:c r="Q169" s="1"/>
      <x:c r="R169" s="1"/>
      <x:c r="S169" s="1"/>
      <x:c r="T169" s="1"/>
    </x:row>
    <x:row r="170" ht="18" customHeight="1">
      <x:c r="A170" s="1"/>
      <x:c r="B170" s="47" t="str">
        <x:f>IF($E170="","",163)</x:f>
      </x:c>
      <x:c r="C170" s="49" t="str">
        <x:f>IFERROR(IF(SMALL('Offene Vorgänge'!$J$8:$J$207,163)&gt;=1E+90,"",INDEX('Offene Vorgänge'!$C$8:$C$207,MATCH(SMALL('Offene Vorgänge'!$J$8:$J$207,163),'Offene Vorgänge'!$J$8:$J$207,0))),"")</x:f>
      </x:c>
      <x:c r="D170" s="50" t="str">
        <x:f>IFERROR(IF(SMALL('Offene Vorgänge'!$J$8:$J$207,163)&gt;=1E+90,"",INDEX('Offene Vorgänge'!$D$8:$D$207,MATCH(SMALL('Offene Vorgänge'!$J$8:$J$207,163),'Offene Vorgänge'!$J$8:$J$207,0))),"")</x:f>
      </x:c>
      <x:c r="E170" s="44" t="str">
        <x:f>IFERROR(IF(SMALL('Offene Vorgänge'!$J$8:$J$207,163)&gt;=1E+90,"",INDEX('Offene Vorgänge'!$E$8:$E$207,MATCH(SMALL('Offene Vorgänge'!$J$8:$J$207,163),'Offene Vorgänge'!$J$8:$J$207,0))),"")</x:f>
      </x:c>
      <x:c r="F170" s="50" t="str">
        <x:f>IFERROR(IF(SMALL('Offene Vorgänge'!$J$8:$J$207,163)&gt;=1E+90,"",INDEX('Offene Vorgänge'!$F$8:$F$207,MATCH(SMALL('Offene Vorgänge'!$J$8:$J$207,163),'Offene Vorgänge'!$J$8:$J$207,0))),"")</x:f>
      </x:c>
      <x:c r="G170" s="50" t="str">
        <x:f>IF($E170="","",IF($C170="","ohne Frist",IF($C170&lt;TODAY(),"überfällig","offen")))</x:f>
      </x:c>
      <x:c r="H170" s="44" t="str">
        <x:f>IFERROR(IF(SMALL('Offene Vorgänge'!$J$8:$J$207,163)&gt;=1E+90,"",INDEX('Offene Vorgänge'!$H$8:$H$207,MATCH(SMALL('Offene Vorgänge'!$J$8:$J$207,163),'Offene Vorgänge'!$J$8:$J$207,0))),"")</x:f>
      </x:c>
      <x:c r="I170" s="1"/>
      <x:c r="J170" s="1"/>
      <x:c r="K170" s="1"/>
      <x:c r="L170" s="1"/>
      <x:c r="M170" s="1"/>
      <x:c r="N170" s="1"/>
      <x:c r="O170" s="1"/>
      <x:c r="P170" s="1"/>
      <x:c r="Q170" s="1"/>
      <x:c r="R170" s="1"/>
      <x:c r="S170" s="1"/>
      <x:c r="T170" s="1"/>
    </x:row>
    <x:row r="171" ht="18" customHeight="1">
      <x:c r="A171" s="1"/>
      <x:c r="B171" s="47" t="str">
        <x:f>IF($E171="","",164)</x:f>
      </x:c>
      <x:c r="C171" s="49" t="str">
        <x:f>IFERROR(IF(SMALL('Offene Vorgänge'!$J$8:$J$207,164)&gt;=1E+90,"",INDEX('Offene Vorgänge'!$C$8:$C$207,MATCH(SMALL('Offene Vorgänge'!$J$8:$J$207,164),'Offene Vorgänge'!$J$8:$J$207,0))),"")</x:f>
      </x:c>
      <x:c r="D171" s="50" t="str">
        <x:f>IFERROR(IF(SMALL('Offene Vorgänge'!$J$8:$J$207,164)&gt;=1E+90,"",INDEX('Offene Vorgänge'!$D$8:$D$207,MATCH(SMALL('Offene Vorgänge'!$J$8:$J$207,164),'Offene Vorgänge'!$J$8:$J$207,0))),"")</x:f>
      </x:c>
      <x:c r="E171" s="44" t="str">
        <x:f>IFERROR(IF(SMALL('Offene Vorgänge'!$J$8:$J$207,164)&gt;=1E+90,"",INDEX('Offene Vorgänge'!$E$8:$E$207,MATCH(SMALL('Offene Vorgänge'!$J$8:$J$207,164),'Offene Vorgänge'!$J$8:$J$207,0))),"")</x:f>
      </x:c>
      <x:c r="F171" s="50" t="str">
        <x:f>IFERROR(IF(SMALL('Offene Vorgänge'!$J$8:$J$207,164)&gt;=1E+90,"",INDEX('Offene Vorgänge'!$F$8:$F$207,MATCH(SMALL('Offene Vorgänge'!$J$8:$J$207,164),'Offene Vorgänge'!$J$8:$J$207,0))),"")</x:f>
      </x:c>
      <x:c r="G171" s="50" t="str">
        <x:f>IF($E171="","",IF($C171="","ohne Frist",IF($C171&lt;TODAY(),"überfällig","offen")))</x:f>
      </x:c>
      <x:c r="H171" s="44" t="str">
        <x:f>IFERROR(IF(SMALL('Offene Vorgänge'!$J$8:$J$207,164)&gt;=1E+90,"",INDEX('Offene Vorgänge'!$H$8:$H$207,MATCH(SMALL('Offene Vorgänge'!$J$8:$J$207,164),'Offene Vorgänge'!$J$8:$J$207,0))),"")</x:f>
      </x:c>
      <x:c r="I171" s="1"/>
      <x:c r="J171" s="1"/>
      <x:c r="K171" s="1"/>
      <x:c r="L171" s="1"/>
      <x:c r="M171" s="1"/>
      <x:c r="N171" s="1"/>
      <x:c r="O171" s="1"/>
      <x:c r="P171" s="1"/>
      <x:c r="Q171" s="1"/>
      <x:c r="R171" s="1"/>
      <x:c r="S171" s="1"/>
      <x:c r="T171" s="1"/>
    </x:row>
    <x:row r="172" ht="18" customHeight="1">
      <x:c r="A172" s="1"/>
      <x:c r="B172" s="47" t="str">
        <x:f>IF($E172="","",165)</x:f>
      </x:c>
      <x:c r="C172" s="49" t="str">
        <x:f>IFERROR(IF(SMALL('Offene Vorgänge'!$J$8:$J$207,165)&gt;=1E+90,"",INDEX('Offene Vorgänge'!$C$8:$C$207,MATCH(SMALL('Offene Vorgänge'!$J$8:$J$207,165),'Offene Vorgänge'!$J$8:$J$207,0))),"")</x:f>
      </x:c>
      <x:c r="D172" s="50" t="str">
        <x:f>IFERROR(IF(SMALL('Offene Vorgänge'!$J$8:$J$207,165)&gt;=1E+90,"",INDEX('Offene Vorgänge'!$D$8:$D$207,MATCH(SMALL('Offene Vorgänge'!$J$8:$J$207,165),'Offene Vorgänge'!$J$8:$J$207,0))),"")</x:f>
      </x:c>
      <x:c r="E172" s="44" t="str">
        <x:f>IFERROR(IF(SMALL('Offene Vorgänge'!$J$8:$J$207,165)&gt;=1E+90,"",INDEX('Offene Vorgänge'!$E$8:$E$207,MATCH(SMALL('Offene Vorgänge'!$J$8:$J$207,165),'Offene Vorgänge'!$J$8:$J$207,0))),"")</x:f>
      </x:c>
      <x:c r="F172" s="50" t="str">
        <x:f>IFERROR(IF(SMALL('Offene Vorgänge'!$J$8:$J$207,165)&gt;=1E+90,"",INDEX('Offene Vorgänge'!$F$8:$F$207,MATCH(SMALL('Offene Vorgänge'!$J$8:$J$207,165),'Offene Vorgänge'!$J$8:$J$207,0))),"")</x:f>
      </x:c>
      <x:c r="G172" s="50" t="str">
        <x:f>IF($E172="","",IF($C172="","ohne Frist",IF($C172&lt;TODAY(),"überfällig","offen")))</x:f>
      </x:c>
      <x:c r="H172" s="44" t="str">
        <x:f>IFERROR(IF(SMALL('Offene Vorgänge'!$J$8:$J$207,165)&gt;=1E+90,"",INDEX('Offene Vorgänge'!$H$8:$H$207,MATCH(SMALL('Offene Vorgänge'!$J$8:$J$207,165),'Offene Vorgänge'!$J$8:$J$207,0))),"")</x:f>
      </x:c>
      <x:c r="I172" s="1"/>
      <x:c r="J172" s="1"/>
      <x:c r="K172" s="1"/>
      <x:c r="L172" s="1"/>
      <x:c r="M172" s="1"/>
      <x:c r="N172" s="1"/>
      <x:c r="O172" s="1"/>
      <x:c r="P172" s="1"/>
      <x:c r="Q172" s="1"/>
      <x:c r="R172" s="1"/>
      <x:c r="S172" s="1"/>
      <x:c r="T172" s="1"/>
    </x:row>
    <x:row r="173" ht="18" customHeight="1">
      <x:c r="A173" s="1"/>
      <x:c r="B173" s="47" t="str">
        <x:f>IF($E173="","",166)</x:f>
      </x:c>
      <x:c r="C173" s="49" t="str">
        <x:f>IFERROR(IF(SMALL('Offene Vorgänge'!$J$8:$J$207,166)&gt;=1E+90,"",INDEX('Offene Vorgänge'!$C$8:$C$207,MATCH(SMALL('Offene Vorgänge'!$J$8:$J$207,166),'Offene Vorgänge'!$J$8:$J$207,0))),"")</x:f>
      </x:c>
      <x:c r="D173" s="50" t="str">
        <x:f>IFERROR(IF(SMALL('Offene Vorgänge'!$J$8:$J$207,166)&gt;=1E+90,"",INDEX('Offene Vorgänge'!$D$8:$D$207,MATCH(SMALL('Offene Vorgänge'!$J$8:$J$207,166),'Offene Vorgänge'!$J$8:$J$207,0))),"")</x:f>
      </x:c>
      <x:c r="E173" s="44" t="str">
        <x:f>IFERROR(IF(SMALL('Offene Vorgänge'!$J$8:$J$207,166)&gt;=1E+90,"",INDEX('Offene Vorgänge'!$E$8:$E$207,MATCH(SMALL('Offene Vorgänge'!$J$8:$J$207,166),'Offene Vorgänge'!$J$8:$J$207,0))),"")</x:f>
      </x:c>
      <x:c r="F173" s="50" t="str">
        <x:f>IFERROR(IF(SMALL('Offene Vorgänge'!$J$8:$J$207,166)&gt;=1E+90,"",INDEX('Offene Vorgänge'!$F$8:$F$207,MATCH(SMALL('Offene Vorgänge'!$J$8:$J$207,166),'Offene Vorgänge'!$J$8:$J$207,0))),"")</x:f>
      </x:c>
      <x:c r="G173" s="50" t="str">
        <x:f>IF($E173="","",IF($C173="","ohne Frist",IF($C173&lt;TODAY(),"überfällig","offen")))</x:f>
      </x:c>
      <x:c r="H173" s="44" t="str">
        <x:f>IFERROR(IF(SMALL('Offene Vorgänge'!$J$8:$J$207,166)&gt;=1E+90,"",INDEX('Offene Vorgänge'!$H$8:$H$207,MATCH(SMALL('Offene Vorgänge'!$J$8:$J$207,166),'Offene Vorgänge'!$J$8:$J$207,0))),"")</x:f>
      </x:c>
      <x:c r="I173" s="1"/>
      <x:c r="J173" s="1"/>
      <x:c r="K173" s="1"/>
      <x:c r="L173" s="1"/>
      <x:c r="M173" s="1"/>
      <x:c r="N173" s="1"/>
      <x:c r="O173" s="1"/>
      <x:c r="P173" s="1"/>
      <x:c r="Q173" s="1"/>
      <x:c r="R173" s="1"/>
      <x:c r="S173" s="1"/>
      <x:c r="T173" s="1"/>
    </x:row>
    <x:row r="174" ht="18" customHeight="1">
      <x:c r="A174" s="1"/>
      <x:c r="B174" s="47" t="str">
        <x:f>IF($E174="","",167)</x:f>
      </x:c>
      <x:c r="C174" s="49" t="str">
        <x:f>IFERROR(IF(SMALL('Offene Vorgänge'!$J$8:$J$207,167)&gt;=1E+90,"",INDEX('Offene Vorgänge'!$C$8:$C$207,MATCH(SMALL('Offene Vorgänge'!$J$8:$J$207,167),'Offene Vorgänge'!$J$8:$J$207,0))),"")</x:f>
      </x:c>
      <x:c r="D174" s="50" t="str">
        <x:f>IFERROR(IF(SMALL('Offene Vorgänge'!$J$8:$J$207,167)&gt;=1E+90,"",INDEX('Offene Vorgänge'!$D$8:$D$207,MATCH(SMALL('Offene Vorgänge'!$J$8:$J$207,167),'Offene Vorgänge'!$J$8:$J$207,0))),"")</x:f>
      </x:c>
      <x:c r="E174" s="44" t="str">
        <x:f>IFERROR(IF(SMALL('Offene Vorgänge'!$J$8:$J$207,167)&gt;=1E+90,"",INDEX('Offene Vorgänge'!$E$8:$E$207,MATCH(SMALL('Offene Vorgänge'!$J$8:$J$207,167),'Offene Vorgänge'!$J$8:$J$207,0))),"")</x:f>
      </x:c>
      <x:c r="F174" s="50" t="str">
        <x:f>IFERROR(IF(SMALL('Offene Vorgänge'!$J$8:$J$207,167)&gt;=1E+90,"",INDEX('Offene Vorgänge'!$F$8:$F$207,MATCH(SMALL('Offene Vorgänge'!$J$8:$J$207,167),'Offene Vorgänge'!$J$8:$J$207,0))),"")</x:f>
      </x:c>
      <x:c r="G174" s="50" t="str">
        <x:f>IF($E174="","",IF($C174="","ohne Frist",IF($C174&lt;TODAY(),"überfällig","offen")))</x:f>
      </x:c>
      <x:c r="H174" s="44" t="str">
        <x:f>IFERROR(IF(SMALL('Offene Vorgänge'!$J$8:$J$207,167)&gt;=1E+90,"",INDEX('Offene Vorgänge'!$H$8:$H$207,MATCH(SMALL('Offene Vorgänge'!$J$8:$J$207,167),'Offene Vorgänge'!$J$8:$J$207,0))),"")</x:f>
      </x:c>
      <x:c r="I174" s="1"/>
      <x:c r="J174" s="1"/>
      <x:c r="K174" s="1"/>
      <x:c r="L174" s="1"/>
      <x:c r="M174" s="1"/>
      <x:c r="N174" s="1"/>
      <x:c r="O174" s="1"/>
      <x:c r="P174" s="1"/>
      <x:c r="Q174" s="1"/>
      <x:c r="R174" s="1"/>
      <x:c r="S174" s="1"/>
      <x:c r="T174" s="1"/>
    </x:row>
    <x:row r="175" ht="18" customHeight="1">
      <x:c r="A175" s="1"/>
      <x:c r="B175" s="47" t="str">
        <x:f>IF($E175="","",168)</x:f>
      </x:c>
      <x:c r="C175" s="49" t="str">
        <x:f>IFERROR(IF(SMALL('Offene Vorgänge'!$J$8:$J$207,168)&gt;=1E+90,"",INDEX('Offene Vorgänge'!$C$8:$C$207,MATCH(SMALL('Offene Vorgänge'!$J$8:$J$207,168),'Offene Vorgänge'!$J$8:$J$207,0))),"")</x:f>
      </x:c>
      <x:c r="D175" s="50" t="str">
        <x:f>IFERROR(IF(SMALL('Offene Vorgänge'!$J$8:$J$207,168)&gt;=1E+90,"",INDEX('Offene Vorgänge'!$D$8:$D$207,MATCH(SMALL('Offene Vorgänge'!$J$8:$J$207,168),'Offene Vorgänge'!$J$8:$J$207,0))),"")</x:f>
      </x:c>
      <x:c r="E175" s="44" t="str">
        <x:f>IFERROR(IF(SMALL('Offene Vorgänge'!$J$8:$J$207,168)&gt;=1E+90,"",INDEX('Offene Vorgänge'!$E$8:$E$207,MATCH(SMALL('Offene Vorgänge'!$J$8:$J$207,168),'Offene Vorgänge'!$J$8:$J$207,0))),"")</x:f>
      </x:c>
      <x:c r="F175" s="50" t="str">
        <x:f>IFERROR(IF(SMALL('Offene Vorgänge'!$J$8:$J$207,168)&gt;=1E+90,"",INDEX('Offene Vorgänge'!$F$8:$F$207,MATCH(SMALL('Offene Vorgänge'!$J$8:$J$207,168),'Offene Vorgänge'!$J$8:$J$207,0))),"")</x:f>
      </x:c>
      <x:c r="G175" s="50" t="str">
        <x:f>IF($E175="","",IF($C175="","ohne Frist",IF($C175&lt;TODAY(),"überfällig","offen")))</x:f>
      </x:c>
      <x:c r="H175" s="44" t="str">
        <x:f>IFERROR(IF(SMALL('Offene Vorgänge'!$J$8:$J$207,168)&gt;=1E+90,"",INDEX('Offene Vorgänge'!$H$8:$H$207,MATCH(SMALL('Offene Vorgänge'!$J$8:$J$207,168),'Offene Vorgänge'!$J$8:$J$207,0))),"")</x:f>
      </x:c>
      <x:c r="I175" s="1"/>
      <x:c r="J175" s="1"/>
      <x:c r="K175" s="1"/>
      <x:c r="L175" s="1"/>
      <x:c r="M175" s="1"/>
      <x:c r="N175" s="1"/>
      <x:c r="O175" s="1"/>
      <x:c r="P175" s="1"/>
      <x:c r="Q175" s="1"/>
      <x:c r="R175" s="1"/>
      <x:c r="S175" s="1"/>
      <x:c r="T175" s="1"/>
    </x:row>
    <x:row r="176" ht="18" customHeight="1">
      <x:c r="A176" s="1"/>
      <x:c r="B176" s="47" t="str">
        <x:f>IF($E176="","",169)</x:f>
      </x:c>
      <x:c r="C176" s="49" t="str">
        <x:f>IFERROR(IF(SMALL('Offene Vorgänge'!$J$8:$J$207,169)&gt;=1E+90,"",INDEX('Offene Vorgänge'!$C$8:$C$207,MATCH(SMALL('Offene Vorgänge'!$J$8:$J$207,169),'Offene Vorgänge'!$J$8:$J$207,0))),"")</x:f>
      </x:c>
      <x:c r="D176" s="50" t="str">
        <x:f>IFERROR(IF(SMALL('Offene Vorgänge'!$J$8:$J$207,169)&gt;=1E+90,"",INDEX('Offene Vorgänge'!$D$8:$D$207,MATCH(SMALL('Offene Vorgänge'!$J$8:$J$207,169),'Offene Vorgänge'!$J$8:$J$207,0))),"")</x:f>
      </x:c>
      <x:c r="E176" s="44" t="str">
        <x:f>IFERROR(IF(SMALL('Offene Vorgänge'!$J$8:$J$207,169)&gt;=1E+90,"",INDEX('Offene Vorgänge'!$E$8:$E$207,MATCH(SMALL('Offene Vorgänge'!$J$8:$J$207,169),'Offene Vorgänge'!$J$8:$J$207,0))),"")</x:f>
      </x:c>
      <x:c r="F176" s="50" t="str">
        <x:f>IFERROR(IF(SMALL('Offene Vorgänge'!$J$8:$J$207,169)&gt;=1E+90,"",INDEX('Offene Vorgänge'!$F$8:$F$207,MATCH(SMALL('Offene Vorgänge'!$J$8:$J$207,169),'Offene Vorgänge'!$J$8:$J$207,0))),"")</x:f>
      </x:c>
      <x:c r="G176" s="50" t="str">
        <x:f>IF($E176="","",IF($C176="","ohne Frist",IF($C176&lt;TODAY(),"überfällig","offen")))</x:f>
      </x:c>
      <x:c r="H176" s="44" t="str">
        <x:f>IFERROR(IF(SMALL('Offene Vorgänge'!$J$8:$J$207,169)&gt;=1E+90,"",INDEX('Offene Vorgänge'!$H$8:$H$207,MATCH(SMALL('Offene Vorgänge'!$J$8:$J$207,169),'Offene Vorgänge'!$J$8:$J$207,0))),"")</x:f>
      </x:c>
      <x:c r="I176" s="1"/>
      <x:c r="J176" s="1"/>
      <x:c r="K176" s="1"/>
      <x:c r="L176" s="1"/>
      <x:c r="M176" s="1"/>
      <x:c r="N176" s="1"/>
      <x:c r="O176" s="1"/>
      <x:c r="P176" s="1"/>
      <x:c r="Q176" s="1"/>
      <x:c r="R176" s="1"/>
      <x:c r="S176" s="1"/>
      <x:c r="T176" s="1"/>
    </x:row>
    <x:row r="177" ht="18" customHeight="1">
      <x:c r="A177" s="1"/>
      <x:c r="B177" s="47" t="str">
        <x:f>IF($E177="","",170)</x:f>
      </x:c>
      <x:c r="C177" s="49" t="str">
        <x:f>IFERROR(IF(SMALL('Offene Vorgänge'!$J$8:$J$207,170)&gt;=1E+90,"",INDEX('Offene Vorgänge'!$C$8:$C$207,MATCH(SMALL('Offene Vorgänge'!$J$8:$J$207,170),'Offene Vorgänge'!$J$8:$J$207,0))),"")</x:f>
      </x:c>
      <x:c r="D177" s="50" t="str">
        <x:f>IFERROR(IF(SMALL('Offene Vorgänge'!$J$8:$J$207,170)&gt;=1E+90,"",INDEX('Offene Vorgänge'!$D$8:$D$207,MATCH(SMALL('Offene Vorgänge'!$J$8:$J$207,170),'Offene Vorgänge'!$J$8:$J$207,0))),"")</x:f>
      </x:c>
      <x:c r="E177" s="44" t="str">
        <x:f>IFERROR(IF(SMALL('Offene Vorgänge'!$J$8:$J$207,170)&gt;=1E+90,"",INDEX('Offene Vorgänge'!$E$8:$E$207,MATCH(SMALL('Offene Vorgänge'!$J$8:$J$207,170),'Offene Vorgänge'!$J$8:$J$207,0))),"")</x:f>
      </x:c>
      <x:c r="F177" s="50" t="str">
        <x:f>IFERROR(IF(SMALL('Offene Vorgänge'!$J$8:$J$207,170)&gt;=1E+90,"",INDEX('Offene Vorgänge'!$F$8:$F$207,MATCH(SMALL('Offene Vorgänge'!$J$8:$J$207,170),'Offene Vorgänge'!$J$8:$J$207,0))),"")</x:f>
      </x:c>
      <x:c r="G177" s="50" t="str">
        <x:f>IF($E177="","",IF($C177="","ohne Frist",IF($C177&lt;TODAY(),"überfällig","offen")))</x:f>
      </x:c>
      <x:c r="H177" s="44" t="str">
        <x:f>IFERROR(IF(SMALL('Offene Vorgänge'!$J$8:$J$207,170)&gt;=1E+90,"",INDEX('Offene Vorgänge'!$H$8:$H$207,MATCH(SMALL('Offene Vorgänge'!$J$8:$J$207,170),'Offene Vorgänge'!$J$8:$J$207,0))),"")</x:f>
      </x:c>
      <x:c r="I177" s="1"/>
      <x:c r="J177" s="1"/>
      <x:c r="K177" s="1"/>
      <x:c r="L177" s="1"/>
      <x:c r="M177" s="1"/>
      <x:c r="N177" s="1"/>
      <x:c r="O177" s="1"/>
      <x:c r="P177" s="1"/>
      <x:c r="Q177" s="1"/>
      <x:c r="R177" s="1"/>
      <x:c r="S177" s="1"/>
      <x:c r="T177" s="1"/>
    </x:row>
    <x:row r="178" ht="18" customHeight="1">
      <x:c r="A178" s="1"/>
      <x:c r="B178" s="47" t="str">
        <x:f>IF($E178="","",171)</x:f>
      </x:c>
      <x:c r="C178" s="49" t="str">
        <x:f>IFERROR(IF(SMALL('Offene Vorgänge'!$J$8:$J$207,171)&gt;=1E+90,"",INDEX('Offene Vorgänge'!$C$8:$C$207,MATCH(SMALL('Offene Vorgänge'!$J$8:$J$207,171),'Offene Vorgänge'!$J$8:$J$207,0))),"")</x:f>
      </x:c>
      <x:c r="D178" s="50" t="str">
        <x:f>IFERROR(IF(SMALL('Offene Vorgänge'!$J$8:$J$207,171)&gt;=1E+90,"",INDEX('Offene Vorgänge'!$D$8:$D$207,MATCH(SMALL('Offene Vorgänge'!$J$8:$J$207,171),'Offene Vorgänge'!$J$8:$J$207,0))),"")</x:f>
      </x:c>
      <x:c r="E178" s="44" t="str">
        <x:f>IFERROR(IF(SMALL('Offene Vorgänge'!$J$8:$J$207,171)&gt;=1E+90,"",INDEX('Offene Vorgänge'!$E$8:$E$207,MATCH(SMALL('Offene Vorgänge'!$J$8:$J$207,171),'Offene Vorgänge'!$J$8:$J$207,0))),"")</x:f>
      </x:c>
      <x:c r="F178" s="50" t="str">
        <x:f>IFERROR(IF(SMALL('Offene Vorgänge'!$J$8:$J$207,171)&gt;=1E+90,"",INDEX('Offene Vorgänge'!$F$8:$F$207,MATCH(SMALL('Offene Vorgänge'!$J$8:$J$207,171),'Offene Vorgänge'!$J$8:$J$207,0))),"")</x:f>
      </x:c>
      <x:c r="G178" s="50" t="str">
        <x:f>IF($E178="","",IF($C178="","ohne Frist",IF($C178&lt;TODAY(),"überfällig","offen")))</x:f>
      </x:c>
      <x:c r="H178" s="44" t="str">
        <x:f>IFERROR(IF(SMALL('Offene Vorgänge'!$J$8:$J$207,171)&gt;=1E+90,"",INDEX('Offene Vorgänge'!$H$8:$H$207,MATCH(SMALL('Offene Vorgänge'!$J$8:$J$207,171),'Offene Vorgänge'!$J$8:$J$207,0))),"")</x:f>
      </x:c>
      <x:c r="I178" s="1"/>
      <x:c r="J178" s="1"/>
      <x:c r="K178" s="1"/>
      <x:c r="L178" s="1"/>
      <x:c r="M178" s="1"/>
      <x:c r="N178" s="1"/>
      <x:c r="O178" s="1"/>
      <x:c r="P178" s="1"/>
      <x:c r="Q178" s="1"/>
      <x:c r="R178" s="1"/>
      <x:c r="S178" s="1"/>
      <x:c r="T178" s="1"/>
    </x:row>
    <x:row r="179" ht="18" customHeight="1">
      <x:c r="A179" s="1"/>
      <x:c r="B179" s="47" t="str">
        <x:f>IF($E179="","",172)</x:f>
      </x:c>
      <x:c r="C179" s="49" t="str">
        <x:f>IFERROR(IF(SMALL('Offene Vorgänge'!$J$8:$J$207,172)&gt;=1E+90,"",INDEX('Offene Vorgänge'!$C$8:$C$207,MATCH(SMALL('Offene Vorgänge'!$J$8:$J$207,172),'Offene Vorgänge'!$J$8:$J$207,0))),"")</x:f>
      </x:c>
      <x:c r="D179" s="50" t="str">
        <x:f>IFERROR(IF(SMALL('Offene Vorgänge'!$J$8:$J$207,172)&gt;=1E+90,"",INDEX('Offene Vorgänge'!$D$8:$D$207,MATCH(SMALL('Offene Vorgänge'!$J$8:$J$207,172),'Offene Vorgänge'!$J$8:$J$207,0))),"")</x:f>
      </x:c>
      <x:c r="E179" s="44" t="str">
        <x:f>IFERROR(IF(SMALL('Offene Vorgänge'!$J$8:$J$207,172)&gt;=1E+90,"",INDEX('Offene Vorgänge'!$E$8:$E$207,MATCH(SMALL('Offene Vorgänge'!$J$8:$J$207,172),'Offene Vorgänge'!$J$8:$J$207,0))),"")</x:f>
      </x:c>
      <x:c r="F179" s="50" t="str">
        <x:f>IFERROR(IF(SMALL('Offene Vorgänge'!$J$8:$J$207,172)&gt;=1E+90,"",INDEX('Offene Vorgänge'!$F$8:$F$207,MATCH(SMALL('Offene Vorgänge'!$J$8:$J$207,172),'Offene Vorgänge'!$J$8:$J$207,0))),"")</x:f>
      </x:c>
      <x:c r="G179" s="50" t="str">
        <x:f>IF($E179="","",IF($C179="","ohne Frist",IF($C179&lt;TODAY(),"überfällig","offen")))</x:f>
      </x:c>
      <x:c r="H179" s="44" t="str">
        <x:f>IFERROR(IF(SMALL('Offene Vorgänge'!$J$8:$J$207,172)&gt;=1E+90,"",INDEX('Offene Vorgänge'!$H$8:$H$207,MATCH(SMALL('Offene Vorgänge'!$J$8:$J$207,172),'Offene Vorgänge'!$J$8:$J$207,0))),"")</x:f>
      </x:c>
      <x:c r="I179" s="1"/>
      <x:c r="J179" s="1"/>
      <x:c r="K179" s="1"/>
      <x:c r="L179" s="1"/>
      <x:c r="M179" s="1"/>
      <x:c r="N179" s="1"/>
      <x:c r="O179" s="1"/>
      <x:c r="P179" s="1"/>
      <x:c r="Q179" s="1"/>
      <x:c r="R179" s="1"/>
      <x:c r="S179" s="1"/>
      <x:c r="T179" s="1"/>
    </x:row>
    <x:row r="180" ht="18" customHeight="1">
      <x:c r="A180" s="1"/>
      <x:c r="B180" s="47" t="str">
        <x:f>IF($E180="","",173)</x:f>
      </x:c>
      <x:c r="C180" s="49" t="str">
        <x:f>IFERROR(IF(SMALL('Offene Vorgänge'!$J$8:$J$207,173)&gt;=1E+90,"",INDEX('Offene Vorgänge'!$C$8:$C$207,MATCH(SMALL('Offene Vorgänge'!$J$8:$J$207,173),'Offene Vorgänge'!$J$8:$J$207,0))),"")</x:f>
      </x:c>
      <x:c r="D180" s="50" t="str">
        <x:f>IFERROR(IF(SMALL('Offene Vorgänge'!$J$8:$J$207,173)&gt;=1E+90,"",INDEX('Offene Vorgänge'!$D$8:$D$207,MATCH(SMALL('Offene Vorgänge'!$J$8:$J$207,173),'Offene Vorgänge'!$J$8:$J$207,0))),"")</x:f>
      </x:c>
      <x:c r="E180" s="44" t="str">
        <x:f>IFERROR(IF(SMALL('Offene Vorgänge'!$J$8:$J$207,173)&gt;=1E+90,"",INDEX('Offene Vorgänge'!$E$8:$E$207,MATCH(SMALL('Offene Vorgänge'!$J$8:$J$207,173),'Offene Vorgänge'!$J$8:$J$207,0))),"")</x:f>
      </x:c>
      <x:c r="F180" s="50" t="str">
        <x:f>IFERROR(IF(SMALL('Offene Vorgänge'!$J$8:$J$207,173)&gt;=1E+90,"",INDEX('Offene Vorgänge'!$F$8:$F$207,MATCH(SMALL('Offene Vorgänge'!$J$8:$J$207,173),'Offene Vorgänge'!$J$8:$J$207,0))),"")</x:f>
      </x:c>
      <x:c r="G180" s="50" t="str">
        <x:f>IF($E180="","",IF($C180="","ohne Frist",IF($C180&lt;TODAY(),"überfällig","offen")))</x:f>
      </x:c>
      <x:c r="H180" s="44" t="str">
        <x:f>IFERROR(IF(SMALL('Offene Vorgänge'!$J$8:$J$207,173)&gt;=1E+90,"",INDEX('Offene Vorgänge'!$H$8:$H$207,MATCH(SMALL('Offene Vorgänge'!$J$8:$J$207,173),'Offene Vorgänge'!$J$8:$J$207,0))),"")</x:f>
      </x:c>
      <x:c r="I180" s="1"/>
      <x:c r="J180" s="1"/>
      <x:c r="K180" s="1"/>
      <x:c r="L180" s="1"/>
      <x:c r="M180" s="1"/>
      <x:c r="N180" s="1"/>
      <x:c r="O180" s="1"/>
      <x:c r="P180" s="1"/>
      <x:c r="Q180" s="1"/>
      <x:c r="R180" s="1"/>
      <x:c r="S180" s="1"/>
      <x:c r="T180" s="1"/>
    </x:row>
    <x:row r="181" ht="18" customHeight="1">
      <x:c r="A181" s="1"/>
      <x:c r="B181" s="47" t="str">
        <x:f>IF($E181="","",174)</x:f>
      </x:c>
      <x:c r="C181" s="49" t="str">
        <x:f>IFERROR(IF(SMALL('Offene Vorgänge'!$J$8:$J$207,174)&gt;=1E+90,"",INDEX('Offene Vorgänge'!$C$8:$C$207,MATCH(SMALL('Offene Vorgänge'!$J$8:$J$207,174),'Offene Vorgänge'!$J$8:$J$207,0))),"")</x:f>
      </x:c>
      <x:c r="D181" s="50" t="str">
        <x:f>IFERROR(IF(SMALL('Offene Vorgänge'!$J$8:$J$207,174)&gt;=1E+90,"",INDEX('Offene Vorgänge'!$D$8:$D$207,MATCH(SMALL('Offene Vorgänge'!$J$8:$J$207,174),'Offene Vorgänge'!$J$8:$J$207,0))),"")</x:f>
      </x:c>
      <x:c r="E181" s="44" t="str">
        <x:f>IFERROR(IF(SMALL('Offene Vorgänge'!$J$8:$J$207,174)&gt;=1E+90,"",INDEX('Offene Vorgänge'!$E$8:$E$207,MATCH(SMALL('Offene Vorgänge'!$J$8:$J$207,174),'Offene Vorgänge'!$J$8:$J$207,0))),"")</x:f>
      </x:c>
      <x:c r="F181" s="50" t="str">
        <x:f>IFERROR(IF(SMALL('Offene Vorgänge'!$J$8:$J$207,174)&gt;=1E+90,"",INDEX('Offene Vorgänge'!$F$8:$F$207,MATCH(SMALL('Offene Vorgänge'!$J$8:$J$207,174),'Offene Vorgänge'!$J$8:$J$207,0))),"")</x:f>
      </x:c>
      <x:c r="G181" s="50" t="str">
        <x:f>IF($E181="","",IF($C181="","ohne Frist",IF($C181&lt;TODAY(),"überfällig","offen")))</x:f>
      </x:c>
      <x:c r="H181" s="44" t="str">
        <x:f>IFERROR(IF(SMALL('Offene Vorgänge'!$J$8:$J$207,174)&gt;=1E+90,"",INDEX('Offene Vorgänge'!$H$8:$H$207,MATCH(SMALL('Offene Vorgänge'!$J$8:$J$207,174),'Offene Vorgänge'!$J$8:$J$207,0))),"")</x:f>
      </x:c>
      <x:c r="I181" s="1"/>
      <x:c r="J181" s="1"/>
      <x:c r="K181" s="1"/>
      <x:c r="L181" s="1"/>
      <x:c r="M181" s="1"/>
      <x:c r="N181" s="1"/>
      <x:c r="O181" s="1"/>
      <x:c r="P181" s="1"/>
      <x:c r="Q181" s="1"/>
      <x:c r="R181" s="1"/>
      <x:c r="S181" s="1"/>
      <x:c r="T181" s="1"/>
    </x:row>
    <x:row r="182" ht="18" customHeight="1">
      <x:c r="A182" s="1"/>
      <x:c r="B182" s="47" t="str">
        <x:f>IF($E182="","",175)</x:f>
      </x:c>
      <x:c r="C182" s="49" t="str">
        <x:f>IFERROR(IF(SMALL('Offene Vorgänge'!$J$8:$J$207,175)&gt;=1E+90,"",INDEX('Offene Vorgänge'!$C$8:$C$207,MATCH(SMALL('Offene Vorgänge'!$J$8:$J$207,175),'Offene Vorgänge'!$J$8:$J$207,0))),"")</x:f>
      </x:c>
      <x:c r="D182" s="50" t="str">
        <x:f>IFERROR(IF(SMALL('Offene Vorgänge'!$J$8:$J$207,175)&gt;=1E+90,"",INDEX('Offene Vorgänge'!$D$8:$D$207,MATCH(SMALL('Offene Vorgänge'!$J$8:$J$207,175),'Offene Vorgänge'!$J$8:$J$207,0))),"")</x:f>
      </x:c>
      <x:c r="E182" s="44" t="str">
        <x:f>IFERROR(IF(SMALL('Offene Vorgänge'!$J$8:$J$207,175)&gt;=1E+90,"",INDEX('Offene Vorgänge'!$E$8:$E$207,MATCH(SMALL('Offene Vorgänge'!$J$8:$J$207,175),'Offene Vorgänge'!$J$8:$J$207,0))),"")</x:f>
      </x:c>
      <x:c r="F182" s="50" t="str">
        <x:f>IFERROR(IF(SMALL('Offene Vorgänge'!$J$8:$J$207,175)&gt;=1E+90,"",INDEX('Offene Vorgänge'!$F$8:$F$207,MATCH(SMALL('Offene Vorgänge'!$J$8:$J$207,175),'Offene Vorgänge'!$J$8:$J$207,0))),"")</x:f>
      </x:c>
      <x:c r="G182" s="50" t="str">
        <x:f>IF($E182="","",IF($C182="","ohne Frist",IF($C182&lt;TODAY(),"überfällig","offen")))</x:f>
      </x:c>
      <x:c r="H182" s="44" t="str">
        <x:f>IFERROR(IF(SMALL('Offene Vorgänge'!$J$8:$J$207,175)&gt;=1E+90,"",INDEX('Offene Vorgänge'!$H$8:$H$207,MATCH(SMALL('Offene Vorgänge'!$J$8:$J$207,175),'Offene Vorgänge'!$J$8:$J$207,0))),"")</x:f>
      </x:c>
      <x:c r="I182" s="1"/>
      <x:c r="J182" s="1"/>
      <x:c r="K182" s="1"/>
      <x:c r="L182" s="1"/>
      <x:c r="M182" s="1"/>
      <x:c r="N182" s="1"/>
      <x:c r="O182" s="1"/>
      <x:c r="P182" s="1"/>
      <x:c r="Q182" s="1"/>
      <x:c r="R182" s="1"/>
      <x:c r="S182" s="1"/>
      <x:c r="T182" s="1"/>
    </x:row>
    <x:row r="183" ht="18" customHeight="1">
      <x:c r="A183" s="1"/>
      <x:c r="B183" s="47" t="str">
        <x:f>IF($E183="","",176)</x:f>
      </x:c>
      <x:c r="C183" s="49" t="str">
        <x:f>IFERROR(IF(SMALL('Offene Vorgänge'!$J$8:$J$207,176)&gt;=1E+90,"",INDEX('Offene Vorgänge'!$C$8:$C$207,MATCH(SMALL('Offene Vorgänge'!$J$8:$J$207,176),'Offene Vorgänge'!$J$8:$J$207,0))),"")</x:f>
      </x:c>
      <x:c r="D183" s="50" t="str">
        <x:f>IFERROR(IF(SMALL('Offene Vorgänge'!$J$8:$J$207,176)&gt;=1E+90,"",INDEX('Offene Vorgänge'!$D$8:$D$207,MATCH(SMALL('Offene Vorgänge'!$J$8:$J$207,176),'Offene Vorgänge'!$J$8:$J$207,0))),"")</x:f>
      </x:c>
      <x:c r="E183" s="44" t="str">
        <x:f>IFERROR(IF(SMALL('Offene Vorgänge'!$J$8:$J$207,176)&gt;=1E+90,"",INDEX('Offene Vorgänge'!$E$8:$E$207,MATCH(SMALL('Offene Vorgänge'!$J$8:$J$207,176),'Offene Vorgänge'!$J$8:$J$207,0))),"")</x:f>
      </x:c>
      <x:c r="F183" s="50" t="str">
        <x:f>IFERROR(IF(SMALL('Offene Vorgänge'!$J$8:$J$207,176)&gt;=1E+90,"",INDEX('Offene Vorgänge'!$F$8:$F$207,MATCH(SMALL('Offene Vorgänge'!$J$8:$J$207,176),'Offene Vorgänge'!$J$8:$J$207,0))),"")</x:f>
      </x:c>
      <x:c r="G183" s="50" t="str">
        <x:f>IF($E183="","",IF($C183="","ohne Frist",IF($C183&lt;TODAY(),"überfällig","offen")))</x:f>
      </x:c>
      <x:c r="H183" s="44" t="str">
        <x:f>IFERROR(IF(SMALL('Offene Vorgänge'!$J$8:$J$207,176)&gt;=1E+90,"",INDEX('Offene Vorgänge'!$H$8:$H$207,MATCH(SMALL('Offene Vorgänge'!$J$8:$J$207,176),'Offene Vorgänge'!$J$8:$J$207,0))),"")</x:f>
      </x:c>
      <x:c r="I183" s="1"/>
      <x:c r="J183" s="1"/>
      <x:c r="K183" s="1"/>
      <x:c r="L183" s="1"/>
      <x:c r="M183" s="1"/>
      <x:c r="N183" s="1"/>
      <x:c r="O183" s="1"/>
      <x:c r="P183" s="1"/>
      <x:c r="Q183" s="1"/>
      <x:c r="R183" s="1"/>
      <x:c r="S183" s="1"/>
      <x:c r="T183" s="1"/>
    </x:row>
    <x:row r="184" ht="18" customHeight="1">
      <x:c r="A184" s="1"/>
      <x:c r="B184" s="47" t="str">
        <x:f>IF($E184="","",177)</x:f>
      </x:c>
      <x:c r="C184" s="49" t="str">
        <x:f>IFERROR(IF(SMALL('Offene Vorgänge'!$J$8:$J$207,177)&gt;=1E+90,"",INDEX('Offene Vorgänge'!$C$8:$C$207,MATCH(SMALL('Offene Vorgänge'!$J$8:$J$207,177),'Offene Vorgänge'!$J$8:$J$207,0))),"")</x:f>
      </x:c>
      <x:c r="D184" s="50" t="str">
        <x:f>IFERROR(IF(SMALL('Offene Vorgänge'!$J$8:$J$207,177)&gt;=1E+90,"",INDEX('Offene Vorgänge'!$D$8:$D$207,MATCH(SMALL('Offene Vorgänge'!$J$8:$J$207,177),'Offene Vorgänge'!$J$8:$J$207,0))),"")</x:f>
      </x:c>
      <x:c r="E184" s="44" t="str">
        <x:f>IFERROR(IF(SMALL('Offene Vorgänge'!$J$8:$J$207,177)&gt;=1E+90,"",INDEX('Offene Vorgänge'!$E$8:$E$207,MATCH(SMALL('Offene Vorgänge'!$J$8:$J$207,177),'Offene Vorgänge'!$J$8:$J$207,0))),"")</x:f>
      </x:c>
      <x:c r="F184" s="50" t="str">
        <x:f>IFERROR(IF(SMALL('Offene Vorgänge'!$J$8:$J$207,177)&gt;=1E+90,"",INDEX('Offene Vorgänge'!$F$8:$F$207,MATCH(SMALL('Offene Vorgänge'!$J$8:$J$207,177),'Offene Vorgänge'!$J$8:$J$207,0))),"")</x:f>
      </x:c>
      <x:c r="G184" s="50" t="str">
        <x:f>IF($E184="","",IF($C184="","ohne Frist",IF($C184&lt;TODAY(),"überfällig","offen")))</x:f>
      </x:c>
      <x:c r="H184" s="44" t="str">
        <x:f>IFERROR(IF(SMALL('Offene Vorgänge'!$J$8:$J$207,177)&gt;=1E+90,"",INDEX('Offene Vorgänge'!$H$8:$H$207,MATCH(SMALL('Offene Vorgänge'!$J$8:$J$207,177),'Offene Vorgänge'!$J$8:$J$207,0))),"")</x:f>
      </x:c>
      <x:c r="I184" s="1"/>
      <x:c r="J184" s="1"/>
      <x:c r="K184" s="1"/>
      <x:c r="L184" s="1"/>
      <x:c r="M184" s="1"/>
      <x:c r="N184" s="1"/>
      <x:c r="O184" s="1"/>
      <x:c r="P184" s="1"/>
      <x:c r="Q184" s="1"/>
      <x:c r="R184" s="1"/>
      <x:c r="S184" s="1"/>
      <x:c r="T184" s="1"/>
    </x:row>
    <x:row r="185" ht="18" customHeight="1">
      <x:c r="A185" s="1"/>
      <x:c r="B185" s="47" t="str">
        <x:f>IF($E185="","",178)</x:f>
      </x:c>
      <x:c r="C185" s="49" t="str">
        <x:f>IFERROR(IF(SMALL('Offene Vorgänge'!$J$8:$J$207,178)&gt;=1E+90,"",INDEX('Offene Vorgänge'!$C$8:$C$207,MATCH(SMALL('Offene Vorgänge'!$J$8:$J$207,178),'Offene Vorgänge'!$J$8:$J$207,0))),"")</x:f>
      </x:c>
      <x:c r="D185" s="50" t="str">
        <x:f>IFERROR(IF(SMALL('Offene Vorgänge'!$J$8:$J$207,178)&gt;=1E+90,"",INDEX('Offene Vorgänge'!$D$8:$D$207,MATCH(SMALL('Offene Vorgänge'!$J$8:$J$207,178),'Offene Vorgänge'!$J$8:$J$207,0))),"")</x:f>
      </x:c>
      <x:c r="E185" s="44" t="str">
        <x:f>IFERROR(IF(SMALL('Offene Vorgänge'!$J$8:$J$207,178)&gt;=1E+90,"",INDEX('Offene Vorgänge'!$E$8:$E$207,MATCH(SMALL('Offene Vorgänge'!$J$8:$J$207,178),'Offene Vorgänge'!$J$8:$J$207,0))),"")</x:f>
      </x:c>
      <x:c r="F185" s="50" t="str">
        <x:f>IFERROR(IF(SMALL('Offene Vorgänge'!$J$8:$J$207,178)&gt;=1E+90,"",INDEX('Offene Vorgänge'!$F$8:$F$207,MATCH(SMALL('Offene Vorgänge'!$J$8:$J$207,178),'Offene Vorgänge'!$J$8:$J$207,0))),"")</x:f>
      </x:c>
      <x:c r="G185" s="50" t="str">
        <x:f>IF($E185="","",IF($C185="","ohne Frist",IF($C185&lt;TODAY(),"überfällig","offen")))</x:f>
      </x:c>
      <x:c r="H185" s="44" t="str">
        <x:f>IFERROR(IF(SMALL('Offene Vorgänge'!$J$8:$J$207,178)&gt;=1E+90,"",INDEX('Offene Vorgänge'!$H$8:$H$207,MATCH(SMALL('Offene Vorgänge'!$J$8:$J$207,178),'Offene Vorgänge'!$J$8:$J$207,0))),"")</x:f>
      </x:c>
      <x:c r="I185" s="1"/>
      <x:c r="J185" s="1"/>
      <x:c r="K185" s="1"/>
      <x:c r="L185" s="1"/>
      <x:c r="M185" s="1"/>
      <x:c r="N185" s="1"/>
      <x:c r="O185" s="1"/>
      <x:c r="P185" s="1"/>
      <x:c r="Q185" s="1"/>
      <x:c r="R185" s="1"/>
      <x:c r="S185" s="1"/>
      <x:c r="T185" s="1"/>
    </x:row>
    <x:row r="186" ht="18" customHeight="1">
      <x:c r="A186" s="1"/>
      <x:c r="B186" s="47" t="str">
        <x:f>IF($E186="","",179)</x:f>
      </x:c>
      <x:c r="C186" s="49" t="str">
        <x:f>IFERROR(IF(SMALL('Offene Vorgänge'!$J$8:$J$207,179)&gt;=1E+90,"",INDEX('Offene Vorgänge'!$C$8:$C$207,MATCH(SMALL('Offene Vorgänge'!$J$8:$J$207,179),'Offene Vorgänge'!$J$8:$J$207,0))),"")</x:f>
      </x:c>
      <x:c r="D186" s="50" t="str">
        <x:f>IFERROR(IF(SMALL('Offene Vorgänge'!$J$8:$J$207,179)&gt;=1E+90,"",INDEX('Offene Vorgänge'!$D$8:$D$207,MATCH(SMALL('Offene Vorgänge'!$J$8:$J$207,179),'Offene Vorgänge'!$J$8:$J$207,0))),"")</x:f>
      </x:c>
      <x:c r="E186" s="44" t="str">
        <x:f>IFERROR(IF(SMALL('Offene Vorgänge'!$J$8:$J$207,179)&gt;=1E+90,"",INDEX('Offene Vorgänge'!$E$8:$E$207,MATCH(SMALL('Offene Vorgänge'!$J$8:$J$207,179),'Offene Vorgänge'!$J$8:$J$207,0))),"")</x:f>
      </x:c>
      <x:c r="F186" s="50" t="str">
        <x:f>IFERROR(IF(SMALL('Offene Vorgänge'!$J$8:$J$207,179)&gt;=1E+90,"",INDEX('Offene Vorgänge'!$F$8:$F$207,MATCH(SMALL('Offene Vorgänge'!$J$8:$J$207,179),'Offene Vorgänge'!$J$8:$J$207,0))),"")</x:f>
      </x:c>
      <x:c r="G186" s="50" t="str">
        <x:f>IF($E186="","",IF($C186="","ohne Frist",IF($C186&lt;TODAY(),"überfällig","offen")))</x:f>
      </x:c>
      <x:c r="H186" s="44" t="str">
        <x:f>IFERROR(IF(SMALL('Offene Vorgänge'!$J$8:$J$207,179)&gt;=1E+90,"",INDEX('Offene Vorgänge'!$H$8:$H$207,MATCH(SMALL('Offene Vorgänge'!$J$8:$J$207,179),'Offene Vorgänge'!$J$8:$J$207,0))),"")</x:f>
      </x:c>
      <x:c r="I186" s="1"/>
      <x:c r="J186" s="1"/>
      <x:c r="K186" s="1"/>
      <x:c r="L186" s="1"/>
      <x:c r="M186" s="1"/>
      <x:c r="N186" s="1"/>
      <x:c r="O186" s="1"/>
      <x:c r="P186" s="1"/>
      <x:c r="Q186" s="1"/>
      <x:c r="R186" s="1"/>
      <x:c r="S186" s="1"/>
      <x:c r="T186" s="1"/>
    </x:row>
    <x:row r="187" ht="18" customHeight="1">
      <x:c r="A187" s="1"/>
      <x:c r="B187" s="47" t="str">
        <x:f>IF($E187="","",180)</x:f>
      </x:c>
      <x:c r="C187" s="49" t="str">
        <x:f>IFERROR(IF(SMALL('Offene Vorgänge'!$J$8:$J$207,180)&gt;=1E+90,"",INDEX('Offene Vorgänge'!$C$8:$C$207,MATCH(SMALL('Offene Vorgänge'!$J$8:$J$207,180),'Offene Vorgänge'!$J$8:$J$207,0))),"")</x:f>
      </x:c>
      <x:c r="D187" s="50" t="str">
        <x:f>IFERROR(IF(SMALL('Offene Vorgänge'!$J$8:$J$207,180)&gt;=1E+90,"",INDEX('Offene Vorgänge'!$D$8:$D$207,MATCH(SMALL('Offene Vorgänge'!$J$8:$J$207,180),'Offene Vorgänge'!$J$8:$J$207,0))),"")</x:f>
      </x:c>
      <x:c r="E187" s="44" t="str">
        <x:f>IFERROR(IF(SMALL('Offene Vorgänge'!$J$8:$J$207,180)&gt;=1E+90,"",INDEX('Offene Vorgänge'!$E$8:$E$207,MATCH(SMALL('Offene Vorgänge'!$J$8:$J$207,180),'Offene Vorgänge'!$J$8:$J$207,0))),"")</x:f>
      </x:c>
      <x:c r="F187" s="50" t="str">
        <x:f>IFERROR(IF(SMALL('Offene Vorgänge'!$J$8:$J$207,180)&gt;=1E+90,"",INDEX('Offene Vorgänge'!$F$8:$F$207,MATCH(SMALL('Offene Vorgänge'!$J$8:$J$207,180),'Offene Vorgänge'!$J$8:$J$207,0))),"")</x:f>
      </x:c>
      <x:c r="G187" s="50" t="str">
        <x:f>IF($E187="","",IF($C187="","ohne Frist",IF($C187&lt;TODAY(),"überfällig","offen")))</x:f>
      </x:c>
      <x:c r="H187" s="44" t="str">
        <x:f>IFERROR(IF(SMALL('Offene Vorgänge'!$J$8:$J$207,180)&gt;=1E+90,"",INDEX('Offene Vorgänge'!$H$8:$H$207,MATCH(SMALL('Offene Vorgänge'!$J$8:$J$207,180),'Offene Vorgänge'!$J$8:$J$207,0))),"")</x:f>
      </x:c>
      <x:c r="I187" s="1"/>
      <x:c r="J187" s="1"/>
      <x:c r="K187" s="1"/>
      <x:c r="L187" s="1"/>
      <x:c r="M187" s="1"/>
      <x:c r="N187" s="1"/>
      <x:c r="O187" s="1"/>
      <x:c r="P187" s="1"/>
      <x:c r="Q187" s="1"/>
      <x:c r="R187" s="1"/>
      <x:c r="S187" s="1"/>
      <x:c r="T187" s="1"/>
    </x:row>
    <x:row r="188" ht="18" customHeight="1">
      <x:c r="A188" s="1"/>
      <x:c r="B188" s="47" t="str">
        <x:f>IF($E188="","",181)</x:f>
      </x:c>
      <x:c r="C188" s="49" t="str">
        <x:f>IFERROR(IF(SMALL('Offene Vorgänge'!$J$8:$J$207,181)&gt;=1E+90,"",INDEX('Offene Vorgänge'!$C$8:$C$207,MATCH(SMALL('Offene Vorgänge'!$J$8:$J$207,181),'Offene Vorgänge'!$J$8:$J$207,0))),"")</x:f>
      </x:c>
      <x:c r="D188" s="50" t="str">
        <x:f>IFERROR(IF(SMALL('Offene Vorgänge'!$J$8:$J$207,181)&gt;=1E+90,"",INDEX('Offene Vorgänge'!$D$8:$D$207,MATCH(SMALL('Offene Vorgänge'!$J$8:$J$207,181),'Offene Vorgänge'!$J$8:$J$207,0))),"")</x:f>
      </x:c>
      <x:c r="E188" s="44" t="str">
        <x:f>IFERROR(IF(SMALL('Offene Vorgänge'!$J$8:$J$207,181)&gt;=1E+90,"",INDEX('Offene Vorgänge'!$E$8:$E$207,MATCH(SMALL('Offene Vorgänge'!$J$8:$J$207,181),'Offene Vorgänge'!$J$8:$J$207,0))),"")</x:f>
      </x:c>
      <x:c r="F188" s="50" t="str">
        <x:f>IFERROR(IF(SMALL('Offene Vorgänge'!$J$8:$J$207,181)&gt;=1E+90,"",INDEX('Offene Vorgänge'!$F$8:$F$207,MATCH(SMALL('Offene Vorgänge'!$J$8:$J$207,181),'Offene Vorgänge'!$J$8:$J$207,0))),"")</x:f>
      </x:c>
      <x:c r="G188" s="50" t="str">
        <x:f>IF($E188="","",IF($C188="","ohne Frist",IF($C188&lt;TODAY(),"überfällig","offen")))</x:f>
      </x:c>
      <x:c r="H188" s="44" t="str">
        <x:f>IFERROR(IF(SMALL('Offene Vorgänge'!$J$8:$J$207,181)&gt;=1E+90,"",INDEX('Offene Vorgänge'!$H$8:$H$207,MATCH(SMALL('Offene Vorgänge'!$J$8:$J$207,181),'Offene Vorgänge'!$J$8:$J$207,0))),"")</x:f>
      </x:c>
      <x:c r="I188" s="1"/>
      <x:c r="J188" s="1"/>
      <x:c r="K188" s="1"/>
      <x:c r="L188" s="1"/>
      <x:c r="M188" s="1"/>
      <x:c r="N188" s="1"/>
      <x:c r="O188" s="1"/>
      <x:c r="P188" s="1"/>
      <x:c r="Q188" s="1"/>
      <x:c r="R188" s="1"/>
      <x:c r="S188" s="1"/>
      <x:c r="T188" s="1"/>
    </x:row>
    <x:row r="189" ht="18" customHeight="1">
      <x:c r="A189" s="1"/>
      <x:c r="B189" s="47" t="str">
        <x:f>IF($E189="","",182)</x:f>
      </x:c>
      <x:c r="C189" s="49" t="str">
        <x:f>IFERROR(IF(SMALL('Offene Vorgänge'!$J$8:$J$207,182)&gt;=1E+90,"",INDEX('Offene Vorgänge'!$C$8:$C$207,MATCH(SMALL('Offene Vorgänge'!$J$8:$J$207,182),'Offene Vorgänge'!$J$8:$J$207,0))),"")</x:f>
      </x:c>
      <x:c r="D189" s="50" t="str">
        <x:f>IFERROR(IF(SMALL('Offene Vorgänge'!$J$8:$J$207,182)&gt;=1E+90,"",INDEX('Offene Vorgänge'!$D$8:$D$207,MATCH(SMALL('Offene Vorgänge'!$J$8:$J$207,182),'Offene Vorgänge'!$J$8:$J$207,0))),"")</x:f>
      </x:c>
      <x:c r="E189" s="44" t="str">
        <x:f>IFERROR(IF(SMALL('Offene Vorgänge'!$J$8:$J$207,182)&gt;=1E+90,"",INDEX('Offene Vorgänge'!$E$8:$E$207,MATCH(SMALL('Offene Vorgänge'!$J$8:$J$207,182),'Offene Vorgänge'!$J$8:$J$207,0))),"")</x:f>
      </x:c>
      <x:c r="F189" s="50" t="str">
        <x:f>IFERROR(IF(SMALL('Offene Vorgänge'!$J$8:$J$207,182)&gt;=1E+90,"",INDEX('Offene Vorgänge'!$F$8:$F$207,MATCH(SMALL('Offene Vorgänge'!$J$8:$J$207,182),'Offene Vorgänge'!$J$8:$J$207,0))),"")</x:f>
      </x:c>
      <x:c r="G189" s="50" t="str">
        <x:f>IF($E189="","",IF($C189="","ohne Frist",IF($C189&lt;TODAY(),"überfällig","offen")))</x:f>
      </x:c>
      <x:c r="H189" s="44" t="str">
        <x:f>IFERROR(IF(SMALL('Offene Vorgänge'!$J$8:$J$207,182)&gt;=1E+90,"",INDEX('Offene Vorgänge'!$H$8:$H$207,MATCH(SMALL('Offene Vorgänge'!$J$8:$J$207,182),'Offene Vorgänge'!$J$8:$J$207,0))),"")</x:f>
      </x:c>
      <x:c r="I189" s="1"/>
      <x:c r="J189" s="1"/>
      <x:c r="K189" s="1"/>
      <x:c r="L189" s="1"/>
      <x:c r="M189" s="1"/>
      <x:c r="N189" s="1"/>
      <x:c r="O189" s="1"/>
      <x:c r="P189" s="1"/>
      <x:c r="Q189" s="1"/>
      <x:c r="R189" s="1"/>
      <x:c r="S189" s="1"/>
      <x:c r="T189" s="1"/>
    </x:row>
    <x:row r="190" ht="18" customHeight="1">
      <x:c r="A190" s="1"/>
      <x:c r="B190" s="47" t="str">
        <x:f>IF($E190="","",183)</x:f>
      </x:c>
      <x:c r="C190" s="49" t="str">
        <x:f>IFERROR(IF(SMALL('Offene Vorgänge'!$J$8:$J$207,183)&gt;=1E+90,"",INDEX('Offene Vorgänge'!$C$8:$C$207,MATCH(SMALL('Offene Vorgänge'!$J$8:$J$207,183),'Offene Vorgänge'!$J$8:$J$207,0))),"")</x:f>
      </x:c>
      <x:c r="D190" s="50" t="str">
        <x:f>IFERROR(IF(SMALL('Offene Vorgänge'!$J$8:$J$207,183)&gt;=1E+90,"",INDEX('Offene Vorgänge'!$D$8:$D$207,MATCH(SMALL('Offene Vorgänge'!$J$8:$J$207,183),'Offene Vorgänge'!$J$8:$J$207,0))),"")</x:f>
      </x:c>
      <x:c r="E190" s="44" t="str">
        <x:f>IFERROR(IF(SMALL('Offene Vorgänge'!$J$8:$J$207,183)&gt;=1E+90,"",INDEX('Offene Vorgänge'!$E$8:$E$207,MATCH(SMALL('Offene Vorgänge'!$J$8:$J$207,183),'Offene Vorgänge'!$J$8:$J$207,0))),"")</x:f>
      </x:c>
      <x:c r="F190" s="50" t="str">
        <x:f>IFERROR(IF(SMALL('Offene Vorgänge'!$J$8:$J$207,183)&gt;=1E+90,"",INDEX('Offene Vorgänge'!$F$8:$F$207,MATCH(SMALL('Offene Vorgänge'!$J$8:$J$207,183),'Offene Vorgänge'!$J$8:$J$207,0))),"")</x:f>
      </x:c>
      <x:c r="G190" s="50" t="str">
        <x:f>IF($E190="","",IF($C190="","ohne Frist",IF($C190&lt;TODAY(),"überfällig","offen")))</x:f>
      </x:c>
      <x:c r="H190" s="44" t="str">
        <x:f>IFERROR(IF(SMALL('Offene Vorgänge'!$J$8:$J$207,183)&gt;=1E+90,"",INDEX('Offene Vorgänge'!$H$8:$H$207,MATCH(SMALL('Offene Vorgänge'!$J$8:$J$207,183),'Offene Vorgänge'!$J$8:$J$207,0))),"")</x:f>
      </x:c>
      <x:c r="I190" s="1"/>
      <x:c r="J190" s="1"/>
      <x:c r="K190" s="1"/>
      <x:c r="L190" s="1"/>
      <x:c r="M190" s="1"/>
      <x:c r="N190" s="1"/>
      <x:c r="O190" s="1"/>
      <x:c r="P190" s="1"/>
      <x:c r="Q190" s="1"/>
      <x:c r="R190" s="1"/>
      <x:c r="S190" s="1"/>
      <x:c r="T190" s="1"/>
    </x:row>
    <x:row r="191" ht="18" customHeight="1">
      <x:c r="A191" s="1"/>
      <x:c r="B191" s="47" t="str">
        <x:f>IF($E191="","",184)</x:f>
      </x:c>
      <x:c r="C191" s="49" t="str">
        <x:f>IFERROR(IF(SMALL('Offene Vorgänge'!$J$8:$J$207,184)&gt;=1E+90,"",INDEX('Offene Vorgänge'!$C$8:$C$207,MATCH(SMALL('Offene Vorgänge'!$J$8:$J$207,184),'Offene Vorgänge'!$J$8:$J$207,0))),"")</x:f>
      </x:c>
      <x:c r="D191" s="50" t="str">
        <x:f>IFERROR(IF(SMALL('Offene Vorgänge'!$J$8:$J$207,184)&gt;=1E+90,"",INDEX('Offene Vorgänge'!$D$8:$D$207,MATCH(SMALL('Offene Vorgänge'!$J$8:$J$207,184),'Offene Vorgänge'!$J$8:$J$207,0))),"")</x:f>
      </x:c>
      <x:c r="E191" s="44" t="str">
        <x:f>IFERROR(IF(SMALL('Offene Vorgänge'!$J$8:$J$207,184)&gt;=1E+90,"",INDEX('Offene Vorgänge'!$E$8:$E$207,MATCH(SMALL('Offene Vorgänge'!$J$8:$J$207,184),'Offene Vorgänge'!$J$8:$J$207,0))),"")</x:f>
      </x:c>
      <x:c r="F191" s="50" t="str">
        <x:f>IFERROR(IF(SMALL('Offene Vorgänge'!$J$8:$J$207,184)&gt;=1E+90,"",INDEX('Offene Vorgänge'!$F$8:$F$207,MATCH(SMALL('Offene Vorgänge'!$J$8:$J$207,184),'Offene Vorgänge'!$J$8:$J$207,0))),"")</x:f>
      </x:c>
      <x:c r="G191" s="50" t="str">
        <x:f>IF($E191="","",IF($C191="","ohne Frist",IF($C191&lt;TODAY(),"überfällig","offen")))</x:f>
      </x:c>
      <x:c r="H191" s="44" t="str">
        <x:f>IFERROR(IF(SMALL('Offene Vorgänge'!$J$8:$J$207,184)&gt;=1E+90,"",INDEX('Offene Vorgänge'!$H$8:$H$207,MATCH(SMALL('Offene Vorgänge'!$J$8:$J$207,184),'Offene Vorgänge'!$J$8:$J$207,0))),"")</x:f>
      </x:c>
      <x:c r="I191" s="1"/>
      <x:c r="J191" s="1"/>
      <x:c r="K191" s="1"/>
      <x:c r="L191" s="1"/>
      <x:c r="M191" s="1"/>
      <x:c r="N191" s="1"/>
      <x:c r="O191" s="1"/>
      <x:c r="P191" s="1"/>
      <x:c r="Q191" s="1"/>
      <x:c r="R191" s="1"/>
      <x:c r="S191" s="1"/>
      <x:c r="T191" s="1"/>
    </x:row>
    <x:row r="192" ht="18" customHeight="1">
      <x:c r="A192" s="1"/>
      <x:c r="B192" s="47" t="str">
        <x:f>IF($E192="","",185)</x:f>
      </x:c>
      <x:c r="C192" s="49" t="str">
        <x:f>IFERROR(IF(SMALL('Offene Vorgänge'!$J$8:$J$207,185)&gt;=1E+90,"",INDEX('Offene Vorgänge'!$C$8:$C$207,MATCH(SMALL('Offene Vorgänge'!$J$8:$J$207,185),'Offene Vorgänge'!$J$8:$J$207,0))),"")</x:f>
      </x:c>
      <x:c r="D192" s="50" t="str">
        <x:f>IFERROR(IF(SMALL('Offene Vorgänge'!$J$8:$J$207,185)&gt;=1E+90,"",INDEX('Offene Vorgänge'!$D$8:$D$207,MATCH(SMALL('Offene Vorgänge'!$J$8:$J$207,185),'Offene Vorgänge'!$J$8:$J$207,0))),"")</x:f>
      </x:c>
      <x:c r="E192" s="44" t="str">
        <x:f>IFERROR(IF(SMALL('Offene Vorgänge'!$J$8:$J$207,185)&gt;=1E+90,"",INDEX('Offene Vorgänge'!$E$8:$E$207,MATCH(SMALL('Offene Vorgänge'!$J$8:$J$207,185),'Offene Vorgänge'!$J$8:$J$207,0))),"")</x:f>
      </x:c>
      <x:c r="F192" s="50" t="str">
        <x:f>IFERROR(IF(SMALL('Offene Vorgänge'!$J$8:$J$207,185)&gt;=1E+90,"",INDEX('Offene Vorgänge'!$F$8:$F$207,MATCH(SMALL('Offene Vorgänge'!$J$8:$J$207,185),'Offene Vorgänge'!$J$8:$J$207,0))),"")</x:f>
      </x:c>
      <x:c r="G192" s="50" t="str">
        <x:f>IF($E192="","",IF($C192="","ohne Frist",IF($C192&lt;TODAY(),"überfällig","offen")))</x:f>
      </x:c>
      <x:c r="H192" s="44" t="str">
        <x:f>IFERROR(IF(SMALL('Offene Vorgänge'!$J$8:$J$207,185)&gt;=1E+90,"",INDEX('Offene Vorgänge'!$H$8:$H$207,MATCH(SMALL('Offene Vorgänge'!$J$8:$J$207,185),'Offene Vorgänge'!$J$8:$J$207,0))),"")</x:f>
      </x:c>
      <x:c r="I192" s="1"/>
      <x:c r="J192" s="1"/>
      <x:c r="K192" s="1"/>
      <x:c r="L192" s="1"/>
      <x:c r="M192" s="1"/>
      <x:c r="N192" s="1"/>
      <x:c r="O192" s="1"/>
      <x:c r="P192" s="1"/>
      <x:c r="Q192" s="1"/>
      <x:c r="R192" s="1"/>
      <x:c r="S192" s="1"/>
      <x:c r="T192" s="1"/>
    </x:row>
    <x:row r="193" ht="18" customHeight="1">
      <x:c r="A193" s="1"/>
      <x:c r="B193" s="47" t="str">
        <x:f>IF($E193="","",186)</x:f>
      </x:c>
      <x:c r="C193" s="49" t="str">
        <x:f>IFERROR(IF(SMALL('Offene Vorgänge'!$J$8:$J$207,186)&gt;=1E+90,"",INDEX('Offene Vorgänge'!$C$8:$C$207,MATCH(SMALL('Offene Vorgänge'!$J$8:$J$207,186),'Offene Vorgänge'!$J$8:$J$207,0))),"")</x:f>
      </x:c>
      <x:c r="D193" s="50" t="str">
        <x:f>IFERROR(IF(SMALL('Offene Vorgänge'!$J$8:$J$207,186)&gt;=1E+90,"",INDEX('Offene Vorgänge'!$D$8:$D$207,MATCH(SMALL('Offene Vorgänge'!$J$8:$J$207,186),'Offene Vorgänge'!$J$8:$J$207,0))),"")</x:f>
      </x:c>
      <x:c r="E193" s="44" t="str">
        <x:f>IFERROR(IF(SMALL('Offene Vorgänge'!$J$8:$J$207,186)&gt;=1E+90,"",INDEX('Offene Vorgänge'!$E$8:$E$207,MATCH(SMALL('Offene Vorgänge'!$J$8:$J$207,186),'Offene Vorgänge'!$J$8:$J$207,0))),"")</x:f>
      </x:c>
      <x:c r="F193" s="50" t="str">
        <x:f>IFERROR(IF(SMALL('Offene Vorgänge'!$J$8:$J$207,186)&gt;=1E+90,"",INDEX('Offene Vorgänge'!$F$8:$F$207,MATCH(SMALL('Offene Vorgänge'!$J$8:$J$207,186),'Offene Vorgänge'!$J$8:$J$207,0))),"")</x:f>
      </x:c>
      <x:c r="G193" s="50" t="str">
        <x:f>IF($E193="","",IF($C193="","ohne Frist",IF($C193&lt;TODAY(),"überfällig","offen")))</x:f>
      </x:c>
      <x:c r="H193" s="44" t="str">
        <x:f>IFERROR(IF(SMALL('Offene Vorgänge'!$J$8:$J$207,186)&gt;=1E+90,"",INDEX('Offene Vorgänge'!$H$8:$H$207,MATCH(SMALL('Offene Vorgänge'!$J$8:$J$207,186),'Offene Vorgänge'!$J$8:$J$207,0))),"")</x:f>
      </x:c>
      <x:c r="I193" s="1"/>
      <x:c r="J193" s="1"/>
      <x:c r="K193" s="1"/>
      <x:c r="L193" s="1"/>
      <x:c r="M193" s="1"/>
      <x:c r="N193" s="1"/>
      <x:c r="O193" s="1"/>
      <x:c r="P193" s="1"/>
      <x:c r="Q193" s="1"/>
      <x:c r="R193" s="1"/>
      <x:c r="S193" s="1"/>
      <x:c r="T193" s="1"/>
    </x:row>
    <x:row r="194" ht="18" customHeight="1">
      <x:c r="A194" s="1"/>
      <x:c r="B194" s="47" t="str">
        <x:f>IF($E194="","",187)</x:f>
      </x:c>
      <x:c r="C194" s="49" t="str">
        <x:f>IFERROR(IF(SMALL('Offene Vorgänge'!$J$8:$J$207,187)&gt;=1E+90,"",INDEX('Offene Vorgänge'!$C$8:$C$207,MATCH(SMALL('Offene Vorgänge'!$J$8:$J$207,187),'Offene Vorgänge'!$J$8:$J$207,0))),"")</x:f>
      </x:c>
      <x:c r="D194" s="50" t="str">
        <x:f>IFERROR(IF(SMALL('Offene Vorgänge'!$J$8:$J$207,187)&gt;=1E+90,"",INDEX('Offene Vorgänge'!$D$8:$D$207,MATCH(SMALL('Offene Vorgänge'!$J$8:$J$207,187),'Offene Vorgänge'!$J$8:$J$207,0))),"")</x:f>
      </x:c>
      <x:c r="E194" s="44" t="str">
        <x:f>IFERROR(IF(SMALL('Offene Vorgänge'!$J$8:$J$207,187)&gt;=1E+90,"",INDEX('Offene Vorgänge'!$E$8:$E$207,MATCH(SMALL('Offene Vorgänge'!$J$8:$J$207,187),'Offene Vorgänge'!$J$8:$J$207,0))),"")</x:f>
      </x:c>
      <x:c r="F194" s="50" t="str">
        <x:f>IFERROR(IF(SMALL('Offene Vorgänge'!$J$8:$J$207,187)&gt;=1E+90,"",INDEX('Offene Vorgänge'!$F$8:$F$207,MATCH(SMALL('Offene Vorgänge'!$J$8:$J$207,187),'Offene Vorgänge'!$J$8:$J$207,0))),"")</x:f>
      </x:c>
      <x:c r="G194" s="50" t="str">
        <x:f>IF($E194="","",IF($C194="","ohne Frist",IF($C194&lt;TODAY(),"überfällig","offen")))</x:f>
      </x:c>
      <x:c r="H194" s="44" t="str">
        <x:f>IFERROR(IF(SMALL('Offene Vorgänge'!$J$8:$J$207,187)&gt;=1E+90,"",INDEX('Offene Vorgänge'!$H$8:$H$207,MATCH(SMALL('Offene Vorgänge'!$J$8:$J$207,187),'Offene Vorgänge'!$J$8:$J$207,0))),"")</x:f>
      </x:c>
      <x:c r="I194" s="1"/>
      <x:c r="J194" s="1"/>
      <x:c r="K194" s="1"/>
      <x:c r="L194" s="1"/>
      <x:c r="M194" s="1"/>
      <x:c r="N194" s="1"/>
      <x:c r="O194" s="1"/>
      <x:c r="P194" s="1"/>
      <x:c r="Q194" s="1"/>
      <x:c r="R194" s="1"/>
      <x:c r="S194" s="1"/>
      <x:c r="T194" s="1"/>
    </x:row>
    <x:row r="195" ht="18" customHeight="1">
      <x:c r="A195" s="1"/>
      <x:c r="B195" s="47" t="str">
        <x:f>IF($E195="","",188)</x:f>
      </x:c>
      <x:c r="C195" s="49" t="str">
        <x:f>IFERROR(IF(SMALL('Offene Vorgänge'!$J$8:$J$207,188)&gt;=1E+90,"",INDEX('Offene Vorgänge'!$C$8:$C$207,MATCH(SMALL('Offene Vorgänge'!$J$8:$J$207,188),'Offene Vorgänge'!$J$8:$J$207,0))),"")</x:f>
      </x:c>
      <x:c r="D195" s="50" t="str">
        <x:f>IFERROR(IF(SMALL('Offene Vorgänge'!$J$8:$J$207,188)&gt;=1E+90,"",INDEX('Offene Vorgänge'!$D$8:$D$207,MATCH(SMALL('Offene Vorgänge'!$J$8:$J$207,188),'Offene Vorgänge'!$J$8:$J$207,0))),"")</x:f>
      </x:c>
      <x:c r="E195" s="44" t="str">
        <x:f>IFERROR(IF(SMALL('Offene Vorgänge'!$J$8:$J$207,188)&gt;=1E+90,"",INDEX('Offene Vorgänge'!$E$8:$E$207,MATCH(SMALL('Offene Vorgänge'!$J$8:$J$207,188),'Offene Vorgänge'!$J$8:$J$207,0))),"")</x:f>
      </x:c>
      <x:c r="F195" s="50" t="str">
        <x:f>IFERROR(IF(SMALL('Offene Vorgänge'!$J$8:$J$207,188)&gt;=1E+90,"",INDEX('Offene Vorgänge'!$F$8:$F$207,MATCH(SMALL('Offene Vorgänge'!$J$8:$J$207,188),'Offene Vorgänge'!$J$8:$J$207,0))),"")</x:f>
      </x:c>
      <x:c r="G195" s="50" t="str">
        <x:f>IF($E195="","",IF($C195="","ohne Frist",IF($C195&lt;TODAY(),"überfällig","offen")))</x:f>
      </x:c>
      <x:c r="H195" s="44" t="str">
        <x:f>IFERROR(IF(SMALL('Offene Vorgänge'!$J$8:$J$207,188)&gt;=1E+90,"",INDEX('Offene Vorgänge'!$H$8:$H$207,MATCH(SMALL('Offene Vorgänge'!$J$8:$J$207,188),'Offene Vorgänge'!$J$8:$J$207,0))),"")</x:f>
      </x:c>
      <x:c r="I195" s="1"/>
      <x:c r="J195" s="1"/>
      <x:c r="K195" s="1"/>
      <x:c r="L195" s="1"/>
      <x:c r="M195" s="1"/>
      <x:c r="N195" s="1"/>
      <x:c r="O195" s="1"/>
      <x:c r="P195" s="1"/>
      <x:c r="Q195" s="1"/>
      <x:c r="R195" s="1"/>
      <x:c r="S195" s="1"/>
      <x:c r="T195" s="1"/>
    </x:row>
    <x:row r="196" ht="18" customHeight="1">
      <x:c r="A196" s="1"/>
      <x:c r="B196" s="47" t="str">
        <x:f>IF($E196="","",189)</x:f>
      </x:c>
      <x:c r="C196" s="49" t="str">
        <x:f>IFERROR(IF(SMALL('Offene Vorgänge'!$J$8:$J$207,189)&gt;=1E+90,"",INDEX('Offene Vorgänge'!$C$8:$C$207,MATCH(SMALL('Offene Vorgänge'!$J$8:$J$207,189),'Offene Vorgänge'!$J$8:$J$207,0))),"")</x:f>
      </x:c>
      <x:c r="D196" s="50" t="str">
        <x:f>IFERROR(IF(SMALL('Offene Vorgänge'!$J$8:$J$207,189)&gt;=1E+90,"",INDEX('Offene Vorgänge'!$D$8:$D$207,MATCH(SMALL('Offene Vorgänge'!$J$8:$J$207,189),'Offene Vorgänge'!$J$8:$J$207,0))),"")</x:f>
      </x:c>
      <x:c r="E196" s="44" t="str">
        <x:f>IFERROR(IF(SMALL('Offene Vorgänge'!$J$8:$J$207,189)&gt;=1E+90,"",INDEX('Offene Vorgänge'!$E$8:$E$207,MATCH(SMALL('Offene Vorgänge'!$J$8:$J$207,189),'Offene Vorgänge'!$J$8:$J$207,0))),"")</x:f>
      </x:c>
      <x:c r="F196" s="50" t="str">
        <x:f>IFERROR(IF(SMALL('Offene Vorgänge'!$J$8:$J$207,189)&gt;=1E+90,"",INDEX('Offene Vorgänge'!$F$8:$F$207,MATCH(SMALL('Offene Vorgänge'!$J$8:$J$207,189),'Offene Vorgänge'!$J$8:$J$207,0))),"")</x:f>
      </x:c>
      <x:c r="G196" s="50" t="str">
        <x:f>IF($E196="","",IF($C196="","ohne Frist",IF($C196&lt;TODAY(),"überfällig","offen")))</x:f>
      </x:c>
      <x:c r="H196" s="44" t="str">
        <x:f>IFERROR(IF(SMALL('Offene Vorgänge'!$J$8:$J$207,189)&gt;=1E+90,"",INDEX('Offene Vorgänge'!$H$8:$H$207,MATCH(SMALL('Offene Vorgänge'!$J$8:$J$207,189),'Offene Vorgänge'!$J$8:$J$207,0))),"")</x:f>
      </x:c>
      <x:c r="I196" s="1"/>
      <x:c r="J196" s="1"/>
      <x:c r="K196" s="1"/>
      <x:c r="L196" s="1"/>
      <x:c r="M196" s="1"/>
      <x:c r="N196" s="1"/>
      <x:c r="O196" s="1"/>
      <x:c r="P196" s="1"/>
      <x:c r="Q196" s="1"/>
      <x:c r="R196" s="1"/>
      <x:c r="S196" s="1"/>
      <x:c r="T196" s="1"/>
    </x:row>
    <x:row r="197" ht="18" customHeight="1">
      <x:c r="A197" s="1"/>
      <x:c r="B197" s="47" t="str">
        <x:f>IF($E197="","",190)</x:f>
      </x:c>
      <x:c r="C197" s="49" t="str">
        <x:f>IFERROR(IF(SMALL('Offene Vorgänge'!$J$8:$J$207,190)&gt;=1E+90,"",INDEX('Offene Vorgänge'!$C$8:$C$207,MATCH(SMALL('Offene Vorgänge'!$J$8:$J$207,190),'Offene Vorgänge'!$J$8:$J$207,0))),"")</x:f>
      </x:c>
      <x:c r="D197" s="50" t="str">
        <x:f>IFERROR(IF(SMALL('Offene Vorgänge'!$J$8:$J$207,190)&gt;=1E+90,"",INDEX('Offene Vorgänge'!$D$8:$D$207,MATCH(SMALL('Offene Vorgänge'!$J$8:$J$207,190),'Offene Vorgänge'!$J$8:$J$207,0))),"")</x:f>
      </x:c>
      <x:c r="E197" s="44" t="str">
        <x:f>IFERROR(IF(SMALL('Offene Vorgänge'!$J$8:$J$207,190)&gt;=1E+90,"",INDEX('Offene Vorgänge'!$E$8:$E$207,MATCH(SMALL('Offene Vorgänge'!$J$8:$J$207,190),'Offene Vorgänge'!$J$8:$J$207,0))),"")</x:f>
      </x:c>
      <x:c r="F197" s="50" t="str">
        <x:f>IFERROR(IF(SMALL('Offene Vorgänge'!$J$8:$J$207,190)&gt;=1E+90,"",INDEX('Offene Vorgänge'!$F$8:$F$207,MATCH(SMALL('Offene Vorgänge'!$J$8:$J$207,190),'Offene Vorgänge'!$J$8:$J$207,0))),"")</x:f>
      </x:c>
      <x:c r="G197" s="50" t="str">
        <x:f>IF($E197="","",IF($C197="","ohne Frist",IF($C197&lt;TODAY(),"überfällig","offen")))</x:f>
      </x:c>
      <x:c r="H197" s="44" t="str">
        <x:f>IFERROR(IF(SMALL('Offene Vorgänge'!$J$8:$J$207,190)&gt;=1E+90,"",INDEX('Offene Vorgänge'!$H$8:$H$207,MATCH(SMALL('Offene Vorgänge'!$J$8:$J$207,190),'Offene Vorgänge'!$J$8:$J$207,0))),"")</x:f>
      </x:c>
      <x:c r="I197" s="1"/>
      <x:c r="J197" s="1"/>
      <x:c r="K197" s="1"/>
      <x:c r="L197" s="1"/>
      <x:c r="M197" s="1"/>
      <x:c r="N197" s="1"/>
      <x:c r="O197" s="1"/>
      <x:c r="P197" s="1"/>
      <x:c r="Q197" s="1"/>
      <x:c r="R197" s="1"/>
      <x:c r="S197" s="1"/>
      <x:c r="T197" s="1"/>
    </x:row>
    <x:row r="198" ht="18" customHeight="1">
      <x:c r="A198" s="1"/>
      <x:c r="B198" s="47" t="str">
        <x:f>IF($E198="","",191)</x:f>
      </x:c>
      <x:c r="C198" s="49" t="str">
        <x:f>IFERROR(IF(SMALL('Offene Vorgänge'!$J$8:$J$207,191)&gt;=1E+90,"",INDEX('Offene Vorgänge'!$C$8:$C$207,MATCH(SMALL('Offene Vorgänge'!$J$8:$J$207,191),'Offene Vorgänge'!$J$8:$J$207,0))),"")</x:f>
      </x:c>
      <x:c r="D198" s="50" t="str">
        <x:f>IFERROR(IF(SMALL('Offene Vorgänge'!$J$8:$J$207,191)&gt;=1E+90,"",INDEX('Offene Vorgänge'!$D$8:$D$207,MATCH(SMALL('Offene Vorgänge'!$J$8:$J$207,191),'Offene Vorgänge'!$J$8:$J$207,0))),"")</x:f>
      </x:c>
      <x:c r="E198" s="44" t="str">
        <x:f>IFERROR(IF(SMALL('Offene Vorgänge'!$J$8:$J$207,191)&gt;=1E+90,"",INDEX('Offene Vorgänge'!$E$8:$E$207,MATCH(SMALL('Offene Vorgänge'!$J$8:$J$207,191),'Offene Vorgänge'!$J$8:$J$207,0))),"")</x:f>
      </x:c>
      <x:c r="F198" s="50" t="str">
        <x:f>IFERROR(IF(SMALL('Offene Vorgänge'!$J$8:$J$207,191)&gt;=1E+90,"",INDEX('Offene Vorgänge'!$F$8:$F$207,MATCH(SMALL('Offene Vorgänge'!$J$8:$J$207,191),'Offene Vorgänge'!$J$8:$J$207,0))),"")</x:f>
      </x:c>
      <x:c r="G198" s="50" t="str">
        <x:f>IF($E198="","",IF($C198="","ohne Frist",IF($C198&lt;TODAY(),"überfällig","offen")))</x:f>
      </x:c>
      <x:c r="H198" s="44" t="str">
        <x:f>IFERROR(IF(SMALL('Offene Vorgänge'!$J$8:$J$207,191)&gt;=1E+90,"",INDEX('Offene Vorgänge'!$H$8:$H$207,MATCH(SMALL('Offene Vorgänge'!$J$8:$J$207,191),'Offene Vorgänge'!$J$8:$J$207,0))),"")</x:f>
      </x:c>
      <x:c r="I198" s="1"/>
      <x:c r="J198" s="1"/>
      <x:c r="K198" s="1"/>
      <x:c r="L198" s="1"/>
      <x:c r="M198" s="1"/>
      <x:c r="N198" s="1"/>
      <x:c r="O198" s="1"/>
      <x:c r="P198" s="1"/>
      <x:c r="Q198" s="1"/>
      <x:c r="R198" s="1"/>
      <x:c r="S198" s="1"/>
      <x:c r="T198" s="1"/>
    </x:row>
    <x:row r="199" ht="18" customHeight="1">
      <x:c r="A199" s="1"/>
      <x:c r="B199" s="47" t="str">
        <x:f>IF($E199="","",192)</x:f>
      </x:c>
      <x:c r="C199" s="49" t="str">
        <x:f>IFERROR(IF(SMALL('Offene Vorgänge'!$J$8:$J$207,192)&gt;=1E+90,"",INDEX('Offene Vorgänge'!$C$8:$C$207,MATCH(SMALL('Offene Vorgänge'!$J$8:$J$207,192),'Offene Vorgänge'!$J$8:$J$207,0))),"")</x:f>
      </x:c>
      <x:c r="D199" s="50" t="str">
        <x:f>IFERROR(IF(SMALL('Offene Vorgänge'!$J$8:$J$207,192)&gt;=1E+90,"",INDEX('Offene Vorgänge'!$D$8:$D$207,MATCH(SMALL('Offene Vorgänge'!$J$8:$J$207,192),'Offene Vorgänge'!$J$8:$J$207,0))),"")</x:f>
      </x:c>
      <x:c r="E199" s="44" t="str">
        <x:f>IFERROR(IF(SMALL('Offene Vorgänge'!$J$8:$J$207,192)&gt;=1E+90,"",INDEX('Offene Vorgänge'!$E$8:$E$207,MATCH(SMALL('Offene Vorgänge'!$J$8:$J$207,192),'Offene Vorgänge'!$J$8:$J$207,0))),"")</x:f>
      </x:c>
      <x:c r="F199" s="50" t="str">
        <x:f>IFERROR(IF(SMALL('Offene Vorgänge'!$J$8:$J$207,192)&gt;=1E+90,"",INDEX('Offene Vorgänge'!$F$8:$F$207,MATCH(SMALL('Offene Vorgänge'!$J$8:$J$207,192),'Offene Vorgänge'!$J$8:$J$207,0))),"")</x:f>
      </x:c>
      <x:c r="G199" s="50" t="str">
        <x:f>IF($E199="","",IF($C199="","ohne Frist",IF($C199&lt;TODAY(),"überfällig","offen")))</x:f>
      </x:c>
      <x:c r="H199" s="44" t="str">
        <x:f>IFERROR(IF(SMALL('Offene Vorgänge'!$J$8:$J$207,192)&gt;=1E+90,"",INDEX('Offene Vorgänge'!$H$8:$H$207,MATCH(SMALL('Offene Vorgänge'!$J$8:$J$207,192),'Offene Vorgänge'!$J$8:$J$207,0))),"")</x:f>
      </x:c>
      <x:c r="I199" s="1"/>
      <x:c r="J199" s="1"/>
      <x:c r="K199" s="1"/>
      <x:c r="L199" s="1"/>
      <x:c r="M199" s="1"/>
      <x:c r="N199" s="1"/>
      <x:c r="O199" s="1"/>
      <x:c r="P199" s="1"/>
      <x:c r="Q199" s="1"/>
      <x:c r="R199" s="1"/>
      <x:c r="S199" s="1"/>
      <x:c r="T199" s="1"/>
    </x:row>
    <x:row r="200" ht="18" customHeight="1">
      <x:c r="A200" s="1"/>
      <x:c r="B200" s="47" t="str">
        <x:f>IF($E200="","",193)</x:f>
      </x:c>
      <x:c r="C200" s="49" t="str">
        <x:f>IFERROR(IF(SMALL('Offene Vorgänge'!$J$8:$J$207,193)&gt;=1E+90,"",INDEX('Offene Vorgänge'!$C$8:$C$207,MATCH(SMALL('Offene Vorgänge'!$J$8:$J$207,193),'Offene Vorgänge'!$J$8:$J$207,0))),"")</x:f>
      </x:c>
      <x:c r="D200" s="50" t="str">
        <x:f>IFERROR(IF(SMALL('Offene Vorgänge'!$J$8:$J$207,193)&gt;=1E+90,"",INDEX('Offene Vorgänge'!$D$8:$D$207,MATCH(SMALL('Offene Vorgänge'!$J$8:$J$207,193),'Offene Vorgänge'!$J$8:$J$207,0))),"")</x:f>
      </x:c>
      <x:c r="E200" s="44" t="str">
        <x:f>IFERROR(IF(SMALL('Offene Vorgänge'!$J$8:$J$207,193)&gt;=1E+90,"",INDEX('Offene Vorgänge'!$E$8:$E$207,MATCH(SMALL('Offene Vorgänge'!$J$8:$J$207,193),'Offene Vorgänge'!$J$8:$J$207,0))),"")</x:f>
      </x:c>
      <x:c r="F200" s="50" t="str">
        <x:f>IFERROR(IF(SMALL('Offene Vorgänge'!$J$8:$J$207,193)&gt;=1E+90,"",INDEX('Offene Vorgänge'!$F$8:$F$207,MATCH(SMALL('Offene Vorgänge'!$J$8:$J$207,193),'Offene Vorgänge'!$J$8:$J$207,0))),"")</x:f>
      </x:c>
      <x:c r="G200" s="50" t="str">
        <x:f>IF($E200="","",IF($C200="","ohne Frist",IF($C200&lt;TODAY(),"überfällig","offen")))</x:f>
      </x:c>
      <x:c r="H200" s="44" t="str">
        <x:f>IFERROR(IF(SMALL('Offene Vorgänge'!$J$8:$J$207,193)&gt;=1E+90,"",INDEX('Offene Vorgänge'!$H$8:$H$207,MATCH(SMALL('Offene Vorgänge'!$J$8:$J$207,193),'Offene Vorgänge'!$J$8:$J$207,0))),"")</x:f>
      </x:c>
      <x:c r="I200" s="1"/>
      <x:c r="J200" s="1"/>
      <x:c r="K200" s="1"/>
      <x:c r="L200" s="1"/>
      <x:c r="M200" s="1"/>
      <x:c r="N200" s="1"/>
      <x:c r="O200" s="1"/>
      <x:c r="P200" s="1"/>
      <x:c r="Q200" s="1"/>
      <x:c r="R200" s="1"/>
      <x:c r="S200" s="1"/>
      <x:c r="T200" s="1"/>
    </x:row>
    <x:row r="201" ht="18" customHeight="1">
      <x:c r="A201" s="1"/>
      <x:c r="B201" s="47" t="str">
        <x:f>IF($E201="","",194)</x:f>
      </x:c>
      <x:c r="C201" s="49" t="str">
        <x:f>IFERROR(IF(SMALL('Offene Vorgänge'!$J$8:$J$207,194)&gt;=1E+90,"",INDEX('Offene Vorgänge'!$C$8:$C$207,MATCH(SMALL('Offene Vorgänge'!$J$8:$J$207,194),'Offene Vorgänge'!$J$8:$J$207,0))),"")</x:f>
      </x:c>
      <x:c r="D201" s="50" t="str">
        <x:f>IFERROR(IF(SMALL('Offene Vorgänge'!$J$8:$J$207,194)&gt;=1E+90,"",INDEX('Offene Vorgänge'!$D$8:$D$207,MATCH(SMALL('Offene Vorgänge'!$J$8:$J$207,194),'Offene Vorgänge'!$J$8:$J$207,0))),"")</x:f>
      </x:c>
      <x:c r="E201" s="44" t="str">
        <x:f>IFERROR(IF(SMALL('Offene Vorgänge'!$J$8:$J$207,194)&gt;=1E+90,"",INDEX('Offene Vorgänge'!$E$8:$E$207,MATCH(SMALL('Offene Vorgänge'!$J$8:$J$207,194),'Offene Vorgänge'!$J$8:$J$207,0))),"")</x:f>
      </x:c>
      <x:c r="F201" s="50" t="str">
        <x:f>IFERROR(IF(SMALL('Offene Vorgänge'!$J$8:$J$207,194)&gt;=1E+90,"",INDEX('Offene Vorgänge'!$F$8:$F$207,MATCH(SMALL('Offene Vorgänge'!$J$8:$J$207,194),'Offene Vorgänge'!$J$8:$J$207,0))),"")</x:f>
      </x:c>
      <x:c r="G201" s="50" t="str">
        <x:f>IF($E201="","",IF($C201="","ohne Frist",IF($C201&lt;TODAY(),"überfällig","offen")))</x:f>
      </x:c>
      <x:c r="H201" s="44" t="str">
        <x:f>IFERROR(IF(SMALL('Offene Vorgänge'!$J$8:$J$207,194)&gt;=1E+90,"",INDEX('Offene Vorgänge'!$H$8:$H$207,MATCH(SMALL('Offene Vorgänge'!$J$8:$J$207,194),'Offene Vorgänge'!$J$8:$J$207,0))),"")</x:f>
      </x:c>
      <x:c r="I201" s="1"/>
      <x:c r="J201" s="1"/>
      <x:c r="K201" s="1"/>
      <x:c r="L201" s="1"/>
      <x:c r="M201" s="1"/>
      <x:c r="N201" s="1"/>
      <x:c r="O201" s="1"/>
      <x:c r="P201" s="1"/>
      <x:c r="Q201" s="1"/>
      <x:c r="R201" s="1"/>
      <x:c r="S201" s="1"/>
      <x:c r="T201" s="1"/>
    </x:row>
    <x:row r="202" ht="18" customHeight="1">
      <x:c r="A202" s="1"/>
      <x:c r="B202" s="47" t="str">
        <x:f>IF($E202="","",195)</x:f>
      </x:c>
      <x:c r="C202" s="49" t="str">
        <x:f>IFERROR(IF(SMALL('Offene Vorgänge'!$J$8:$J$207,195)&gt;=1E+90,"",INDEX('Offene Vorgänge'!$C$8:$C$207,MATCH(SMALL('Offene Vorgänge'!$J$8:$J$207,195),'Offene Vorgänge'!$J$8:$J$207,0))),"")</x:f>
      </x:c>
      <x:c r="D202" s="50" t="str">
        <x:f>IFERROR(IF(SMALL('Offene Vorgänge'!$J$8:$J$207,195)&gt;=1E+90,"",INDEX('Offene Vorgänge'!$D$8:$D$207,MATCH(SMALL('Offene Vorgänge'!$J$8:$J$207,195),'Offene Vorgänge'!$J$8:$J$207,0))),"")</x:f>
      </x:c>
      <x:c r="E202" s="44" t="str">
        <x:f>IFERROR(IF(SMALL('Offene Vorgänge'!$J$8:$J$207,195)&gt;=1E+90,"",INDEX('Offene Vorgänge'!$E$8:$E$207,MATCH(SMALL('Offene Vorgänge'!$J$8:$J$207,195),'Offene Vorgänge'!$J$8:$J$207,0))),"")</x:f>
      </x:c>
      <x:c r="F202" s="50" t="str">
        <x:f>IFERROR(IF(SMALL('Offene Vorgänge'!$J$8:$J$207,195)&gt;=1E+90,"",INDEX('Offene Vorgänge'!$F$8:$F$207,MATCH(SMALL('Offene Vorgänge'!$J$8:$J$207,195),'Offene Vorgänge'!$J$8:$J$207,0))),"")</x:f>
      </x:c>
      <x:c r="G202" s="50" t="str">
        <x:f>IF($E202="","",IF($C202="","ohne Frist",IF($C202&lt;TODAY(),"überfällig","offen")))</x:f>
      </x:c>
      <x:c r="H202" s="44" t="str">
        <x:f>IFERROR(IF(SMALL('Offene Vorgänge'!$J$8:$J$207,195)&gt;=1E+90,"",INDEX('Offene Vorgänge'!$H$8:$H$207,MATCH(SMALL('Offene Vorgänge'!$J$8:$J$207,195),'Offene Vorgänge'!$J$8:$J$207,0))),"")</x:f>
      </x:c>
      <x:c r="I202" s="1"/>
      <x:c r="J202" s="1"/>
      <x:c r="K202" s="1"/>
      <x:c r="L202" s="1"/>
      <x:c r="M202" s="1"/>
      <x:c r="N202" s="1"/>
      <x:c r="O202" s="1"/>
      <x:c r="P202" s="1"/>
      <x:c r="Q202" s="1"/>
      <x:c r="R202" s="1"/>
      <x:c r="S202" s="1"/>
      <x:c r="T202" s="1"/>
    </x:row>
    <x:row r="203" ht="18" customHeight="1">
      <x:c r="A203" s="1"/>
      <x:c r="B203" s="47" t="str">
        <x:f>IF($E203="","",196)</x:f>
      </x:c>
      <x:c r="C203" s="49" t="str">
        <x:f>IFERROR(IF(SMALL('Offene Vorgänge'!$J$8:$J$207,196)&gt;=1E+90,"",INDEX('Offene Vorgänge'!$C$8:$C$207,MATCH(SMALL('Offene Vorgänge'!$J$8:$J$207,196),'Offene Vorgänge'!$J$8:$J$207,0))),"")</x:f>
      </x:c>
      <x:c r="D203" s="50" t="str">
        <x:f>IFERROR(IF(SMALL('Offene Vorgänge'!$J$8:$J$207,196)&gt;=1E+90,"",INDEX('Offene Vorgänge'!$D$8:$D$207,MATCH(SMALL('Offene Vorgänge'!$J$8:$J$207,196),'Offene Vorgänge'!$J$8:$J$207,0))),"")</x:f>
      </x:c>
      <x:c r="E203" s="44" t="str">
        <x:f>IFERROR(IF(SMALL('Offene Vorgänge'!$J$8:$J$207,196)&gt;=1E+90,"",INDEX('Offene Vorgänge'!$E$8:$E$207,MATCH(SMALL('Offene Vorgänge'!$J$8:$J$207,196),'Offene Vorgänge'!$J$8:$J$207,0))),"")</x:f>
      </x:c>
      <x:c r="F203" s="50" t="str">
        <x:f>IFERROR(IF(SMALL('Offene Vorgänge'!$J$8:$J$207,196)&gt;=1E+90,"",INDEX('Offene Vorgänge'!$F$8:$F$207,MATCH(SMALL('Offene Vorgänge'!$J$8:$J$207,196),'Offene Vorgänge'!$J$8:$J$207,0))),"")</x:f>
      </x:c>
      <x:c r="G203" s="50" t="str">
        <x:f>IF($E203="","",IF($C203="","ohne Frist",IF($C203&lt;TODAY(),"überfällig","offen")))</x:f>
      </x:c>
      <x:c r="H203" s="44" t="str">
        <x:f>IFERROR(IF(SMALL('Offene Vorgänge'!$J$8:$J$207,196)&gt;=1E+90,"",INDEX('Offene Vorgänge'!$H$8:$H$207,MATCH(SMALL('Offene Vorgänge'!$J$8:$J$207,196),'Offene Vorgänge'!$J$8:$J$207,0))),"")</x:f>
      </x:c>
      <x:c r="I203" s="1"/>
      <x:c r="J203" s="1"/>
      <x:c r="K203" s="1"/>
      <x:c r="L203" s="1"/>
      <x:c r="M203" s="1"/>
      <x:c r="N203" s="1"/>
      <x:c r="O203" s="1"/>
      <x:c r="P203" s="1"/>
      <x:c r="Q203" s="1"/>
      <x:c r="R203" s="1"/>
      <x:c r="S203" s="1"/>
      <x:c r="T203" s="1"/>
    </x:row>
    <x:row r="204" ht="18" customHeight="1">
      <x:c r="A204" s="1"/>
      <x:c r="B204" s="47" t="str">
        <x:f>IF($E204="","",197)</x:f>
      </x:c>
      <x:c r="C204" s="49" t="str">
        <x:f>IFERROR(IF(SMALL('Offene Vorgänge'!$J$8:$J$207,197)&gt;=1E+90,"",INDEX('Offene Vorgänge'!$C$8:$C$207,MATCH(SMALL('Offene Vorgänge'!$J$8:$J$207,197),'Offene Vorgänge'!$J$8:$J$207,0))),"")</x:f>
      </x:c>
      <x:c r="D204" s="50" t="str">
        <x:f>IFERROR(IF(SMALL('Offene Vorgänge'!$J$8:$J$207,197)&gt;=1E+90,"",INDEX('Offene Vorgänge'!$D$8:$D$207,MATCH(SMALL('Offene Vorgänge'!$J$8:$J$207,197),'Offene Vorgänge'!$J$8:$J$207,0))),"")</x:f>
      </x:c>
      <x:c r="E204" s="44" t="str">
        <x:f>IFERROR(IF(SMALL('Offene Vorgänge'!$J$8:$J$207,197)&gt;=1E+90,"",INDEX('Offene Vorgänge'!$E$8:$E$207,MATCH(SMALL('Offene Vorgänge'!$J$8:$J$207,197),'Offene Vorgänge'!$J$8:$J$207,0))),"")</x:f>
      </x:c>
      <x:c r="F204" s="50" t="str">
        <x:f>IFERROR(IF(SMALL('Offene Vorgänge'!$J$8:$J$207,197)&gt;=1E+90,"",INDEX('Offene Vorgänge'!$F$8:$F$207,MATCH(SMALL('Offene Vorgänge'!$J$8:$J$207,197),'Offene Vorgänge'!$J$8:$J$207,0))),"")</x:f>
      </x:c>
      <x:c r="G204" s="50" t="str">
        <x:f>IF($E204="","",IF($C204="","ohne Frist",IF($C204&lt;TODAY(),"überfällig","offen")))</x:f>
      </x:c>
      <x:c r="H204" s="44" t="str">
        <x:f>IFERROR(IF(SMALL('Offene Vorgänge'!$J$8:$J$207,197)&gt;=1E+90,"",INDEX('Offene Vorgänge'!$H$8:$H$207,MATCH(SMALL('Offene Vorgänge'!$J$8:$J$207,197),'Offene Vorgänge'!$J$8:$J$207,0))),"")</x:f>
      </x:c>
      <x:c r="I204" s="1"/>
      <x:c r="J204" s="1"/>
      <x:c r="K204" s="1"/>
      <x:c r="L204" s="1"/>
      <x:c r="M204" s="1"/>
      <x:c r="N204" s="1"/>
      <x:c r="O204" s="1"/>
      <x:c r="P204" s="1"/>
      <x:c r="Q204" s="1"/>
      <x:c r="R204" s="1"/>
      <x:c r="S204" s="1"/>
      <x:c r="T204" s="1"/>
    </x:row>
    <x:row r="205" ht="18" customHeight="1">
      <x:c r="A205" s="1"/>
      <x:c r="B205" s="47" t="str">
        <x:f>IF($E205="","",198)</x:f>
      </x:c>
      <x:c r="C205" s="49" t="str">
        <x:f>IFERROR(IF(SMALL('Offene Vorgänge'!$J$8:$J$207,198)&gt;=1E+90,"",INDEX('Offene Vorgänge'!$C$8:$C$207,MATCH(SMALL('Offene Vorgänge'!$J$8:$J$207,198),'Offene Vorgänge'!$J$8:$J$207,0))),"")</x:f>
      </x:c>
      <x:c r="D205" s="50" t="str">
        <x:f>IFERROR(IF(SMALL('Offene Vorgänge'!$J$8:$J$207,198)&gt;=1E+90,"",INDEX('Offene Vorgänge'!$D$8:$D$207,MATCH(SMALL('Offene Vorgänge'!$J$8:$J$207,198),'Offene Vorgänge'!$J$8:$J$207,0))),"")</x:f>
      </x:c>
      <x:c r="E205" s="44" t="str">
        <x:f>IFERROR(IF(SMALL('Offene Vorgänge'!$J$8:$J$207,198)&gt;=1E+90,"",INDEX('Offene Vorgänge'!$E$8:$E$207,MATCH(SMALL('Offene Vorgänge'!$J$8:$J$207,198),'Offene Vorgänge'!$J$8:$J$207,0))),"")</x:f>
      </x:c>
      <x:c r="F205" s="50" t="str">
        <x:f>IFERROR(IF(SMALL('Offene Vorgänge'!$J$8:$J$207,198)&gt;=1E+90,"",INDEX('Offene Vorgänge'!$F$8:$F$207,MATCH(SMALL('Offene Vorgänge'!$J$8:$J$207,198),'Offene Vorgänge'!$J$8:$J$207,0))),"")</x:f>
      </x:c>
      <x:c r="G205" s="50" t="str">
        <x:f>IF($E205="","",IF($C205="","ohne Frist",IF($C205&lt;TODAY(),"überfällig","offen")))</x:f>
      </x:c>
      <x:c r="H205" s="44" t="str">
        <x:f>IFERROR(IF(SMALL('Offene Vorgänge'!$J$8:$J$207,198)&gt;=1E+90,"",INDEX('Offene Vorgänge'!$H$8:$H$207,MATCH(SMALL('Offene Vorgänge'!$J$8:$J$207,198),'Offene Vorgänge'!$J$8:$J$207,0))),"")</x:f>
      </x:c>
      <x:c r="I205" s="1"/>
      <x:c r="J205" s="1"/>
      <x:c r="K205" s="1"/>
      <x:c r="L205" s="1"/>
      <x:c r="M205" s="1"/>
      <x:c r="N205" s="1"/>
      <x:c r="O205" s="1"/>
      <x:c r="P205" s="1"/>
      <x:c r="Q205" s="1"/>
      <x:c r="R205" s="1"/>
      <x:c r="S205" s="1"/>
      <x:c r="T205" s="1"/>
    </x:row>
    <x:row r="206" ht="18" customHeight="1">
      <x:c r="A206" s="1"/>
      <x:c r="B206" s="47" t="str">
        <x:f>IF($E206="","",199)</x:f>
      </x:c>
      <x:c r="C206" s="49" t="str">
        <x:f>IFERROR(IF(SMALL('Offene Vorgänge'!$J$8:$J$207,199)&gt;=1E+90,"",INDEX('Offene Vorgänge'!$C$8:$C$207,MATCH(SMALL('Offene Vorgänge'!$J$8:$J$207,199),'Offene Vorgänge'!$J$8:$J$207,0))),"")</x:f>
      </x:c>
      <x:c r="D206" s="50" t="str">
        <x:f>IFERROR(IF(SMALL('Offene Vorgänge'!$J$8:$J$207,199)&gt;=1E+90,"",INDEX('Offene Vorgänge'!$D$8:$D$207,MATCH(SMALL('Offene Vorgänge'!$J$8:$J$207,199),'Offene Vorgänge'!$J$8:$J$207,0))),"")</x:f>
      </x:c>
      <x:c r="E206" s="44" t="str">
        <x:f>IFERROR(IF(SMALL('Offene Vorgänge'!$J$8:$J$207,199)&gt;=1E+90,"",INDEX('Offene Vorgänge'!$E$8:$E$207,MATCH(SMALL('Offene Vorgänge'!$J$8:$J$207,199),'Offene Vorgänge'!$J$8:$J$207,0))),"")</x:f>
      </x:c>
      <x:c r="F206" s="50" t="str">
        <x:f>IFERROR(IF(SMALL('Offene Vorgänge'!$J$8:$J$207,199)&gt;=1E+90,"",INDEX('Offene Vorgänge'!$F$8:$F$207,MATCH(SMALL('Offene Vorgänge'!$J$8:$J$207,199),'Offene Vorgänge'!$J$8:$J$207,0))),"")</x:f>
      </x:c>
      <x:c r="G206" s="50" t="str">
        <x:f>IF($E206="","",IF($C206="","ohne Frist",IF($C206&lt;TODAY(),"überfällig","offen")))</x:f>
      </x:c>
      <x:c r="H206" s="44" t="str">
        <x:f>IFERROR(IF(SMALL('Offene Vorgänge'!$J$8:$J$207,199)&gt;=1E+90,"",INDEX('Offene Vorgänge'!$H$8:$H$207,MATCH(SMALL('Offene Vorgänge'!$J$8:$J$207,199),'Offene Vorgänge'!$J$8:$J$207,0))),"")</x:f>
      </x:c>
      <x:c r="I206" s="1"/>
      <x:c r="J206" s="1"/>
      <x:c r="K206" s="1"/>
      <x:c r="L206" s="1"/>
      <x:c r="M206" s="1"/>
      <x:c r="N206" s="1"/>
      <x:c r="O206" s="1"/>
      <x:c r="P206" s="1"/>
      <x:c r="Q206" s="1"/>
      <x:c r="R206" s="1"/>
      <x:c r="S206" s="1"/>
      <x:c r="T206" s="1"/>
    </x:row>
    <x:row r="207" ht="18" customHeight="1">
      <x:c r="A207" s="1"/>
      <x:c r="B207" s="47" t="str">
        <x:f>IF($E207="","",200)</x:f>
      </x:c>
      <x:c r="C207" s="49" t="str">
        <x:f>IFERROR(IF(SMALL('Offene Vorgänge'!$J$8:$J$207,200)&gt;=1E+90,"",INDEX('Offene Vorgänge'!$C$8:$C$207,MATCH(SMALL('Offene Vorgänge'!$J$8:$J$207,200),'Offene Vorgänge'!$J$8:$J$207,0))),"")</x:f>
      </x:c>
      <x:c r="D207" s="50" t="str">
        <x:f>IFERROR(IF(SMALL('Offene Vorgänge'!$J$8:$J$207,200)&gt;=1E+90,"",INDEX('Offene Vorgänge'!$D$8:$D$207,MATCH(SMALL('Offene Vorgänge'!$J$8:$J$207,200),'Offene Vorgänge'!$J$8:$J$207,0))),"")</x:f>
      </x:c>
      <x:c r="E207" s="44" t="str">
        <x:f>IFERROR(IF(SMALL('Offene Vorgänge'!$J$8:$J$207,200)&gt;=1E+90,"",INDEX('Offene Vorgänge'!$E$8:$E$207,MATCH(SMALL('Offene Vorgänge'!$J$8:$J$207,200),'Offene Vorgänge'!$J$8:$J$207,0))),"")</x:f>
      </x:c>
      <x:c r="F207" s="50" t="str">
        <x:f>IFERROR(IF(SMALL('Offene Vorgänge'!$J$8:$J$207,200)&gt;=1E+90,"",INDEX('Offene Vorgänge'!$F$8:$F$207,MATCH(SMALL('Offene Vorgänge'!$J$8:$J$207,200),'Offene Vorgänge'!$J$8:$J$207,0))),"")</x:f>
      </x:c>
      <x:c r="G207" s="50" t="str">
        <x:f>IF($E207="","",IF($C207="","ohne Frist",IF($C207&lt;TODAY(),"überfällig","offen")))</x:f>
      </x:c>
      <x:c r="H207" s="44" t="str">
        <x:f>IFERROR(IF(SMALL('Offene Vorgänge'!$J$8:$J$207,200)&gt;=1E+90,"",INDEX('Offene Vorgänge'!$H$8:$H$207,MATCH(SMALL('Offene Vorgänge'!$J$8:$J$207,200),'Offene Vorgänge'!$J$8:$J$207,0))),"")</x:f>
      </x:c>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row r="221" ht="18" customHeight="1">
      <x:c r="A221" s="1"/>
      <x:c r="B221" s="1"/>
      <x:c r="C221" s="1"/>
      <x:c r="D221" s="1"/>
      <x:c r="E221" s="1"/>
      <x:c r="F221" s="1"/>
      <x:c r="G221" s="1"/>
      <x:c r="H221" s="1"/>
      <x:c r="I221" s="1"/>
      <x:c r="J221" s="1"/>
      <x:c r="K221" s="1"/>
      <x:c r="L221" s="1"/>
      <x:c r="M221" s="1"/>
      <x:c r="N221" s="1"/>
      <x:c r="O221" s="1"/>
      <x:c r="P221" s="1"/>
      <x:c r="Q221" s="1"/>
      <x:c r="R221" s="1"/>
      <x:c r="S221" s="1"/>
      <x:c r="T221" s="1"/>
    </x:row>
    <x:row r="222" ht="18" customHeight="1">
      <x:c r="A222" s="1"/>
      <x:c r="B222" s="1"/>
      <x:c r="C222" s="1"/>
      <x:c r="D222" s="1"/>
      <x:c r="E222" s="1"/>
      <x:c r="F222" s="1"/>
      <x:c r="G222" s="1"/>
      <x:c r="H222" s="1"/>
      <x:c r="I222" s="1"/>
      <x:c r="J222" s="1"/>
      <x:c r="K222" s="1"/>
      <x:c r="L222" s="1"/>
      <x:c r="M222" s="1"/>
      <x:c r="N222" s="1"/>
      <x:c r="O222" s="1"/>
      <x:c r="P222" s="1"/>
      <x:c r="Q222" s="1"/>
      <x:c r="R222" s="1"/>
      <x:c r="S222" s="1"/>
      <x:c r="T222" s="1"/>
    </x:row>
  </x:sheetData>
  <x:mergeCells>
    <x:mergeCell ref="B3:H3"/>
    <x:mergeCell ref="B4:H4"/>
  </x:mergeCells>
  <x:conditionalFormatting sqref="B8:H207">
    <x:cfRule type="expression" dxfId="2" priority="1">
      <x:formula>$G8="überfällig"</x:formula>
    </x:cfRule>
  </x:conditionalFormatting>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6" hidden="0" customWidth="1"/>
    <x:col min="3" max="3" width="13" hidden="0" customWidth="1"/>
    <x:col min="4" max="4" width="15" hidden="0" customWidth="1"/>
    <x:col min="5" max="5" width="43.0099983215332" hidden="0" customWidth="1"/>
    <x:col min="6" max="6" width="10" hidden="0" customWidth="1"/>
    <x:col min="7" max="7" width="10" hidden="0" customWidth="1"/>
    <x:col min="8" max="8" width="35.0099983215332"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Erledigt</x:v>
      </x:c>
      <x:c r="C3" s="5"/>
      <x:c r="D3" s="5"/>
      <x:c r="E3" s="5"/>
      <x:c r="F3" s="5"/>
      <x:c r="G3" s="5"/>
      <x:c r="H3" s="5"/>
      <x:c r="I3" s="1"/>
      <x:c r="J3" s="1"/>
      <x:c r="K3" s="1"/>
      <x:c r="L3" s="1"/>
      <x:c r="M3" s="1"/>
      <x:c r="N3" s="1"/>
      <x:c r="O3" s="1"/>
      <x:c r="P3" s="1"/>
      <x:c r="Q3" s="1"/>
      <x:c r="R3" s="1"/>
      <x:c r="S3" s="1"/>
      <x:c r="T3" s="1"/>
    </x:row>
    <x:row r="4" ht="20.017499923706055" customHeight="1">
      <x:c r="A4" s="1"/>
      <x:c r="B4" s="8" t="str">
        <x:v>Automatische Ansicht · Ursprungszeilen in „Offene Vorgänge“ nicht löschen</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40" t="str">
        <x:v>Nr.</x:v>
      </x:c>
      <x:c r="C7" s="40" t="str">
        <x:v>Fällig</x:v>
      </x:c>
      <x:c r="D7" s="40" t="str">
        <x:v>Schüler/in / Bereich</x:v>
      </x:c>
      <x:c r="E7" s="40" t="str">
        <x:v>Vorgang</x:v>
      </x:c>
      <x:c r="F7" s="40" t="str">
        <x:v>Priorität</x:v>
      </x:c>
      <x:c r="G7" s="40" t="str">
        <x:v>Erledigt</x:v>
      </x:c>
      <x:c r="H7" s="40" t="str">
        <x:v>Notiz</x:v>
      </x:c>
      <x:c r="I7" s="1"/>
      <x:c r="J7" s="1"/>
      <x:c r="K7" s="1"/>
      <x:c r="L7" s="1"/>
      <x:c r="M7" s="1"/>
      <x:c r="N7" s="1"/>
      <x:c r="O7" s="1"/>
      <x:c r="P7" s="1"/>
      <x:c r="Q7" s="1"/>
      <x:c r="R7" s="1"/>
      <x:c r="S7" s="1"/>
      <x:c r="T7" s="1"/>
    </x:row>
    <x:row r="8" ht="18" customHeight="1">
      <x:c r="A8" s="1"/>
      <x:c r="B8" s="47" t="n">
        <x:f>IF($E8="","",1)</x:f>
        <x:v>1</x:v>
      </x:c>
      <x:c r="C8" s="49" t="n">
        <x:f>IFERROR(INDEX('Offene Vorgänge'!$C$8:$C$207,MATCH(1,'Offene Vorgänge'!$I$8:$I$207,0)),"")</x:f>
        <x:v>46235</x:v>
      </x:c>
      <x:c r="D8" s="50" t="str">
        <x:f>IFERROR(INDEX('Offene Vorgänge'!$D$8:$D$207,MATCH(1,'Offene Vorgänge'!$I$8:$I$207,0)),"")</x:f>
        <x:v>Carla Beispiel</x:v>
      </x:c>
      <x:c r="E8" s="44" t="str">
        <x:f>IFERROR(INDEX('Offene Vorgänge'!$E$8:$E$207,MATCH(1,'Offene Vorgänge'!$I$8:$I$207,0)),"")</x:f>
        <x:v>Einverständniserklärung abgelegt</x:v>
      </x:c>
      <x:c r="F8" s="50" t="str">
        <x:f>IFERROR(INDEX('Offene Vorgänge'!$F$8:$F$207,MATCH(1,'Offene Vorgänge'!$I$8:$I$207,0)),"")</x:f>
        <x:v>C</x:v>
      </x:c>
      <x:c r="G8" s="50" t="str">
        <x:f>IFERROR(INDEX('Offene Vorgänge'!$G$8:$G$207,MATCH(1,'Offene Vorgänge'!$I$8:$I$207,0)),"")</x:f>
        <x:v>x</x:v>
      </x:c>
      <x:c r="H8" s="44" t="str">
        <x:f>IFERROR(INDEX('Offene Vorgänge'!$H$8:$H$207,MATCH(1,'Offene Vorgänge'!$I$8:$I$207,0)),"")</x:f>
        <x:v>Beispiel: erledigt · später löschen</x:v>
      </x:c>
      <x:c r="I8" s="1"/>
      <x:c r="J8" s="1"/>
      <x:c r="K8" s="1"/>
      <x:c r="L8" s="1"/>
      <x:c r="M8" s="1"/>
      <x:c r="N8" s="1"/>
      <x:c r="O8" s="1"/>
      <x:c r="P8" s="1"/>
      <x:c r="Q8" s="1"/>
      <x:c r="R8" s="1"/>
      <x:c r="S8" s="1"/>
      <x:c r="T8" s="1"/>
    </x:row>
    <x:row r="9" ht="18" customHeight="1">
      <x:c r="A9" s="1"/>
      <x:c r="B9" s="47" t="str">
        <x:f>IF($E9="","",2)</x:f>
      </x:c>
      <x:c r="C9" s="49" t="str">
        <x:f>IFERROR(INDEX('Offene Vorgänge'!$C$8:$C$207,MATCH(2,'Offene Vorgänge'!$I$8:$I$207,0)),"")</x:f>
      </x:c>
      <x:c r="D9" s="50" t="str">
        <x:f>IFERROR(INDEX('Offene Vorgänge'!$D$8:$D$207,MATCH(2,'Offene Vorgänge'!$I$8:$I$207,0)),"")</x:f>
      </x:c>
      <x:c r="E9" s="44" t="str">
        <x:f>IFERROR(INDEX('Offene Vorgänge'!$E$8:$E$207,MATCH(2,'Offene Vorgänge'!$I$8:$I$207,0)),"")</x:f>
      </x:c>
      <x:c r="F9" s="50" t="str">
        <x:f>IFERROR(INDEX('Offene Vorgänge'!$F$8:$F$207,MATCH(2,'Offene Vorgänge'!$I$8:$I$207,0)),"")</x:f>
      </x:c>
      <x:c r="G9" s="50" t="str">
        <x:f>IFERROR(INDEX('Offene Vorgänge'!$G$8:$G$207,MATCH(2,'Offene Vorgänge'!$I$8:$I$207,0)),"")</x:f>
      </x:c>
      <x:c r="H9" s="44" t="str">
        <x:f>IFERROR(INDEX('Offene Vorgänge'!$H$8:$H$207,MATCH(2,'Offene Vorgänge'!$I$8:$I$207,0)),"")</x:f>
      </x:c>
      <x:c r="I9" s="1"/>
      <x:c r="J9" s="1"/>
      <x:c r="K9" s="1"/>
      <x:c r="L9" s="1"/>
      <x:c r="M9" s="1"/>
      <x:c r="N9" s="1"/>
      <x:c r="O9" s="1"/>
      <x:c r="P9" s="1"/>
      <x:c r="Q9" s="1"/>
      <x:c r="R9" s="1"/>
      <x:c r="S9" s="1"/>
      <x:c r="T9" s="1"/>
    </x:row>
    <x:row r="10" ht="18" customHeight="1">
      <x:c r="A10" s="1"/>
      <x:c r="B10" s="47" t="str">
        <x:f>IF($E10="","",3)</x:f>
      </x:c>
      <x:c r="C10" s="49" t="str">
        <x:f>IFERROR(INDEX('Offene Vorgänge'!$C$8:$C$207,MATCH(3,'Offene Vorgänge'!$I$8:$I$207,0)),"")</x:f>
      </x:c>
      <x:c r="D10" s="50" t="str">
        <x:f>IFERROR(INDEX('Offene Vorgänge'!$D$8:$D$207,MATCH(3,'Offene Vorgänge'!$I$8:$I$207,0)),"")</x:f>
      </x:c>
      <x:c r="E10" s="44" t="str">
        <x:f>IFERROR(INDEX('Offene Vorgänge'!$E$8:$E$207,MATCH(3,'Offene Vorgänge'!$I$8:$I$207,0)),"")</x:f>
      </x:c>
      <x:c r="F10" s="50" t="str">
        <x:f>IFERROR(INDEX('Offene Vorgänge'!$F$8:$F$207,MATCH(3,'Offene Vorgänge'!$I$8:$I$207,0)),"")</x:f>
      </x:c>
      <x:c r="G10" s="50" t="str">
        <x:f>IFERROR(INDEX('Offene Vorgänge'!$G$8:$G$207,MATCH(3,'Offene Vorgänge'!$I$8:$I$207,0)),"")</x:f>
      </x:c>
      <x:c r="H10" s="44" t="str">
        <x:f>IFERROR(INDEX('Offene Vorgänge'!$H$8:$H$207,MATCH(3,'Offene Vorgänge'!$I$8:$I$207,0)),"")</x:f>
      </x:c>
      <x:c r="I10" s="1"/>
      <x:c r="J10" s="1"/>
      <x:c r="K10" s="1"/>
      <x:c r="L10" s="1"/>
      <x:c r="M10" s="1"/>
      <x:c r="N10" s="1"/>
      <x:c r="O10" s="1"/>
      <x:c r="P10" s="1"/>
      <x:c r="Q10" s="1"/>
      <x:c r="R10" s="1"/>
      <x:c r="S10" s="1"/>
      <x:c r="T10" s="1"/>
    </x:row>
    <x:row r="11" ht="18" customHeight="1">
      <x:c r="A11" s="1"/>
      <x:c r="B11" s="47" t="str">
        <x:f>IF($E11="","",4)</x:f>
      </x:c>
      <x:c r="C11" s="49" t="str">
        <x:f>IFERROR(INDEX('Offene Vorgänge'!$C$8:$C$207,MATCH(4,'Offene Vorgänge'!$I$8:$I$207,0)),"")</x:f>
      </x:c>
      <x:c r="D11" s="50" t="str">
        <x:f>IFERROR(INDEX('Offene Vorgänge'!$D$8:$D$207,MATCH(4,'Offene Vorgänge'!$I$8:$I$207,0)),"")</x:f>
      </x:c>
      <x:c r="E11" s="44" t="str">
        <x:f>IFERROR(INDEX('Offene Vorgänge'!$E$8:$E$207,MATCH(4,'Offene Vorgänge'!$I$8:$I$207,0)),"")</x:f>
      </x:c>
      <x:c r="F11" s="50" t="str">
        <x:f>IFERROR(INDEX('Offene Vorgänge'!$F$8:$F$207,MATCH(4,'Offene Vorgänge'!$I$8:$I$207,0)),"")</x:f>
      </x:c>
      <x:c r="G11" s="50" t="str">
        <x:f>IFERROR(INDEX('Offene Vorgänge'!$G$8:$G$207,MATCH(4,'Offene Vorgänge'!$I$8:$I$207,0)),"")</x:f>
      </x:c>
      <x:c r="H11" s="44" t="str">
        <x:f>IFERROR(INDEX('Offene Vorgänge'!$H$8:$H$207,MATCH(4,'Offene Vorgänge'!$I$8:$I$207,0)),"")</x:f>
      </x:c>
      <x:c r="I11" s="1"/>
      <x:c r="J11" s="1"/>
      <x:c r="K11" s="1"/>
      <x:c r="L11" s="1"/>
      <x:c r="M11" s="1"/>
      <x:c r="N11" s="1"/>
      <x:c r="O11" s="1"/>
      <x:c r="P11" s="1"/>
      <x:c r="Q11" s="1"/>
      <x:c r="R11" s="1"/>
      <x:c r="S11" s="1"/>
      <x:c r="T11" s="1"/>
    </x:row>
    <x:row r="12" ht="18" customHeight="1">
      <x:c r="A12" s="1"/>
      <x:c r="B12" s="47" t="str">
        <x:f>IF($E12="","",5)</x:f>
      </x:c>
      <x:c r="C12" s="49" t="str">
        <x:f>IFERROR(INDEX('Offene Vorgänge'!$C$8:$C$207,MATCH(5,'Offene Vorgänge'!$I$8:$I$207,0)),"")</x:f>
      </x:c>
      <x:c r="D12" s="50" t="str">
        <x:f>IFERROR(INDEX('Offene Vorgänge'!$D$8:$D$207,MATCH(5,'Offene Vorgänge'!$I$8:$I$207,0)),"")</x:f>
      </x:c>
      <x:c r="E12" s="44" t="str">
        <x:f>IFERROR(INDEX('Offene Vorgänge'!$E$8:$E$207,MATCH(5,'Offene Vorgänge'!$I$8:$I$207,0)),"")</x:f>
      </x:c>
      <x:c r="F12" s="50" t="str">
        <x:f>IFERROR(INDEX('Offene Vorgänge'!$F$8:$F$207,MATCH(5,'Offene Vorgänge'!$I$8:$I$207,0)),"")</x:f>
      </x:c>
      <x:c r="G12" s="50" t="str">
        <x:f>IFERROR(INDEX('Offene Vorgänge'!$G$8:$G$207,MATCH(5,'Offene Vorgänge'!$I$8:$I$207,0)),"")</x:f>
      </x:c>
      <x:c r="H12" s="44" t="str">
        <x:f>IFERROR(INDEX('Offene Vorgänge'!$H$8:$H$207,MATCH(5,'Offene Vorgänge'!$I$8:$I$207,0)),"")</x:f>
      </x:c>
      <x:c r="I12" s="1"/>
      <x:c r="J12" s="1"/>
      <x:c r="K12" s="1"/>
      <x:c r="L12" s="1"/>
      <x:c r="M12" s="1"/>
      <x:c r="N12" s="1"/>
      <x:c r="O12" s="1"/>
      <x:c r="P12" s="1"/>
      <x:c r="Q12" s="1"/>
      <x:c r="R12" s="1"/>
      <x:c r="S12" s="1"/>
      <x:c r="T12" s="1"/>
    </x:row>
    <x:row r="13" ht="18" customHeight="1">
      <x:c r="A13" s="1"/>
      <x:c r="B13" s="47" t="str">
        <x:f>IF($E13="","",6)</x:f>
      </x:c>
      <x:c r="C13" s="49" t="str">
        <x:f>IFERROR(INDEX('Offene Vorgänge'!$C$8:$C$207,MATCH(6,'Offene Vorgänge'!$I$8:$I$207,0)),"")</x:f>
      </x:c>
      <x:c r="D13" s="50" t="str">
        <x:f>IFERROR(INDEX('Offene Vorgänge'!$D$8:$D$207,MATCH(6,'Offene Vorgänge'!$I$8:$I$207,0)),"")</x:f>
      </x:c>
      <x:c r="E13" s="44" t="str">
        <x:f>IFERROR(INDEX('Offene Vorgänge'!$E$8:$E$207,MATCH(6,'Offene Vorgänge'!$I$8:$I$207,0)),"")</x:f>
      </x:c>
      <x:c r="F13" s="50" t="str">
        <x:f>IFERROR(INDEX('Offene Vorgänge'!$F$8:$F$207,MATCH(6,'Offene Vorgänge'!$I$8:$I$207,0)),"")</x:f>
      </x:c>
      <x:c r="G13" s="50" t="str">
        <x:f>IFERROR(INDEX('Offene Vorgänge'!$G$8:$G$207,MATCH(6,'Offene Vorgänge'!$I$8:$I$207,0)),"")</x:f>
      </x:c>
      <x:c r="H13" s="44" t="str">
        <x:f>IFERROR(INDEX('Offene Vorgänge'!$H$8:$H$207,MATCH(6,'Offene Vorgänge'!$I$8:$I$207,0)),"")</x:f>
      </x:c>
      <x:c r="I13" s="1"/>
      <x:c r="J13" s="1"/>
      <x:c r="K13" s="1"/>
      <x:c r="L13" s="1"/>
      <x:c r="M13" s="1"/>
      <x:c r="N13" s="1"/>
      <x:c r="O13" s="1"/>
      <x:c r="P13" s="1"/>
      <x:c r="Q13" s="1"/>
      <x:c r="R13" s="1"/>
      <x:c r="S13" s="1"/>
      <x:c r="T13" s="1"/>
    </x:row>
    <x:row r="14" ht="18" customHeight="1">
      <x:c r="A14" s="1"/>
      <x:c r="B14" s="47" t="str">
        <x:f>IF($E14="","",7)</x:f>
      </x:c>
      <x:c r="C14" s="49" t="str">
        <x:f>IFERROR(INDEX('Offene Vorgänge'!$C$8:$C$207,MATCH(7,'Offene Vorgänge'!$I$8:$I$207,0)),"")</x:f>
      </x:c>
      <x:c r="D14" s="50" t="str">
        <x:f>IFERROR(INDEX('Offene Vorgänge'!$D$8:$D$207,MATCH(7,'Offene Vorgänge'!$I$8:$I$207,0)),"")</x:f>
      </x:c>
      <x:c r="E14" s="44" t="str">
        <x:f>IFERROR(INDEX('Offene Vorgänge'!$E$8:$E$207,MATCH(7,'Offene Vorgänge'!$I$8:$I$207,0)),"")</x:f>
      </x:c>
      <x:c r="F14" s="50" t="str">
        <x:f>IFERROR(INDEX('Offene Vorgänge'!$F$8:$F$207,MATCH(7,'Offene Vorgänge'!$I$8:$I$207,0)),"")</x:f>
      </x:c>
      <x:c r="G14" s="50" t="str">
        <x:f>IFERROR(INDEX('Offene Vorgänge'!$G$8:$G$207,MATCH(7,'Offene Vorgänge'!$I$8:$I$207,0)),"")</x:f>
      </x:c>
      <x:c r="H14" s="44" t="str">
        <x:f>IFERROR(INDEX('Offene Vorgänge'!$H$8:$H$207,MATCH(7,'Offene Vorgänge'!$I$8:$I$207,0)),"")</x:f>
      </x:c>
      <x:c r="I14" s="1"/>
      <x:c r="J14" s="1"/>
      <x:c r="K14" s="1"/>
      <x:c r="L14" s="1"/>
      <x:c r="M14" s="1"/>
      <x:c r="N14" s="1"/>
      <x:c r="O14" s="1"/>
      <x:c r="P14" s="1"/>
      <x:c r="Q14" s="1"/>
      <x:c r="R14" s="1"/>
      <x:c r="S14" s="1"/>
      <x:c r="T14" s="1"/>
    </x:row>
    <x:row r="15" ht="18" customHeight="1">
      <x:c r="A15" s="1"/>
      <x:c r="B15" s="47" t="str">
        <x:f>IF($E15="","",8)</x:f>
      </x:c>
      <x:c r="C15" s="49" t="str">
        <x:f>IFERROR(INDEX('Offene Vorgänge'!$C$8:$C$207,MATCH(8,'Offene Vorgänge'!$I$8:$I$207,0)),"")</x:f>
      </x:c>
      <x:c r="D15" s="50" t="str">
        <x:f>IFERROR(INDEX('Offene Vorgänge'!$D$8:$D$207,MATCH(8,'Offene Vorgänge'!$I$8:$I$207,0)),"")</x:f>
      </x:c>
      <x:c r="E15" s="44" t="str">
        <x:f>IFERROR(INDEX('Offene Vorgänge'!$E$8:$E$207,MATCH(8,'Offene Vorgänge'!$I$8:$I$207,0)),"")</x:f>
      </x:c>
      <x:c r="F15" s="50" t="str">
        <x:f>IFERROR(INDEX('Offene Vorgänge'!$F$8:$F$207,MATCH(8,'Offene Vorgänge'!$I$8:$I$207,0)),"")</x:f>
      </x:c>
      <x:c r="G15" s="50" t="str">
        <x:f>IFERROR(INDEX('Offene Vorgänge'!$G$8:$G$207,MATCH(8,'Offene Vorgänge'!$I$8:$I$207,0)),"")</x:f>
      </x:c>
      <x:c r="H15" s="44" t="str">
        <x:f>IFERROR(INDEX('Offene Vorgänge'!$H$8:$H$207,MATCH(8,'Offene Vorgänge'!$I$8:$I$207,0)),"")</x:f>
      </x:c>
      <x:c r="I15" s="1"/>
      <x:c r="J15" s="1"/>
      <x:c r="K15" s="1"/>
      <x:c r="L15" s="1"/>
      <x:c r="M15" s="1"/>
      <x:c r="N15" s="1"/>
      <x:c r="O15" s="1"/>
      <x:c r="P15" s="1"/>
      <x:c r="Q15" s="1"/>
      <x:c r="R15" s="1"/>
      <x:c r="S15" s="1"/>
      <x:c r="T15" s="1"/>
    </x:row>
    <x:row r="16" ht="18" customHeight="1">
      <x:c r="A16" s="1"/>
      <x:c r="B16" s="47" t="str">
        <x:f>IF($E16="","",9)</x:f>
      </x:c>
      <x:c r="C16" s="49" t="str">
        <x:f>IFERROR(INDEX('Offene Vorgänge'!$C$8:$C$207,MATCH(9,'Offene Vorgänge'!$I$8:$I$207,0)),"")</x:f>
      </x:c>
      <x:c r="D16" s="50" t="str">
        <x:f>IFERROR(INDEX('Offene Vorgänge'!$D$8:$D$207,MATCH(9,'Offene Vorgänge'!$I$8:$I$207,0)),"")</x:f>
      </x:c>
      <x:c r="E16" s="44" t="str">
        <x:f>IFERROR(INDEX('Offene Vorgänge'!$E$8:$E$207,MATCH(9,'Offene Vorgänge'!$I$8:$I$207,0)),"")</x:f>
      </x:c>
      <x:c r="F16" s="50" t="str">
        <x:f>IFERROR(INDEX('Offene Vorgänge'!$F$8:$F$207,MATCH(9,'Offene Vorgänge'!$I$8:$I$207,0)),"")</x:f>
      </x:c>
      <x:c r="G16" s="50" t="str">
        <x:f>IFERROR(INDEX('Offene Vorgänge'!$G$8:$G$207,MATCH(9,'Offene Vorgänge'!$I$8:$I$207,0)),"")</x:f>
      </x:c>
      <x:c r="H16" s="44" t="str">
        <x:f>IFERROR(INDEX('Offene Vorgänge'!$H$8:$H$207,MATCH(9,'Offene Vorgänge'!$I$8:$I$207,0)),"")</x:f>
      </x:c>
      <x:c r="I16" s="1"/>
      <x:c r="J16" s="1"/>
      <x:c r="K16" s="1"/>
      <x:c r="L16" s="1"/>
      <x:c r="M16" s="1"/>
      <x:c r="N16" s="1"/>
      <x:c r="O16" s="1"/>
      <x:c r="P16" s="1"/>
      <x:c r="Q16" s="1"/>
      <x:c r="R16" s="1"/>
      <x:c r="S16" s="1"/>
      <x:c r="T16" s="1"/>
    </x:row>
    <x:row r="17" ht="18" customHeight="1">
      <x:c r="A17" s="1"/>
      <x:c r="B17" s="47" t="str">
        <x:f>IF($E17="","",10)</x:f>
      </x:c>
      <x:c r="C17" s="49" t="str">
        <x:f>IFERROR(INDEX('Offene Vorgänge'!$C$8:$C$207,MATCH(10,'Offene Vorgänge'!$I$8:$I$207,0)),"")</x:f>
      </x:c>
      <x:c r="D17" s="50" t="str">
        <x:f>IFERROR(INDEX('Offene Vorgänge'!$D$8:$D$207,MATCH(10,'Offene Vorgänge'!$I$8:$I$207,0)),"")</x:f>
      </x:c>
      <x:c r="E17" s="44" t="str">
        <x:f>IFERROR(INDEX('Offene Vorgänge'!$E$8:$E$207,MATCH(10,'Offene Vorgänge'!$I$8:$I$207,0)),"")</x:f>
      </x:c>
      <x:c r="F17" s="50" t="str">
        <x:f>IFERROR(INDEX('Offene Vorgänge'!$F$8:$F$207,MATCH(10,'Offene Vorgänge'!$I$8:$I$207,0)),"")</x:f>
      </x:c>
      <x:c r="G17" s="50" t="str">
        <x:f>IFERROR(INDEX('Offene Vorgänge'!$G$8:$G$207,MATCH(10,'Offene Vorgänge'!$I$8:$I$207,0)),"")</x:f>
      </x:c>
      <x:c r="H17" s="44" t="str">
        <x:f>IFERROR(INDEX('Offene Vorgänge'!$H$8:$H$207,MATCH(10,'Offene Vorgänge'!$I$8:$I$207,0)),"")</x:f>
      </x:c>
      <x:c r="I17" s="1"/>
      <x:c r="J17" s="1"/>
      <x:c r="K17" s="1"/>
      <x:c r="L17" s="1"/>
      <x:c r="M17" s="1"/>
      <x:c r="N17" s="1"/>
      <x:c r="O17" s="1"/>
      <x:c r="P17" s="1"/>
      <x:c r="Q17" s="1"/>
      <x:c r="R17" s="1"/>
      <x:c r="S17" s="1"/>
      <x:c r="T17" s="1"/>
    </x:row>
    <x:row r="18" ht="18" customHeight="1">
      <x:c r="A18" s="1"/>
      <x:c r="B18" s="47" t="str">
        <x:f>IF($E18="","",11)</x:f>
      </x:c>
      <x:c r="C18" s="49" t="str">
        <x:f>IFERROR(INDEX('Offene Vorgänge'!$C$8:$C$207,MATCH(11,'Offene Vorgänge'!$I$8:$I$207,0)),"")</x:f>
      </x:c>
      <x:c r="D18" s="50" t="str">
        <x:f>IFERROR(INDEX('Offene Vorgänge'!$D$8:$D$207,MATCH(11,'Offene Vorgänge'!$I$8:$I$207,0)),"")</x:f>
      </x:c>
      <x:c r="E18" s="44" t="str">
        <x:f>IFERROR(INDEX('Offene Vorgänge'!$E$8:$E$207,MATCH(11,'Offene Vorgänge'!$I$8:$I$207,0)),"")</x:f>
      </x:c>
      <x:c r="F18" s="50" t="str">
        <x:f>IFERROR(INDEX('Offene Vorgänge'!$F$8:$F$207,MATCH(11,'Offene Vorgänge'!$I$8:$I$207,0)),"")</x:f>
      </x:c>
      <x:c r="G18" s="50" t="str">
        <x:f>IFERROR(INDEX('Offene Vorgänge'!$G$8:$G$207,MATCH(11,'Offene Vorgänge'!$I$8:$I$207,0)),"")</x:f>
      </x:c>
      <x:c r="H18" s="44" t="str">
        <x:f>IFERROR(INDEX('Offene Vorgänge'!$H$8:$H$207,MATCH(11,'Offene Vorgänge'!$I$8:$I$207,0)),"")</x:f>
      </x:c>
      <x:c r="I18" s="1"/>
      <x:c r="J18" s="1"/>
      <x:c r="K18" s="1"/>
      <x:c r="L18" s="1"/>
      <x:c r="M18" s="1"/>
      <x:c r="N18" s="1"/>
      <x:c r="O18" s="1"/>
      <x:c r="P18" s="1"/>
      <x:c r="Q18" s="1"/>
      <x:c r="R18" s="1"/>
      <x:c r="S18" s="1"/>
      <x:c r="T18" s="1"/>
    </x:row>
    <x:row r="19" ht="18" customHeight="1">
      <x:c r="A19" s="1"/>
      <x:c r="B19" s="47" t="str">
        <x:f>IF($E19="","",12)</x:f>
      </x:c>
      <x:c r="C19" s="49" t="str">
        <x:f>IFERROR(INDEX('Offene Vorgänge'!$C$8:$C$207,MATCH(12,'Offene Vorgänge'!$I$8:$I$207,0)),"")</x:f>
      </x:c>
      <x:c r="D19" s="50" t="str">
        <x:f>IFERROR(INDEX('Offene Vorgänge'!$D$8:$D$207,MATCH(12,'Offene Vorgänge'!$I$8:$I$207,0)),"")</x:f>
      </x:c>
      <x:c r="E19" s="44" t="str">
        <x:f>IFERROR(INDEX('Offene Vorgänge'!$E$8:$E$207,MATCH(12,'Offene Vorgänge'!$I$8:$I$207,0)),"")</x:f>
      </x:c>
      <x:c r="F19" s="50" t="str">
        <x:f>IFERROR(INDEX('Offene Vorgänge'!$F$8:$F$207,MATCH(12,'Offene Vorgänge'!$I$8:$I$207,0)),"")</x:f>
      </x:c>
      <x:c r="G19" s="50" t="str">
        <x:f>IFERROR(INDEX('Offene Vorgänge'!$G$8:$G$207,MATCH(12,'Offene Vorgänge'!$I$8:$I$207,0)),"")</x:f>
      </x:c>
      <x:c r="H19" s="44" t="str">
        <x:f>IFERROR(INDEX('Offene Vorgänge'!$H$8:$H$207,MATCH(12,'Offene Vorgänge'!$I$8:$I$207,0)),"")</x:f>
      </x:c>
      <x:c r="I19" s="1"/>
      <x:c r="J19" s="1"/>
      <x:c r="K19" s="1"/>
      <x:c r="L19" s="1"/>
      <x:c r="M19" s="1"/>
      <x:c r="N19" s="1"/>
      <x:c r="O19" s="1"/>
      <x:c r="P19" s="1"/>
      <x:c r="Q19" s="1"/>
      <x:c r="R19" s="1"/>
      <x:c r="S19" s="1"/>
      <x:c r="T19" s="1"/>
    </x:row>
    <x:row r="20" ht="18" customHeight="1">
      <x:c r="A20" s="1"/>
      <x:c r="B20" s="47" t="str">
        <x:f>IF($E20="","",13)</x:f>
      </x:c>
      <x:c r="C20" s="49" t="str">
        <x:f>IFERROR(INDEX('Offene Vorgänge'!$C$8:$C$207,MATCH(13,'Offene Vorgänge'!$I$8:$I$207,0)),"")</x:f>
      </x:c>
      <x:c r="D20" s="50" t="str">
        <x:f>IFERROR(INDEX('Offene Vorgänge'!$D$8:$D$207,MATCH(13,'Offene Vorgänge'!$I$8:$I$207,0)),"")</x:f>
      </x:c>
      <x:c r="E20" s="44" t="str">
        <x:f>IFERROR(INDEX('Offene Vorgänge'!$E$8:$E$207,MATCH(13,'Offene Vorgänge'!$I$8:$I$207,0)),"")</x:f>
      </x:c>
      <x:c r="F20" s="50" t="str">
        <x:f>IFERROR(INDEX('Offene Vorgänge'!$F$8:$F$207,MATCH(13,'Offene Vorgänge'!$I$8:$I$207,0)),"")</x:f>
      </x:c>
      <x:c r="G20" s="50" t="str">
        <x:f>IFERROR(INDEX('Offene Vorgänge'!$G$8:$G$207,MATCH(13,'Offene Vorgänge'!$I$8:$I$207,0)),"")</x:f>
      </x:c>
      <x:c r="H20" s="44" t="str">
        <x:f>IFERROR(INDEX('Offene Vorgänge'!$H$8:$H$207,MATCH(13,'Offene Vorgänge'!$I$8:$I$207,0)),"")</x:f>
      </x:c>
      <x:c r="I20" s="1"/>
      <x:c r="J20" s="1"/>
      <x:c r="K20" s="1"/>
      <x:c r="L20" s="1"/>
      <x:c r="M20" s="1"/>
      <x:c r="N20" s="1"/>
      <x:c r="O20" s="1"/>
      <x:c r="P20" s="1"/>
      <x:c r="Q20" s="1"/>
      <x:c r="R20" s="1"/>
      <x:c r="S20" s="1"/>
      <x:c r="T20" s="1"/>
    </x:row>
    <x:row r="21" ht="18" customHeight="1">
      <x:c r="A21" s="1"/>
      <x:c r="B21" s="47" t="str">
        <x:f>IF($E21="","",14)</x:f>
      </x:c>
      <x:c r="C21" s="49" t="str">
        <x:f>IFERROR(INDEX('Offene Vorgänge'!$C$8:$C$207,MATCH(14,'Offene Vorgänge'!$I$8:$I$207,0)),"")</x:f>
      </x:c>
      <x:c r="D21" s="50" t="str">
        <x:f>IFERROR(INDEX('Offene Vorgänge'!$D$8:$D$207,MATCH(14,'Offene Vorgänge'!$I$8:$I$207,0)),"")</x:f>
      </x:c>
      <x:c r="E21" s="44" t="str">
        <x:f>IFERROR(INDEX('Offene Vorgänge'!$E$8:$E$207,MATCH(14,'Offene Vorgänge'!$I$8:$I$207,0)),"")</x:f>
      </x:c>
      <x:c r="F21" s="50" t="str">
        <x:f>IFERROR(INDEX('Offene Vorgänge'!$F$8:$F$207,MATCH(14,'Offene Vorgänge'!$I$8:$I$207,0)),"")</x:f>
      </x:c>
      <x:c r="G21" s="50" t="str">
        <x:f>IFERROR(INDEX('Offene Vorgänge'!$G$8:$G$207,MATCH(14,'Offene Vorgänge'!$I$8:$I$207,0)),"")</x:f>
      </x:c>
      <x:c r="H21" s="44" t="str">
        <x:f>IFERROR(INDEX('Offene Vorgänge'!$H$8:$H$207,MATCH(14,'Offene Vorgänge'!$I$8:$I$207,0)),"")</x:f>
      </x:c>
      <x:c r="I21" s="1"/>
      <x:c r="J21" s="1"/>
      <x:c r="K21" s="1"/>
      <x:c r="L21" s="1"/>
      <x:c r="M21" s="1"/>
      <x:c r="N21" s="1"/>
      <x:c r="O21" s="1"/>
      <x:c r="P21" s="1"/>
      <x:c r="Q21" s="1"/>
      <x:c r="R21" s="1"/>
      <x:c r="S21" s="1"/>
      <x:c r="T21" s="1"/>
    </x:row>
    <x:row r="22" ht="18" customHeight="1">
      <x:c r="A22" s="1"/>
      <x:c r="B22" s="47" t="str">
        <x:f>IF($E22="","",15)</x:f>
      </x:c>
      <x:c r="C22" s="49" t="str">
        <x:f>IFERROR(INDEX('Offene Vorgänge'!$C$8:$C$207,MATCH(15,'Offene Vorgänge'!$I$8:$I$207,0)),"")</x:f>
      </x:c>
      <x:c r="D22" s="50" t="str">
        <x:f>IFERROR(INDEX('Offene Vorgänge'!$D$8:$D$207,MATCH(15,'Offene Vorgänge'!$I$8:$I$207,0)),"")</x:f>
      </x:c>
      <x:c r="E22" s="44" t="str">
        <x:f>IFERROR(INDEX('Offene Vorgänge'!$E$8:$E$207,MATCH(15,'Offene Vorgänge'!$I$8:$I$207,0)),"")</x:f>
      </x:c>
      <x:c r="F22" s="50" t="str">
        <x:f>IFERROR(INDEX('Offene Vorgänge'!$F$8:$F$207,MATCH(15,'Offene Vorgänge'!$I$8:$I$207,0)),"")</x:f>
      </x:c>
      <x:c r="G22" s="50" t="str">
        <x:f>IFERROR(INDEX('Offene Vorgänge'!$G$8:$G$207,MATCH(15,'Offene Vorgänge'!$I$8:$I$207,0)),"")</x:f>
      </x:c>
      <x:c r="H22" s="44" t="str">
        <x:f>IFERROR(INDEX('Offene Vorgänge'!$H$8:$H$207,MATCH(15,'Offene Vorgänge'!$I$8:$I$207,0)),"")</x:f>
      </x:c>
      <x:c r="I22" s="1"/>
      <x:c r="J22" s="1"/>
      <x:c r="K22" s="1"/>
      <x:c r="L22" s="1"/>
      <x:c r="M22" s="1"/>
      <x:c r="N22" s="1"/>
      <x:c r="O22" s="1"/>
      <x:c r="P22" s="1"/>
      <x:c r="Q22" s="1"/>
      <x:c r="R22" s="1"/>
      <x:c r="S22" s="1"/>
      <x:c r="T22" s="1"/>
    </x:row>
    <x:row r="23" ht="18" customHeight="1">
      <x:c r="A23" s="1"/>
      <x:c r="B23" s="47" t="str">
        <x:f>IF($E23="","",16)</x:f>
      </x:c>
      <x:c r="C23" s="49" t="str">
        <x:f>IFERROR(INDEX('Offene Vorgänge'!$C$8:$C$207,MATCH(16,'Offene Vorgänge'!$I$8:$I$207,0)),"")</x:f>
      </x:c>
      <x:c r="D23" s="50" t="str">
        <x:f>IFERROR(INDEX('Offene Vorgänge'!$D$8:$D$207,MATCH(16,'Offene Vorgänge'!$I$8:$I$207,0)),"")</x:f>
      </x:c>
      <x:c r="E23" s="44" t="str">
        <x:f>IFERROR(INDEX('Offene Vorgänge'!$E$8:$E$207,MATCH(16,'Offene Vorgänge'!$I$8:$I$207,0)),"")</x:f>
      </x:c>
      <x:c r="F23" s="50" t="str">
        <x:f>IFERROR(INDEX('Offene Vorgänge'!$F$8:$F$207,MATCH(16,'Offene Vorgänge'!$I$8:$I$207,0)),"")</x:f>
      </x:c>
      <x:c r="G23" s="50" t="str">
        <x:f>IFERROR(INDEX('Offene Vorgänge'!$G$8:$G$207,MATCH(16,'Offene Vorgänge'!$I$8:$I$207,0)),"")</x:f>
      </x:c>
      <x:c r="H23" s="44" t="str">
        <x:f>IFERROR(INDEX('Offene Vorgänge'!$H$8:$H$207,MATCH(16,'Offene Vorgänge'!$I$8:$I$207,0)),"")</x:f>
      </x:c>
      <x:c r="I23" s="1"/>
      <x:c r="J23" s="1"/>
      <x:c r="K23" s="1"/>
      <x:c r="L23" s="1"/>
      <x:c r="M23" s="1"/>
      <x:c r="N23" s="1"/>
      <x:c r="O23" s="1"/>
      <x:c r="P23" s="1"/>
      <x:c r="Q23" s="1"/>
      <x:c r="R23" s="1"/>
      <x:c r="S23" s="1"/>
      <x:c r="T23" s="1"/>
    </x:row>
    <x:row r="24" ht="18" customHeight="1">
      <x:c r="A24" s="1"/>
      <x:c r="B24" s="47" t="str">
        <x:f>IF($E24="","",17)</x:f>
      </x:c>
      <x:c r="C24" s="49" t="str">
        <x:f>IFERROR(INDEX('Offene Vorgänge'!$C$8:$C$207,MATCH(17,'Offene Vorgänge'!$I$8:$I$207,0)),"")</x:f>
      </x:c>
      <x:c r="D24" s="50" t="str">
        <x:f>IFERROR(INDEX('Offene Vorgänge'!$D$8:$D$207,MATCH(17,'Offene Vorgänge'!$I$8:$I$207,0)),"")</x:f>
      </x:c>
      <x:c r="E24" s="44" t="str">
        <x:f>IFERROR(INDEX('Offene Vorgänge'!$E$8:$E$207,MATCH(17,'Offene Vorgänge'!$I$8:$I$207,0)),"")</x:f>
      </x:c>
      <x:c r="F24" s="50" t="str">
        <x:f>IFERROR(INDEX('Offene Vorgänge'!$F$8:$F$207,MATCH(17,'Offene Vorgänge'!$I$8:$I$207,0)),"")</x:f>
      </x:c>
      <x:c r="G24" s="50" t="str">
        <x:f>IFERROR(INDEX('Offene Vorgänge'!$G$8:$G$207,MATCH(17,'Offene Vorgänge'!$I$8:$I$207,0)),"")</x:f>
      </x:c>
      <x:c r="H24" s="44" t="str">
        <x:f>IFERROR(INDEX('Offene Vorgänge'!$H$8:$H$207,MATCH(17,'Offene Vorgänge'!$I$8:$I$207,0)),"")</x:f>
      </x:c>
      <x:c r="I24" s="1"/>
      <x:c r="J24" s="1"/>
      <x:c r="K24" s="1"/>
      <x:c r="L24" s="1"/>
      <x:c r="M24" s="1"/>
      <x:c r="N24" s="1"/>
      <x:c r="O24" s="1"/>
      <x:c r="P24" s="1"/>
      <x:c r="Q24" s="1"/>
      <x:c r="R24" s="1"/>
      <x:c r="S24" s="1"/>
      <x:c r="T24" s="1"/>
    </x:row>
    <x:row r="25" ht="18" customHeight="1">
      <x:c r="A25" s="1"/>
      <x:c r="B25" s="47" t="str">
        <x:f>IF($E25="","",18)</x:f>
      </x:c>
      <x:c r="C25" s="49" t="str">
        <x:f>IFERROR(INDEX('Offene Vorgänge'!$C$8:$C$207,MATCH(18,'Offene Vorgänge'!$I$8:$I$207,0)),"")</x:f>
      </x:c>
      <x:c r="D25" s="50" t="str">
        <x:f>IFERROR(INDEX('Offene Vorgänge'!$D$8:$D$207,MATCH(18,'Offene Vorgänge'!$I$8:$I$207,0)),"")</x:f>
      </x:c>
      <x:c r="E25" s="44" t="str">
        <x:f>IFERROR(INDEX('Offene Vorgänge'!$E$8:$E$207,MATCH(18,'Offene Vorgänge'!$I$8:$I$207,0)),"")</x:f>
      </x:c>
      <x:c r="F25" s="50" t="str">
        <x:f>IFERROR(INDEX('Offene Vorgänge'!$F$8:$F$207,MATCH(18,'Offene Vorgänge'!$I$8:$I$207,0)),"")</x:f>
      </x:c>
      <x:c r="G25" s="50" t="str">
        <x:f>IFERROR(INDEX('Offene Vorgänge'!$G$8:$G$207,MATCH(18,'Offene Vorgänge'!$I$8:$I$207,0)),"")</x:f>
      </x:c>
      <x:c r="H25" s="44" t="str">
        <x:f>IFERROR(INDEX('Offene Vorgänge'!$H$8:$H$207,MATCH(18,'Offene Vorgänge'!$I$8:$I$207,0)),"")</x:f>
      </x:c>
      <x:c r="I25" s="1"/>
      <x:c r="J25" s="1"/>
      <x:c r="K25" s="1"/>
      <x:c r="L25" s="1"/>
      <x:c r="M25" s="1"/>
      <x:c r="N25" s="1"/>
      <x:c r="O25" s="1"/>
      <x:c r="P25" s="1"/>
      <x:c r="Q25" s="1"/>
      <x:c r="R25" s="1"/>
      <x:c r="S25" s="1"/>
      <x:c r="T25" s="1"/>
    </x:row>
    <x:row r="26" ht="18" customHeight="1">
      <x:c r="A26" s="1"/>
      <x:c r="B26" s="47" t="str">
        <x:f>IF($E26="","",19)</x:f>
      </x:c>
      <x:c r="C26" s="49" t="str">
        <x:f>IFERROR(INDEX('Offene Vorgänge'!$C$8:$C$207,MATCH(19,'Offene Vorgänge'!$I$8:$I$207,0)),"")</x:f>
      </x:c>
      <x:c r="D26" s="50" t="str">
        <x:f>IFERROR(INDEX('Offene Vorgänge'!$D$8:$D$207,MATCH(19,'Offene Vorgänge'!$I$8:$I$207,0)),"")</x:f>
      </x:c>
      <x:c r="E26" s="44" t="str">
        <x:f>IFERROR(INDEX('Offene Vorgänge'!$E$8:$E$207,MATCH(19,'Offene Vorgänge'!$I$8:$I$207,0)),"")</x:f>
      </x:c>
      <x:c r="F26" s="50" t="str">
        <x:f>IFERROR(INDEX('Offene Vorgänge'!$F$8:$F$207,MATCH(19,'Offene Vorgänge'!$I$8:$I$207,0)),"")</x:f>
      </x:c>
      <x:c r="G26" s="50" t="str">
        <x:f>IFERROR(INDEX('Offene Vorgänge'!$G$8:$G$207,MATCH(19,'Offene Vorgänge'!$I$8:$I$207,0)),"")</x:f>
      </x:c>
      <x:c r="H26" s="44" t="str">
        <x:f>IFERROR(INDEX('Offene Vorgänge'!$H$8:$H$207,MATCH(19,'Offene Vorgänge'!$I$8:$I$207,0)),"")</x:f>
      </x:c>
      <x:c r="I26" s="1"/>
      <x:c r="J26" s="1"/>
      <x:c r="K26" s="1"/>
      <x:c r="L26" s="1"/>
      <x:c r="M26" s="1"/>
      <x:c r="N26" s="1"/>
      <x:c r="O26" s="1"/>
      <x:c r="P26" s="1"/>
      <x:c r="Q26" s="1"/>
      <x:c r="R26" s="1"/>
      <x:c r="S26" s="1"/>
      <x:c r="T26" s="1"/>
    </x:row>
    <x:row r="27" ht="18" customHeight="1">
      <x:c r="A27" s="1"/>
      <x:c r="B27" s="47" t="str">
        <x:f>IF($E27="","",20)</x:f>
      </x:c>
      <x:c r="C27" s="49" t="str">
        <x:f>IFERROR(INDEX('Offene Vorgänge'!$C$8:$C$207,MATCH(20,'Offene Vorgänge'!$I$8:$I$207,0)),"")</x:f>
      </x:c>
      <x:c r="D27" s="50" t="str">
        <x:f>IFERROR(INDEX('Offene Vorgänge'!$D$8:$D$207,MATCH(20,'Offene Vorgänge'!$I$8:$I$207,0)),"")</x:f>
      </x:c>
      <x:c r="E27" s="44" t="str">
        <x:f>IFERROR(INDEX('Offene Vorgänge'!$E$8:$E$207,MATCH(20,'Offene Vorgänge'!$I$8:$I$207,0)),"")</x:f>
      </x:c>
      <x:c r="F27" s="50" t="str">
        <x:f>IFERROR(INDEX('Offene Vorgänge'!$F$8:$F$207,MATCH(20,'Offene Vorgänge'!$I$8:$I$207,0)),"")</x:f>
      </x:c>
      <x:c r="G27" s="50" t="str">
        <x:f>IFERROR(INDEX('Offene Vorgänge'!$G$8:$G$207,MATCH(20,'Offene Vorgänge'!$I$8:$I$207,0)),"")</x:f>
      </x:c>
      <x:c r="H27" s="44" t="str">
        <x:f>IFERROR(INDEX('Offene Vorgänge'!$H$8:$H$207,MATCH(20,'Offene Vorgänge'!$I$8:$I$207,0)),"")</x:f>
      </x:c>
      <x:c r="I27" s="1"/>
      <x:c r="J27" s="1"/>
      <x:c r="K27" s="1"/>
      <x:c r="L27" s="1"/>
      <x:c r="M27" s="1"/>
      <x:c r="N27" s="1"/>
      <x:c r="O27" s="1"/>
      <x:c r="P27" s="1"/>
      <x:c r="Q27" s="1"/>
      <x:c r="R27" s="1"/>
      <x:c r="S27" s="1"/>
      <x:c r="T27" s="1"/>
    </x:row>
    <x:row r="28" ht="18" customHeight="1">
      <x:c r="A28" s="1"/>
      <x:c r="B28" s="47" t="str">
        <x:f>IF($E28="","",21)</x:f>
      </x:c>
      <x:c r="C28" s="49" t="str">
        <x:f>IFERROR(INDEX('Offene Vorgänge'!$C$8:$C$207,MATCH(21,'Offene Vorgänge'!$I$8:$I$207,0)),"")</x:f>
      </x:c>
      <x:c r="D28" s="50" t="str">
        <x:f>IFERROR(INDEX('Offene Vorgänge'!$D$8:$D$207,MATCH(21,'Offene Vorgänge'!$I$8:$I$207,0)),"")</x:f>
      </x:c>
      <x:c r="E28" s="44" t="str">
        <x:f>IFERROR(INDEX('Offene Vorgänge'!$E$8:$E$207,MATCH(21,'Offene Vorgänge'!$I$8:$I$207,0)),"")</x:f>
      </x:c>
      <x:c r="F28" s="50" t="str">
        <x:f>IFERROR(INDEX('Offene Vorgänge'!$F$8:$F$207,MATCH(21,'Offene Vorgänge'!$I$8:$I$207,0)),"")</x:f>
      </x:c>
      <x:c r="G28" s="50" t="str">
        <x:f>IFERROR(INDEX('Offene Vorgänge'!$G$8:$G$207,MATCH(21,'Offene Vorgänge'!$I$8:$I$207,0)),"")</x:f>
      </x:c>
      <x:c r="H28" s="44" t="str">
        <x:f>IFERROR(INDEX('Offene Vorgänge'!$H$8:$H$207,MATCH(21,'Offene Vorgänge'!$I$8:$I$207,0)),"")</x:f>
      </x:c>
      <x:c r="I28" s="1"/>
      <x:c r="J28" s="1"/>
      <x:c r="K28" s="1"/>
      <x:c r="L28" s="1"/>
      <x:c r="M28" s="1"/>
      <x:c r="N28" s="1"/>
      <x:c r="O28" s="1"/>
      <x:c r="P28" s="1"/>
      <x:c r="Q28" s="1"/>
      <x:c r="R28" s="1"/>
      <x:c r="S28" s="1"/>
      <x:c r="T28" s="1"/>
    </x:row>
    <x:row r="29" ht="18" customHeight="1">
      <x:c r="A29" s="1"/>
      <x:c r="B29" s="47" t="str">
        <x:f>IF($E29="","",22)</x:f>
      </x:c>
      <x:c r="C29" s="49" t="str">
        <x:f>IFERROR(INDEX('Offene Vorgänge'!$C$8:$C$207,MATCH(22,'Offene Vorgänge'!$I$8:$I$207,0)),"")</x:f>
      </x:c>
      <x:c r="D29" s="50" t="str">
        <x:f>IFERROR(INDEX('Offene Vorgänge'!$D$8:$D$207,MATCH(22,'Offene Vorgänge'!$I$8:$I$207,0)),"")</x:f>
      </x:c>
      <x:c r="E29" s="44" t="str">
        <x:f>IFERROR(INDEX('Offene Vorgänge'!$E$8:$E$207,MATCH(22,'Offene Vorgänge'!$I$8:$I$207,0)),"")</x:f>
      </x:c>
      <x:c r="F29" s="50" t="str">
        <x:f>IFERROR(INDEX('Offene Vorgänge'!$F$8:$F$207,MATCH(22,'Offene Vorgänge'!$I$8:$I$207,0)),"")</x:f>
      </x:c>
      <x:c r="G29" s="50" t="str">
        <x:f>IFERROR(INDEX('Offene Vorgänge'!$G$8:$G$207,MATCH(22,'Offene Vorgänge'!$I$8:$I$207,0)),"")</x:f>
      </x:c>
      <x:c r="H29" s="44" t="str">
        <x:f>IFERROR(INDEX('Offene Vorgänge'!$H$8:$H$207,MATCH(22,'Offene Vorgänge'!$I$8:$I$207,0)),"")</x:f>
      </x:c>
      <x:c r="I29" s="1"/>
      <x:c r="J29" s="1"/>
      <x:c r="K29" s="1"/>
      <x:c r="L29" s="1"/>
      <x:c r="M29" s="1"/>
      <x:c r="N29" s="1"/>
      <x:c r="O29" s="1"/>
      <x:c r="P29" s="1"/>
      <x:c r="Q29" s="1"/>
      <x:c r="R29" s="1"/>
      <x:c r="S29" s="1"/>
      <x:c r="T29" s="1"/>
    </x:row>
    <x:row r="30" ht="18" customHeight="1">
      <x:c r="A30" s="1"/>
      <x:c r="B30" s="47" t="str">
        <x:f>IF($E30="","",23)</x:f>
      </x:c>
      <x:c r="C30" s="49" t="str">
        <x:f>IFERROR(INDEX('Offene Vorgänge'!$C$8:$C$207,MATCH(23,'Offene Vorgänge'!$I$8:$I$207,0)),"")</x:f>
      </x:c>
      <x:c r="D30" s="50" t="str">
        <x:f>IFERROR(INDEX('Offene Vorgänge'!$D$8:$D$207,MATCH(23,'Offene Vorgänge'!$I$8:$I$207,0)),"")</x:f>
      </x:c>
      <x:c r="E30" s="44" t="str">
        <x:f>IFERROR(INDEX('Offene Vorgänge'!$E$8:$E$207,MATCH(23,'Offene Vorgänge'!$I$8:$I$207,0)),"")</x:f>
      </x:c>
      <x:c r="F30" s="50" t="str">
        <x:f>IFERROR(INDEX('Offene Vorgänge'!$F$8:$F$207,MATCH(23,'Offene Vorgänge'!$I$8:$I$207,0)),"")</x:f>
      </x:c>
      <x:c r="G30" s="50" t="str">
        <x:f>IFERROR(INDEX('Offene Vorgänge'!$G$8:$G$207,MATCH(23,'Offene Vorgänge'!$I$8:$I$207,0)),"")</x:f>
      </x:c>
      <x:c r="H30" s="44" t="str">
        <x:f>IFERROR(INDEX('Offene Vorgänge'!$H$8:$H$207,MATCH(23,'Offene Vorgänge'!$I$8:$I$207,0)),"")</x:f>
      </x:c>
      <x:c r="I30" s="1"/>
      <x:c r="J30" s="1"/>
      <x:c r="K30" s="1"/>
      <x:c r="L30" s="1"/>
      <x:c r="M30" s="1"/>
      <x:c r="N30" s="1"/>
      <x:c r="O30" s="1"/>
      <x:c r="P30" s="1"/>
      <x:c r="Q30" s="1"/>
      <x:c r="R30" s="1"/>
      <x:c r="S30" s="1"/>
      <x:c r="T30" s="1"/>
    </x:row>
    <x:row r="31" ht="18" customHeight="1">
      <x:c r="A31" s="1"/>
      <x:c r="B31" s="47" t="str">
        <x:f>IF($E31="","",24)</x:f>
      </x:c>
      <x:c r="C31" s="49" t="str">
        <x:f>IFERROR(INDEX('Offene Vorgänge'!$C$8:$C$207,MATCH(24,'Offene Vorgänge'!$I$8:$I$207,0)),"")</x:f>
      </x:c>
      <x:c r="D31" s="50" t="str">
        <x:f>IFERROR(INDEX('Offene Vorgänge'!$D$8:$D$207,MATCH(24,'Offene Vorgänge'!$I$8:$I$207,0)),"")</x:f>
      </x:c>
      <x:c r="E31" s="44" t="str">
        <x:f>IFERROR(INDEX('Offene Vorgänge'!$E$8:$E$207,MATCH(24,'Offene Vorgänge'!$I$8:$I$207,0)),"")</x:f>
      </x:c>
      <x:c r="F31" s="50" t="str">
        <x:f>IFERROR(INDEX('Offene Vorgänge'!$F$8:$F$207,MATCH(24,'Offene Vorgänge'!$I$8:$I$207,0)),"")</x:f>
      </x:c>
      <x:c r="G31" s="50" t="str">
        <x:f>IFERROR(INDEX('Offene Vorgänge'!$G$8:$G$207,MATCH(24,'Offene Vorgänge'!$I$8:$I$207,0)),"")</x:f>
      </x:c>
      <x:c r="H31" s="44" t="str">
        <x:f>IFERROR(INDEX('Offene Vorgänge'!$H$8:$H$207,MATCH(24,'Offene Vorgänge'!$I$8:$I$207,0)),"")</x:f>
      </x:c>
      <x:c r="I31" s="1"/>
      <x:c r="J31" s="1"/>
      <x:c r="K31" s="1"/>
      <x:c r="L31" s="1"/>
      <x:c r="M31" s="1"/>
      <x:c r="N31" s="1"/>
      <x:c r="O31" s="1"/>
      <x:c r="P31" s="1"/>
      <x:c r="Q31" s="1"/>
      <x:c r="R31" s="1"/>
      <x:c r="S31" s="1"/>
      <x:c r="T31" s="1"/>
    </x:row>
    <x:row r="32" ht="18" customHeight="1">
      <x:c r="A32" s="1"/>
      <x:c r="B32" s="47" t="str">
        <x:f>IF($E32="","",25)</x:f>
      </x:c>
      <x:c r="C32" s="49" t="str">
        <x:f>IFERROR(INDEX('Offene Vorgänge'!$C$8:$C$207,MATCH(25,'Offene Vorgänge'!$I$8:$I$207,0)),"")</x:f>
      </x:c>
      <x:c r="D32" s="50" t="str">
        <x:f>IFERROR(INDEX('Offene Vorgänge'!$D$8:$D$207,MATCH(25,'Offene Vorgänge'!$I$8:$I$207,0)),"")</x:f>
      </x:c>
      <x:c r="E32" s="44" t="str">
        <x:f>IFERROR(INDEX('Offene Vorgänge'!$E$8:$E$207,MATCH(25,'Offene Vorgänge'!$I$8:$I$207,0)),"")</x:f>
      </x:c>
      <x:c r="F32" s="50" t="str">
        <x:f>IFERROR(INDEX('Offene Vorgänge'!$F$8:$F$207,MATCH(25,'Offene Vorgänge'!$I$8:$I$207,0)),"")</x:f>
      </x:c>
      <x:c r="G32" s="50" t="str">
        <x:f>IFERROR(INDEX('Offene Vorgänge'!$G$8:$G$207,MATCH(25,'Offene Vorgänge'!$I$8:$I$207,0)),"")</x:f>
      </x:c>
      <x:c r="H32" s="44" t="str">
        <x:f>IFERROR(INDEX('Offene Vorgänge'!$H$8:$H$207,MATCH(25,'Offene Vorgänge'!$I$8:$I$207,0)),"")</x:f>
      </x:c>
      <x:c r="I32" s="1"/>
      <x:c r="J32" s="1"/>
      <x:c r="K32" s="1"/>
      <x:c r="L32" s="1"/>
      <x:c r="M32" s="1"/>
      <x:c r="N32" s="1"/>
      <x:c r="O32" s="1"/>
      <x:c r="P32" s="1"/>
      <x:c r="Q32" s="1"/>
      <x:c r="R32" s="1"/>
      <x:c r="S32" s="1"/>
      <x:c r="T32" s="1"/>
    </x:row>
    <x:row r="33" ht="18" customHeight="1">
      <x:c r="A33" s="1"/>
      <x:c r="B33" s="47" t="str">
        <x:f>IF($E33="","",26)</x:f>
      </x:c>
      <x:c r="C33" s="49" t="str">
        <x:f>IFERROR(INDEX('Offene Vorgänge'!$C$8:$C$207,MATCH(26,'Offene Vorgänge'!$I$8:$I$207,0)),"")</x:f>
      </x:c>
      <x:c r="D33" s="50" t="str">
        <x:f>IFERROR(INDEX('Offene Vorgänge'!$D$8:$D$207,MATCH(26,'Offene Vorgänge'!$I$8:$I$207,0)),"")</x:f>
      </x:c>
      <x:c r="E33" s="44" t="str">
        <x:f>IFERROR(INDEX('Offene Vorgänge'!$E$8:$E$207,MATCH(26,'Offene Vorgänge'!$I$8:$I$207,0)),"")</x:f>
      </x:c>
      <x:c r="F33" s="50" t="str">
        <x:f>IFERROR(INDEX('Offene Vorgänge'!$F$8:$F$207,MATCH(26,'Offene Vorgänge'!$I$8:$I$207,0)),"")</x:f>
      </x:c>
      <x:c r="G33" s="50" t="str">
        <x:f>IFERROR(INDEX('Offene Vorgänge'!$G$8:$G$207,MATCH(26,'Offene Vorgänge'!$I$8:$I$207,0)),"")</x:f>
      </x:c>
      <x:c r="H33" s="44" t="str">
        <x:f>IFERROR(INDEX('Offene Vorgänge'!$H$8:$H$207,MATCH(26,'Offene Vorgänge'!$I$8:$I$207,0)),"")</x:f>
      </x:c>
      <x:c r="I33" s="1"/>
      <x:c r="J33" s="1"/>
      <x:c r="K33" s="1"/>
      <x:c r="L33" s="1"/>
      <x:c r="M33" s="1"/>
      <x:c r="N33" s="1"/>
      <x:c r="O33" s="1"/>
      <x:c r="P33" s="1"/>
      <x:c r="Q33" s="1"/>
      <x:c r="R33" s="1"/>
      <x:c r="S33" s="1"/>
      <x:c r="T33" s="1"/>
    </x:row>
    <x:row r="34" ht="18" customHeight="1">
      <x:c r="A34" s="1"/>
      <x:c r="B34" s="47" t="str">
        <x:f>IF($E34="","",27)</x:f>
      </x:c>
      <x:c r="C34" s="49" t="str">
        <x:f>IFERROR(INDEX('Offene Vorgänge'!$C$8:$C$207,MATCH(27,'Offene Vorgänge'!$I$8:$I$207,0)),"")</x:f>
      </x:c>
      <x:c r="D34" s="50" t="str">
        <x:f>IFERROR(INDEX('Offene Vorgänge'!$D$8:$D$207,MATCH(27,'Offene Vorgänge'!$I$8:$I$207,0)),"")</x:f>
      </x:c>
      <x:c r="E34" s="44" t="str">
        <x:f>IFERROR(INDEX('Offene Vorgänge'!$E$8:$E$207,MATCH(27,'Offene Vorgänge'!$I$8:$I$207,0)),"")</x:f>
      </x:c>
      <x:c r="F34" s="50" t="str">
        <x:f>IFERROR(INDEX('Offene Vorgänge'!$F$8:$F$207,MATCH(27,'Offene Vorgänge'!$I$8:$I$207,0)),"")</x:f>
      </x:c>
      <x:c r="G34" s="50" t="str">
        <x:f>IFERROR(INDEX('Offene Vorgänge'!$G$8:$G$207,MATCH(27,'Offene Vorgänge'!$I$8:$I$207,0)),"")</x:f>
      </x:c>
      <x:c r="H34" s="44" t="str">
        <x:f>IFERROR(INDEX('Offene Vorgänge'!$H$8:$H$207,MATCH(27,'Offene Vorgänge'!$I$8:$I$207,0)),"")</x:f>
      </x:c>
      <x:c r="I34" s="1"/>
      <x:c r="J34" s="1"/>
      <x:c r="K34" s="1"/>
      <x:c r="L34" s="1"/>
      <x:c r="M34" s="1"/>
      <x:c r="N34" s="1"/>
      <x:c r="O34" s="1"/>
      <x:c r="P34" s="1"/>
      <x:c r="Q34" s="1"/>
      <x:c r="R34" s="1"/>
      <x:c r="S34" s="1"/>
      <x:c r="T34" s="1"/>
    </x:row>
    <x:row r="35" ht="18" customHeight="1">
      <x:c r="A35" s="1"/>
      <x:c r="B35" s="47" t="str">
        <x:f>IF($E35="","",28)</x:f>
      </x:c>
      <x:c r="C35" s="49" t="str">
        <x:f>IFERROR(INDEX('Offene Vorgänge'!$C$8:$C$207,MATCH(28,'Offene Vorgänge'!$I$8:$I$207,0)),"")</x:f>
      </x:c>
      <x:c r="D35" s="50" t="str">
        <x:f>IFERROR(INDEX('Offene Vorgänge'!$D$8:$D$207,MATCH(28,'Offene Vorgänge'!$I$8:$I$207,0)),"")</x:f>
      </x:c>
      <x:c r="E35" s="44" t="str">
        <x:f>IFERROR(INDEX('Offene Vorgänge'!$E$8:$E$207,MATCH(28,'Offene Vorgänge'!$I$8:$I$207,0)),"")</x:f>
      </x:c>
      <x:c r="F35" s="50" t="str">
        <x:f>IFERROR(INDEX('Offene Vorgänge'!$F$8:$F$207,MATCH(28,'Offene Vorgänge'!$I$8:$I$207,0)),"")</x:f>
      </x:c>
      <x:c r="G35" s="50" t="str">
        <x:f>IFERROR(INDEX('Offene Vorgänge'!$G$8:$G$207,MATCH(28,'Offene Vorgänge'!$I$8:$I$207,0)),"")</x:f>
      </x:c>
      <x:c r="H35" s="44" t="str">
        <x:f>IFERROR(INDEX('Offene Vorgänge'!$H$8:$H$207,MATCH(28,'Offene Vorgänge'!$I$8:$I$207,0)),"")</x:f>
      </x:c>
      <x:c r="I35" s="1"/>
      <x:c r="J35" s="1"/>
      <x:c r="K35" s="1"/>
      <x:c r="L35" s="1"/>
      <x:c r="M35" s="1"/>
      <x:c r="N35" s="1"/>
      <x:c r="O35" s="1"/>
      <x:c r="P35" s="1"/>
      <x:c r="Q35" s="1"/>
      <x:c r="R35" s="1"/>
      <x:c r="S35" s="1"/>
      <x:c r="T35" s="1"/>
    </x:row>
    <x:row r="36" ht="18" customHeight="1">
      <x:c r="A36" s="1"/>
      <x:c r="B36" s="47" t="str">
        <x:f>IF($E36="","",29)</x:f>
      </x:c>
      <x:c r="C36" s="49" t="str">
        <x:f>IFERROR(INDEX('Offene Vorgänge'!$C$8:$C$207,MATCH(29,'Offene Vorgänge'!$I$8:$I$207,0)),"")</x:f>
      </x:c>
      <x:c r="D36" s="50" t="str">
        <x:f>IFERROR(INDEX('Offene Vorgänge'!$D$8:$D$207,MATCH(29,'Offene Vorgänge'!$I$8:$I$207,0)),"")</x:f>
      </x:c>
      <x:c r="E36" s="44" t="str">
        <x:f>IFERROR(INDEX('Offene Vorgänge'!$E$8:$E$207,MATCH(29,'Offene Vorgänge'!$I$8:$I$207,0)),"")</x:f>
      </x:c>
      <x:c r="F36" s="50" t="str">
        <x:f>IFERROR(INDEX('Offene Vorgänge'!$F$8:$F$207,MATCH(29,'Offene Vorgänge'!$I$8:$I$207,0)),"")</x:f>
      </x:c>
      <x:c r="G36" s="50" t="str">
        <x:f>IFERROR(INDEX('Offene Vorgänge'!$G$8:$G$207,MATCH(29,'Offene Vorgänge'!$I$8:$I$207,0)),"")</x:f>
      </x:c>
      <x:c r="H36" s="44" t="str">
        <x:f>IFERROR(INDEX('Offene Vorgänge'!$H$8:$H$207,MATCH(29,'Offene Vorgänge'!$I$8:$I$207,0)),"")</x:f>
      </x:c>
      <x:c r="I36" s="1"/>
      <x:c r="J36" s="1"/>
      <x:c r="K36" s="1"/>
      <x:c r="L36" s="1"/>
      <x:c r="M36" s="1"/>
      <x:c r="N36" s="1"/>
      <x:c r="O36" s="1"/>
      <x:c r="P36" s="1"/>
      <x:c r="Q36" s="1"/>
      <x:c r="R36" s="1"/>
      <x:c r="S36" s="1"/>
      <x:c r="T36" s="1"/>
    </x:row>
    <x:row r="37" ht="18" customHeight="1">
      <x:c r="A37" s="1"/>
      <x:c r="B37" s="47" t="str">
        <x:f>IF($E37="","",30)</x:f>
      </x:c>
      <x:c r="C37" s="49" t="str">
        <x:f>IFERROR(INDEX('Offene Vorgänge'!$C$8:$C$207,MATCH(30,'Offene Vorgänge'!$I$8:$I$207,0)),"")</x:f>
      </x:c>
      <x:c r="D37" s="50" t="str">
        <x:f>IFERROR(INDEX('Offene Vorgänge'!$D$8:$D$207,MATCH(30,'Offene Vorgänge'!$I$8:$I$207,0)),"")</x:f>
      </x:c>
      <x:c r="E37" s="44" t="str">
        <x:f>IFERROR(INDEX('Offene Vorgänge'!$E$8:$E$207,MATCH(30,'Offene Vorgänge'!$I$8:$I$207,0)),"")</x:f>
      </x:c>
      <x:c r="F37" s="50" t="str">
        <x:f>IFERROR(INDEX('Offene Vorgänge'!$F$8:$F$207,MATCH(30,'Offene Vorgänge'!$I$8:$I$207,0)),"")</x:f>
      </x:c>
      <x:c r="G37" s="50" t="str">
        <x:f>IFERROR(INDEX('Offene Vorgänge'!$G$8:$G$207,MATCH(30,'Offene Vorgänge'!$I$8:$I$207,0)),"")</x:f>
      </x:c>
      <x:c r="H37" s="44" t="str">
        <x:f>IFERROR(INDEX('Offene Vorgänge'!$H$8:$H$207,MATCH(30,'Offene Vorgänge'!$I$8:$I$207,0)),"")</x:f>
      </x:c>
      <x:c r="I37" s="1"/>
      <x:c r="J37" s="1"/>
      <x:c r="K37" s="1"/>
      <x:c r="L37" s="1"/>
      <x:c r="M37" s="1"/>
      <x:c r="N37" s="1"/>
      <x:c r="O37" s="1"/>
      <x:c r="P37" s="1"/>
      <x:c r="Q37" s="1"/>
      <x:c r="R37" s="1"/>
      <x:c r="S37" s="1"/>
      <x:c r="T37" s="1"/>
    </x:row>
    <x:row r="38" ht="18" customHeight="1">
      <x:c r="A38" s="1"/>
      <x:c r="B38" s="47" t="str">
        <x:f>IF($E38="","",31)</x:f>
      </x:c>
      <x:c r="C38" s="49" t="str">
        <x:f>IFERROR(INDEX('Offene Vorgänge'!$C$8:$C$207,MATCH(31,'Offene Vorgänge'!$I$8:$I$207,0)),"")</x:f>
      </x:c>
      <x:c r="D38" s="50" t="str">
        <x:f>IFERROR(INDEX('Offene Vorgänge'!$D$8:$D$207,MATCH(31,'Offene Vorgänge'!$I$8:$I$207,0)),"")</x:f>
      </x:c>
      <x:c r="E38" s="44" t="str">
        <x:f>IFERROR(INDEX('Offene Vorgänge'!$E$8:$E$207,MATCH(31,'Offene Vorgänge'!$I$8:$I$207,0)),"")</x:f>
      </x:c>
      <x:c r="F38" s="50" t="str">
        <x:f>IFERROR(INDEX('Offene Vorgänge'!$F$8:$F$207,MATCH(31,'Offene Vorgänge'!$I$8:$I$207,0)),"")</x:f>
      </x:c>
      <x:c r="G38" s="50" t="str">
        <x:f>IFERROR(INDEX('Offene Vorgänge'!$G$8:$G$207,MATCH(31,'Offene Vorgänge'!$I$8:$I$207,0)),"")</x:f>
      </x:c>
      <x:c r="H38" s="44" t="str">
        <x:f>IFERROR(INDEX('Offene Vorgänge'!$H$8:$H$207,MATCH(31,'Offene Vorgänge'!$I$8:$I$207,0)),"")</x:f>
      </x:c>
      <x:c r="I38" s="1"/>
      <x:c r="J38" s="1"/>
      <x:c r="K38" s="1"/>
      <x:c r="L38" s="1"/>
      <x:c r="M38" s="1"/>
      <x:c r="N38" s="1"/>
      <x:c r="O38" s="1"/>
      <x:c r="P38" s="1"/>
      <x:c r="Q38" s="1"/>
      <x:c r="R38" s="1"/>
      <x:c r="S38" s="1"/>
      <x:c r="T38" s="1"/>
    </x:row>
    <x:row r="39" ht="18" customHeight="1">
      <x:c r="A39" s="1"/>
      <x:c r="B39" s="47" t="str">
        <x:f>IF($E39="","",32)</x:f>
      </x:c>
      <x:c r="C39" s="49" t="str">
        <x:f>IFERROR(INDEX('Offene Vorgänge'!$C$8:$C$207,MATCH(32,'Offene Vorgänge'!$I$8:$I$207,0)),"")</x:f>
      </x:c>
      <x:c r="D39" s="50" t="str">
        <x:f>IFERROR(INDEX('Offene Vorgänge'!$D$8:$D$207,MATCH(32,'Offene Vorgänge'!$I$8:$I$207,0)),"")</x:f>
      </x:c>
      <x:c r="E39" s="44" t="str">
        <x:f>IFERROR(INDEX('Offene Vorgänge'!$E$8:$E$207,MATCH(32,'Offene Vorgänge'!$I$8:$I$207,0)),"")</x:f>
      </x:c>
      <x:c r="F39" s="50" t="str">
        <x:f>IFERROR(INDEX('Offene Vorgänge'!$F$8:$F$207,MATCH(32,'Offene Vorgänge'!$I$8:$I$207,0)),"")</x:f>
      </x:c>
      <x:c r="G39" s="50" t="str">
        <x:f>IFERROR(INDEX('Offene Vorgänge'!$G$8:$G$207,MATCH(32,'Offene Vorgänge'!$I$8:$I$207,0)),"")</x:f>
      </x:c>
      <x:c r="H39" s="44" t="str">
        <x:f>IFERROR(INDEX('Offene Vorgänge'!$H$8:$H$207,MATCH(32,'Offene Vorgänge'!$I$8:$I$207,0)),"")</x:f>
      </x:c>
      <x:c r="I39" s="1"/>
      <x:c r="J39" s="1"/>
      <x:c r="K39" s="1"/>
      <x:c r="L39" s="1"/>
      <x:c r="M39" s="1"/>
      <x:c r="N39" s="1"/>
      <x:c r="O39" s="1"/>
      <x:c r="P39" s="1"/>
      <x:c r="Q39" s="1"/>
      <x:c r="R39" s="1"/>
      <x:c r="S39" s="1"/>
      <x:c r="T39" s="1"/>
    </x:row>
    <x:row r="40" ht="18" customHeight="1">
      <x:c r="A40" s="1"/>
      <x:c r="B40" s="47" t="str">
        <x:f>IF($E40="","",33)</x:f>
      </x:c>
      <x:c r="C40" s="49" t="str">
        <x:f>IFERROR(INDEX('Offene Vorgänge'!$C$8:$C$207,MATCH(33,'Offene Vorgänge'!$I$8:$I$207,0)),"")</x:f>
      </x:c>
      <x:c r="D40" s="50" t="str">
        <x:f>IFERROR(INDEX('Offene Vorgänge'!$D$8:$D$207,MATCH(33,'Offene Vorgänge'!$I$8:$I$207,0)),"")</x:f>
      </x:c>
      <x:c r="E40" s="44" t="str">
        <x:f>IFERROR(INDEX('Offene Vorgänge'!$E$8:$E$207,MATCH(33,'Offene Vorgänge'!$I$8:$I$207,0)),"")</x:f>
      </x:c>
      <x:c r="F40" s="50" t="str">
        <x:f>IFERROR(INDEX('Offene Vorgänge'!$F$8:$F$207,MATCH(33,'Offene Vorgänge'!$I$8:$I$207,0)),"")</x:f>
      </x:c>
      <x:c r="G40" s="50" t="str">
        <x:f>IFERROR(INDEX('Offene Vorgänge'!$G$8:$G$207,MATCH(33,'Offene Vorgänge'!$I$8:$I$207,0)),"")</x:f>
      </x:c>
      <x:c r="H40" s="44" t="str">
        <x:f>IFERROR(INDEX('Offene Vorgänge'!$H$8:$H$207,MATCH(33,'Offene Vorgänge'!$I$8:$I$207,0)),"")</x:f>
      </x:c>
      <x:c r="I40" s="1"/>
      <x:c r="J40" s="1"/>
      <x:c r="K40" s="1"/>
      <x:c r="L40" s="1"/>
      <x:c r="M40" s="1"/>
      <x:c r="N40" s="1"/>
      <x:c r="O40" s="1"/>
      <x:c r="P40" s="1"/>
      <x:c r="Q40" s="1"/>
      <x:c r="R40" s="1"/>
      <x:c r="S40" s="1"/>
      <x:c r="T40" s="1"/>
    </x:row>
    <x:row r="41" ht="18" customHeight="1">
      <x:c r="A41" s="1"/>
      <x:c r="B41" s="47" t="str">
        <x:f>IF($E41="","",34)</x:f>
      </x:c>
      <x:c r="C41" s="49" t="str">
        <x:f>IFERROR(INDEX('Offene Vorgänge'!$C$8:$C$207,MATCH(34,'Offene Vorgänge'!$I$8:$I$207,0)),"")</x:f>
      </x:c>
      <x:c r="D41" s="50" t="str">
        <x:f>IFERROR(INDEX('Offene Vorgänge'!$D$8:$D$207,MATCH(34,'Offene Vorgänge'!$I$8:$I$207,0)),"")</x:f>
      </x:c>
      <x:c r="E41" s="44" t="str">
        <x:f>IFERROR(INDEX('Offene Vorgänge'!$E$8:$E$207,MATCH(34,'Offene Vorgänge'!$I$8:$I$207,0)),"")</x:f>
      </x:c>
      <x:c r="F41" s="50" t="str">
        <x:f>IFERROR(INDEX('Offene Vorgänge'!$F$8:$F$207,MATCH(34,'Offene Vorgänge'!$I$8:$I$207,0)),"")</x:f>
      </x:c>
      <x:c r="G41" s="50" t="str">
        <x:f>IFERROR(INDEX('Offene Vorgänge'!$G$8:$G$207,MATCH(34,'Offene Vorgänge'!$I$8:$I$207,0)),"")</x:f>
      </x:c>
      <x:c r="H41" s="44" t="str">
        <x:f>IFERROR(INDEX('Offene Vorgänge'!$H$8:$H$207,MATCH(34,'Offene Vorgänge'!$I$8:$I$207,0)),"")</x:f>
      </x:c>
      <x:c r="I41" s="1"/>
      <x:c r="J41" s="1"/>
      <x:c r="K41" s="1"/>
      <x:c r="L41" s="1"/>
      <x:c r="M41" s="1"/>
      <x:c r="N41" s="1"/>
      <x:c r="O41" s="1"/>
      <x:c r="P41" s="1"/>
      <x:c r="Q41" s="1"/>
      <x:c r="R41" s="1"/>
      <x:c r="S41" s="1"/>
      <x:c r="T41" s="1"/>
    </x:row>
    <x:row r="42" ht="18" customHeight="1">
      <x:c r="A42" s="1"/>
      <x:c r="B42" s="47" t="str">
        <x:f>IF($E42="","",35)</x:f>
      </x:c>
      <x:c r="C42" s="49" t="str">
        <x:f>IFERROR(INDEX('Offene Vorgänge'!$C$8:$C$207,MATCH(35,'Offene Vorgänge'!$I$8:$I$207,0)),"")</x:f>
      </x:c>
      <x:c r="D42" s="50" t="str">
        <x:f>IFERROR(INDEX('Offene Vorgänge'!$D$8:$D$207,MATCH(35,'Offene Vorgänge'!$I$8:$I$207,0)),"")</x:f>
      </x:c>
      <x:c r="E42" s="44" t="str">
        <x:f>IFERROR(INDEX('Offene Vorgänge'!$E$8:$E$207,MATCH(35,'Offene Vorgänge'!$I$8:$I$207,0)),"")</x:f>
      </x:c>
      <x:c r="F42" s="50" t="str">
        <x:f>IFERROR(INDEX('Offene Vorgänge'!$F$8:$F$207,MATCH(35,'Offene Vorgänge'!$I$8:$I$207,0)),"")</x:f>
      </x:c>
      <x:c r="G42" s="50" t="str">
        <x:f>IFERROR(INDEX('Offene Vorgänge'!$G$8:$G$207,MATCH(35,'Offene Vorgänge'!$I$8:$I$207,0)),"")</x:f>
      </x:c>
      <x:c r="H42" s="44" t="str">
        <x:f>IFERROR(INDEX('Offene Vorgänge'!$H$8:$H$207,MATCH(35,'Offene Vorgänge'!$I$8:$I$207,0)),"")</x:f>
      </x:c>
      <x:c r="I42" s="1"/>
      <x:c r="J42" s="1"/>
      <x:c r="K42" s="1"/>
      <x:c r="L42" s="1"/>
      <x:c r="M42" s="1"/>
      <x:c r="N42" s="1"/>
      <x:c r="O42" s="1"/>
      <x:c r="P42" s="1"/>
      <x:c r="Q42" s="1"/>
      <x:c r="R42" s="1"/>
      <x:c r="S42" s="1"/>
      <x:c r="T42" s="1"/>
    </x:row>
    <x:row r="43" ht="18" customHeight="1">
      <x:c r="A43" s="1"/>
      <x:c r="B43" s="47" t="str">
        <x:f>IF($E43="","",36)</x:f>
      </x:c>
      <x:c r="C43" s="49" t="str">
        <x:f>IFERROR(INDEX('Offene Vorgänge'!$C$8:$C$207,MATCH(36,'Offene Vorgänge'!$I$8:$I$207,0)),"")</x:f>
      </x:c>
      <x:c r="D43" s="50" t="str">
        <x:f>IFERROR(INDEX('Offene Vorgänge'!$D$8:$D$207,MATCH(36,'Offene Vorgänge'!$I$8:$I$207,0)),"")</x:f>
      </x:c>
      <x:c r="E43" s="44" t="str">
        <x:f>IFERROR(INDEX('Offene Vorgänge'!$E$8:$E$207,MATCH(36,'Offene Vorgänge'!$I$8:$I$207,0)),"")</x:f>
      </x:c>
      <x:c r="F43" s="50" t="str">
        <x:f>IFERROR(INDEX('Offene Vorgänge'!$F$8:$F$207,MATCH(36,'Offene Vorgänge'!$I$8:$I$207,0)),"")</x:f>
      </x:c>
      <x:c r="G43" s="50" t="str">
        <x:f>IFERROR(INDEX('Offene Vorgänge'!$G$8:$G$207,MATCH(36,'Offene Vorgänge'!$I$8:$I$207,0)),"")</x:f>
      </x:c>
      <x:c r="H43" s="44" t="str">
        <x:f>IFERROR(INDEX('Offene Vorgänge'!$H$8:$H$207,MATCH(36,'Offene Vorgänge'!$I$8:$I$207,0)),"")</x:f>
      </x:c>
      <x:c r="I43" s="1"/>
      <x:c r="J43" s="1"/>
      <x:c r="K43" s="1"/>
      <x:c r="L43" s="1"/>
      <x:c r="M43" s="1"/>
      <x:c r="N43" s="1"/>
      <x:c r="O43" s="1"/>
      <x:c r="P43" s="1"/>
      <x:c r="Q43" s="1"/>
      <x:c r="R43" s="1"/>
      <x:c r="S43" s="1"/>
      <x:c r="T43" s="1"/>
    </x:row>
    <x:row r="44" ht="18" customHeight="1">
      <x:c r="A44" s="1"/>
      <x:c r="B44" s="47" t="str">
        <x:f>IF($E44="","",37)</x:f>
      </x:c>
      <x:c r="C44" s="49" t="str">
        <x:f>IFERROR(INDEX('Offene Vorgänge'!$C$8:$C$207,MATCH(37,'Offene Vorgänge'!$I$8:$I$207,0)),"")</x:f>
      </x:c>
      <x:c r="D44" s="50" t="str">
        <x:f>IFERROR(INDEX('Offene Vorgänge'!$D$8:$D$207,MATCH(37,'Offene Vorgänge'!$I$8:$I$207,0)),"")</x:f>
      </x:c>
      <x:c r="E44" s="44" t="str">
        <x:f>IFERROR(INDEX('Offene Vorgänge'!$E$8:$E$207,MATCH(37,'Offene Vorgänge'!$I$8:$I$207,0)),"")</x:f>
      </x:c>
      <x:c r="F44" s="50" t="str">
        <x:f>IFERROR(INDEX('Offene Vorgänge'!$F$8:$F$207,MATCH(37,'Offene Vorgänge'!$I$8:$I$207,0)),"")</x:f>
      </x:c>
      <x:c r="G44" s="50" t="str">
        <x:f>IFERROR(INDEX('Offene Vorgänge'!$G$8:$G$207,MATCH(37,'Offene Vorgänge'!$I$8:$I$207,0)),"")</x:f>
      </x:c>
      <x:c r="H44" s="44" t="str">
        <x:f>IFERROR(INDEX('Offene Vorgänge'!$H$8:$H$207,MATCH(37,'Offene Vorgänge'!$I$8:$I$207,0)),"")</x:f>
      </x:c>
      <x:c r="I44" s="1"/>
      <x:c r="J44" s="1"/>
      <x:c r="K44" s="1"/>
      <x:c r="L44" s="1"/>
      <x:c r="M44" s="1"/>
      <x:c r="N44" s="1"/>
      <x:c r="O44" s="1"/>
      <x:c r="P44" s="1"/>
      <x:c r="Q44" s="1"/>
      <x:c r="R44" s="1"/>
      <x:c r="S44" s="1"/>
      <x:c r="T44" s="1"/>
    </x:row>
    <x:row r="45" ht="18" customHeight="1">
      <x:c r="A45" s="1"/>
      <x:c r="B45" s="47" t="str">
        <x:f>IF($E45="","",38)</x:f>
      </x:c>
      <x:c r="C45" s="49" t="str">
        <x:f>IFERROR(INDEX('Offene Vorgänge'!$C$8:$C$207,MATCH(38,'Offene Vorgänge'!$I$8:$I$207,0)),"")</x:f>
      </x:c>
      <x:c r="D45" s="50" t="str">
        <x:f>IFERROR(INDEX('Offene Vorgänge'!$D$8:$D$207,MATCH(38,'Offene Vorgänge'!$I$8:$I$207,0)),"")</x:f>
      </x:c>
      <x:c r="E45" s="44" t="str">
        <x:f>IFERROR(INDEX('Offene Vorgänge'!$E$8:$E$207,MATCH(38,'Offene Vorgänge'!$I$8:$I$207,0)),"")</x:f>
      </x:c>
      <x:c r="F45" s="50" t="str">
        <x:f>IFERROR(INDEX('Offene Vorgänge'!$F$8:$F$207,MATCH(38,'Offene Vorgänge'!$I$8:$I$207,0)),"")</x:f>
      </x:c>
      <x:c r="G45" s="50" t="str">
        <x:f>IFERROR(INDEX('Offene Vorgänge'!$G$8:$G$207,MATCH(38,'Offene Vorgänge'!$I$8:$I$207,0)),"")</x:f>
      </x:c>
      <x:c r="H45" s="44" t="str">
        <x:f>IFERROR(INDEX('Offene Vorgänge'!$H$8:$H$207,MATCH(38,'Offene Vorgänge'!$I$8:$I$207,0)),"")</x:f>
      </x:c>
      <x:c r="I45" s="1"/>
      <x:c r="J45" s="1"/>
      <x:c r="K45" s="1"/>
      <x:c r="L45" s="1"/>
      <x:c r="M45" s="1"/>
      <x:c r="N45" s="1"/>
      <x:c r="O45" s="1"/>
      <x:c r="P45" s="1"/>
      <x:c r="Q45" s="1"/>
      <x:c r="R45" s="1"/>
      <x:c r="S45" s="1"/>
      <x:c r="T45" s="1"/>
    </x:row>
    <x:row r="46" ht="18" customHeight="1">
      <x:c r="A46" s="1"/>
      <x:c r="B46" s="47" t="str">
        <x:f>IF($E46="","",39)</x:f>
      </x:c>
      <x:c r="C46" s="49" t="str">
        <x:f>IFERROR(INDEX('Offene Vorgänge'!$C$8:$C$207,MATCH(39,'Offene Vorgänge'!$I$8:$I$207,0)),"")</x:f>
      </x:c>
      <x:c r="D46" s="50" t="str">
        <x:f>IFERROR(INDEX('Offene Vorgänge'!$D$8:$D$207,MATCH(39,'Offene Vorgänge'!$I$8:$I$207,0)),"")</x:f>
      </x:c>
      <x:c r="E46" s="44" t="str">
        <x:f>IFERROR(INDEX('Offene Vorgänge'!$E$8:$E$207,MATCH(39,'Offene Vorgänge'!$I$8:$I$207,0)),"")</x:f>
      </x:c>
      <x:c r="F46" s="50" t="str">
        <x:f>IFERROR(INDEX('Offene Vorgänge'!$F$8:$F$207,MATCH(39,'Offene Vorgänge'!$I$8:$I$207,0)),"")</x:f>
      </x:c>
      <x:c r="G46" s="50" t="str">
        <x:f>IFERROR(INDEX('Offene Vorgänge'!$G$8:$G$207,MATCH(39,'Offene Vorgänge'!$I$8:$I$207,0)),"")</x:f>
      </x:c>
      <x:c r="H46" s="44" t="str">
        <x:f>IFERROR(INDEX('Offene Vorgänge'!$H$8:$H$207,MATCH(39,'Offene Vorgänge'!$I$8:$I$207,0)),"")</x:f>
      </x:c>
      <x:c r="I46" s="1"/>
      <x:c r="J46" s="1"/>
      <x:c r="K46" s="1"/>
      <x:c r="L46" s="1"/>
      <x:c r="M46" s="1"/>
      <x:c r="N46" s="1"/>
      <x:c r="O46" s="1"/>
      <x:c r="P46" s="1"/>
      <x:c r="Q46" s="1"/>
      <x:c r="R46" s="1"/>
      <x:c r="S46" s="1"/>
      <x:c r="T46" s="1"/>
    </x:row>
    <x:row r="47" ht="18" customHeight="1">
      <x:c r="A47" s="1"/>
      <x:c r="B47" s="47" t="str">
        <x:f>IF($E47="","",40)</x:f>
      </x:c>
      <x:c r="C47" s="49" t="str">
        <x:f>IFERROR(INDEX('Offene Vorgänge'!$C$8:$C$207,MATCH(40,'Offene Vorgänge'!$I$8:$I$207,0)),"")</x:f>
      </x:c>
      <x:c r="D47" s="50" t="str">
        <x:f>IFERROR(INDEX('Offene Vorgänge'!$D$8:$D$207,MATCH(40,'Offene Vorgänge'!$I$8:$I$207,0)),"")</x:f>
      </x:c>
      <x:c r="E47" s="44" t="str">
        <x:f>IFERROR(INDEX('Offene Vorgänge'!$E$8:$E$207,MATCH(40,'Offene Vorgänge'!$I$8:$I$207,0)),"")</x:f>
      </x:c>
      <x:c r="F47" s="50" t="str">
        <x:f>IFERROR(INDEX('Offene Vorgänge'!$F$8:$F$207,MATCH(40,'Offene Vorgänge'!$I$8:$I$207,0)),"")</x:f>
      </x:c>
      <x:c r="G47" s="50" t="str">
        <x:f>IFERROR(INDEX('Offene Vorgänge'!$G$8:$G$207,MATCH(40,'Offene Vorgänge'!$I$8:$I$207,0)),"")</x:f>
      </x:c>
      <x:c r="H47" s="44" t="str">
        <x:f>IFERROR(INDEX('Offene Vorgänge'!$H$8:$H$207,MATCH(40,'Offene Vorgänge'!$I$8:$I$207,0)),"")</x:f>
      </x:c>
      <x:c r="I47" s="1"/>
      <x:c r="J47" s="1"/>
      <x:c r="K47" s="1"/>
      <x:c r="L47" s="1"/>
      <x:c r="M47" s="1"/>
      <x:c r="N47" s="1"/>
      <x:c r="O47" s="1"/>
      <x:c r="P47" s="1"/>
      <x:c r="Q47" s="1"/>
      <x:c r="R47" s="1"/>
      <x:c r="S47" s="1"/>
      <x:c r="T47" s="1"/>
    </x:row>
    <x:row r="48" ht="18" customHeight="1">
      <x:c r="A48" s="1"/>
      <x:c r="B48" s="47" t="str">
        <x:f>IF($E48="","",41)</x:f>
      </x:c>
      <x:c r="C48" s="49" t="str">
        <x:f>IFERROR(INDEX('Offene Vorgänge'!$C$8:$C$207,MATCH(41,'Offene Vorgänge'!$I$8:$I$207,0)),"")</x:f>
      </x:c>
      <x:c r="D48" s="50" t="str">
        <x:f>IFERROR(INDEX('Offene Vorgänge'!$D$8:$D$207,MATCH(41,'Offene Vorgänge'!$I$8:$I$207,0)),"")</x:f>
      </x:c>
      <x:c r="E48" s="44" t="str">
        <x:f>IFERROR(INDEX('Offene Vorgänge'!$E$8:$E$207,MATCH(41,'Offene Vorgänge'!$I$8:$I$207,0)),"")</x:f>
      </x:c>
      <x:c r="F48" s="50" t="str">
        <x:f>IFERROR(INDEX('Offene Vorgänge'!$F$8:$F$207,MATCH(41,'Offene Vorgänge'!$I$8:$I$207,0)),"")</x:f>
      </x:c>
      <x:c r="G48" s="50" t="str">
        <x:f>IFERROR(INDEX('Offene Vorgänge'!$G$8:$G$207,MATCH(41,'Offene Vorgänge'!$I$8:$I$207,0)),"")</x:f>
      </x:c>
      <x:c r="H48" s="44" t="str">
        <x:f>IFERROR(INDEX('Offene Vorgänge'!$H$8:$H$207,MATCH(41,'Offene Vorgänge'!$I$8:$I$207,0)),"")</x:f>
      </x:c>
      <x:c r="I48" s="1"/>
      <x:c r="J48" s="1"/>
      <x:c r="K48" s="1"/>
      <x:c r="L48" s="1"/>
      <x:c r="M48" s="1"/>
      <x:c r="N48" s="1"/>
      <x:c r="O48" s="1"/>
      <x:c r="P48" s="1"/>
      <x:c r="Q48" s="1"/>
      <x:c r="R48" s="1"/>
      <x:c r="S48" s="1"/>
      <x:c r="T48" s="1"/>
    </x:row>
    <x:row r="49" ht="18" customHeight="1">
      <x:c r="A49" s="1"/>
      <x:c r="B49" s="47" t="str">
        <x:f>IF($E49="","",42)</x:f>
      </x:c>
      <x:c r="C49" s="49" t="str">
        <x:f>IFERROR(INDEX('Offene Vorgänge'!$C$8:$C$207,MATCH(42,'Offene Vorgänge'!$I$8:$I$207,0)),"")</x:f>
      </x:c>
      <x:c r="D49" s="50" t="str">
        <x:f>IFERROR(INDEX('Offene Vorgänge'!$D$8:$D$207,MATCH(42,'Offene Vorgänge'!$I$8:$I$207,0)),"")</x:f>
      </x:c>
      <x:c r="E49" s="44" t="str">
        <x:f>IFERROR(INDEX('Offene Vorgänge'!$E$8:$E$207,MATCH(42,'Offene Vorgänge'!$I$8:$I$207,0)),"")</x:f>
      </x:c>
      <x:c r="F49" s="50" t="str">
        <x:f>IFERROR(INDEX('Offene Vorgänge'!$F$8:$F$207,MATCH(42,'Offene Vorgänge'!$I$8:$I$207,0)),"")</x:f>
      </x:c>
      <x:c r="G49" s="50" t="str">
        <x:f>IFERROR(INDEX('Offene Vorgänge'!$G$8:$G$207,MATCH(42,'Offene Vorgänge'!$I$8:$I$207,0)),"")</x:f>
      </x:c>
      <x:c r="H49" s="44" t="str">
        <x:f>IFERROR(INDEX('Offene Vorgänge'!$H$8:$H$207,MATCH(42,'Offene Vorgänge'!$I$8:$I$207,0)),"")</x:f>
      </x:c>
      <x:c r="I49" s="1"/>
      <x:c r="J49" s="1"/>
      <x:c r="K49" s="1"/>
      <x:c r="L49" s="1"/>
      <x:c r="M49" s="1"/>
      <x:c r="N49" s="1"/>
      <x:c r="O49" s="1"/>
      <x:c r="P49" s="1"/>
      <x:c r="Q49" s="1"/>
      <x:c r="R49" s="1"/>
      <x:c r="S49" s="1"/>
      <x:c r="T49" s="1"/>
    </x:row>
    <x:row r="50" ht="18" customHeight="1">
      <x:c r="A50" s="1"/>
      <x:c r="B50" s="47" t="str">
        <x:f>IF($E50="","",43)</x:f>
      </x:c>
      <x:c r="C50" s="49" t="str">
        <x:f>IFERROR(INDEX('Offene Vorgänge'!$C$8:$C$207,MATCH(43,'Offene Vorgänge'!$I$8:$I$207,0)),"")</x:f>
      </x:c>
      <x:c r="D50" s="50" t="str">
        <x:f>IFERROR(INDEX('Offene Vorgänge'!$D$8:$D$207,MATCH(43,'Offene Vorgänge'!$I$8:$I$207,0)),"")</x:f>
      </x:c>
      <x:c r="E50" s="44" t="str">
        <x:f>IFERROR(INDEX('Offene Vorgänge'!$E$8:$E$207,MATCH(43,'Offene Vorgänge'!$I$8:$I$207,0)),"")</x:f>
      </x:c>
      <x:c r="F50" s="50" t="str">
        <x:f>IFERROR(INDEX('Offene Vorgänge'!$F$8:$F$207,MATCH(43,'Offene Vorgänge'!$I$8:$I$207,0)),"")</x:f>
      </x:c>
      <x:c r="G50" s="50" t="str">
        <x:f>IFERROR(INDEX('Offene Vorgänge'!$G$8:$G$207,MATCH(43,'Offene Vorgänge'!$I$8:$I$207,0)),"")</x:f>
      </x:c>
      <x:c r="H50" s="44" t="str">
        <x:f>IFERROR(INDEX('Offene Vorgänge'!$H$8:$H$207,MATCH(43,'Offene Vorgänge'!$I$8:$I$207,0)),"")</x:f>
      </x:c>
      <x:c r="I50" s="1"/>
      <x:c r="J50" s="1"/>
      <x:c r="K50" s="1"/>
      <x:c r="L50" s="1"/>
      <x:c r="M50" s="1"/>
      <x:c r="N50" s="1"/>
      <x:c r="O50" s="1"/>
      <x:c r="P50" s="1"/>
      <x:c r="Q50" s="1"/>
      <x:c r="R50" s="1"/>
      <x:c r="S50" s="1"/>
      <x:c r="T50" s="1"/>
    </x:row>
    <x:row r="51" ht="18" customHeight="1">
      <x:c r="A51" s="1"/>
      <x:c r="B51" s="47" t="str">
        <x:f>IF($E51="","",44)</x:f>
      </x:c>
      <x:c r="C51" s="49" t="str">
        <x:f>IFERROR(INDEX('Offene Vorgänge'!$C$8:$C$207,MATCH(44,'Offene Vorgänge'!$I$8:$I$207,0)),"")</x:f>
      </x:c>
      <x:c r="D51" s="50" t="str">
        <x:f>IFERROR(INDEX('Offene Vorgänge'!$D$8:$D$207,MATCH(44,'Offene Vorgänge'!$I$8:$I$207,0)),"")</x:f>
      </x:c>
      <x:c r="E51" s="44" t="str">
        <x:f>IFERROR(INDEX('Offene Vorgänge'!$E$8:$E$207,MATCH(44,'Offene Vorgänge'!$I$8:$I$207,0)),"")</x:f>
      </x:c>
      <x:c r="F51" s="50" t="str">
        <x:f>IFERROR(INDEX('Offene Vorgänge'!$F$8:$F$207,MATCH(44,'Offene Vorgänge'!$I$8:$I$207,0)),"")</x:f>
      </x:c>
      <x:c r="G51" s="50" t="str">
        <x:f>IFERROR(INDEX('Offene Vorgänge'!$G$8:$G$207,MATCH(44,'Offene Vorgänge'!$I$8:$I$207,0)),"")</x:f>
      </x:c>
      <x:c r="H51" s="44" t="str">
        <x:f>IFERROR(INDEX('Offene Vorgänge'!$H$8:$H$207,MATCH(44,'Offene Vorgänge'!$I$8:$I$207,0)),"")</x:f>
      </x:c>
      <x:c r="I51" s="1"/>
      <x:c r="J51" s="1"/>
      <x:c r="K51" s="1"/>
      <x:c r="L51" s="1"/>
      <x:c r="M51" s="1"/>
      <x:c r="N51" s="1"/>
      <x:c r="O51" s="1"/>
      <x:c r="P51" s="1"/>
      <x:c r="Q51" s="1"/>
      <x:c r="R51" s="1"/>
      <x:c r="S51" s="1"/>
      <x:c r="T51" s="1"/>
    </x:row>
    <x:row r="52" ht="18" customHeight="1">
      <x:c r="A52" s="1"/>
      <x:c r="B52" s="47" t="str">
        <x:f>IF($E52="","",45)</x:f>
      </x:c>
      <x:c r="C52" s="49" t="str">
        <x:f>IFERROR(INDEX('Offene Vorgänge'!$C$8:$C$207,MATCH(45,'Offene Vorgänge'!$I$8:$I$207,0)),"")</x:f>
      </x:c>
      <x:c r="D52" s="50" t="str">
        <x:f>IFERROR(INDEX('Offene Vorgänge'!$D$8:$D$207,MATCH(45,'Offene Vorgänge'!$I$8:$I$207,0)),"")</x:f>
      </x:c>
      <x:c r="E52" s="44" t="str">
        <x:f>IFERROR(INDEX('Offene Vorgänge'!$E$8:$E$207,MATCH(45,'Offene Vorgänge'!$I$8:$I$207,0)),"")</x:f>
      </x:c>
      <x:c r="F52" s="50" t="str">
        <x:f>IFERROR(INDEX('Offene Vorgänge'!$F$8:$F$207,MATCH(45,'Offene Vorgänge'!$I$8:$I$207,0)),"")</x:f>
      </x:c>
      <x:c r="G52" s="50" t="str">
        <x:f>IFERROR(INDEX('Offene Vorgänge'!$G$8:$G$207,MATCH(45,'Offene Vorgänge'!$I$8:$I$207,0)),"")</x:f>
      </x:c>
      <x:c r="H52" s="44" t="str">
        <x:f>IFERROR(INDEX('Offene Vorgänge'!$H$8:$H$207,MATCH(45,'Offene Vorgänge'!$I$8:$I$207,0)),"")</x:f>
      </x:c>
      <x:c r="I52" s="1"/>
      <x:c r="J52" s="1"/>
      <x:c r="K52" s="1"/>
      <x:c r="L52" s="1"/>
      <x:c r="M52" s="1"/>
      <x:c r="N52" s="1"/>
      <x:c r="O52" s="1"/>
      <x:c r="P52" s="1"/>
      <x:c r="Q52" s="1"/>
      <x:c r="R52" s="1"/>
      <x:c r="S52" s="1"/>
      <x:c r="T52" s="1"/>
    </x:row>
    <x:row r="53" ht="18" customHeight="1">
      <x:c r="A53" s="1"/>
      <x:c r="B53" s="47" t="str">
        <x:f>IF($E53="","",46)</x:f>
      </x:c>
      <x:c r="C53" s="49" t="str">
        <x:f>IFERROR(INDEX('Offene Vorgänge'!$C$8:$C$207,MATCH(46,'Offene Vorgänge'!$I$8:$I$207,0)),"")</x:f>
      </x:c>
      <x:c r="D53" s="50" t="str">
        <x:f>IFERROR(INDEX('Offene Vorgänge'!$D$8:$D$207,MATCH(46,'Offene Vorgänge'!$I$8:$I$207,0)),"")</x:f>
      </x:c>
      <x:c r="E53" s="44" t="str">
        <x:f>IFERROR(INDEX('Offene Vorgänge'!$E$8:$E$207,MATCH(46,'Offene Vorgänge'!$I$8:$I$207,0)),"")</x:f>
      </x:c>
      <x:c r="F53" s="50" t="str">
        <x:f>IFERROR(INDEX('Offene Vorgänge'!$F$8:$F$207,MATCH(46,'Offene Vorgänge'!$I$8:$I$207,0)),"")</x:f>
      </x:c>
      <x:c r="G53" s="50" t="str">
        <x:f>IFERROR(INDEX('Offene Vorgänge'!$G$8:$G$207,MATCH(46,'Offene Vorgänge'!$I$8:$I$207,0)),"")</x:f>
      </x:c>
      <x:c r="H53" s="44" t="str">
        <x:f>IFERROR(INDEX('Offene Vorgänge'!$H$8:$H$207,MATCH(46,'Offene Vorgänge'!$I$8:$I$207,0)),"")</x:f>
      </x:c>
      <x:c r="I53" s="1"/>
      <x:c r="J53" s="1"/>
      <x:c r="K53" s="1"/>
      <x:c r="L53" s="1"/>
      <x:c r="M53" s="1"/>
      <x:c r="N53" s="1"/>
      <x:c r="O53" s="1"/>
      <x:c r="P53" s="1"/>
      <x:c r="Q53" s="1"/>
      <x:c r="R53" s="1"/>
      <x:c r="S53" s="1"/>
      <x:c r="T53" s="1"/>
    </x:row>
    <x:row r="54" ht="18" customHeight="1">
      <x:c r="A54" s="1"/>
      <x:c r="B54" s="47" t="str">
        <x:f>IF($E54="","",47)</x:f>
      </x:c>
      <x:c r="C54" s="49" t="str">
        <x:f>IFERROR(INDEX('Offene Vorgänge'!$C$8:$C$207,MATCH(47,'Offene Vorgänge'!$I$8:$I$207,0)),"")</x:f>
      </x:c>
      <x:c r="D54" s="50" t="str">
        <x:f>IFERROR(INDEX('Offene Vorgänge'!$D$8:$D$207,MATCH(47,'Offene Vorgänge'!$I$8:$I$207,0)),"")</x:f>
      </x:c>
      <x:c r="E54" s="44" t="str">
        <x:f>IFERROR(INDEX('Offene Vorgänge'!$E$8:$E$207,MATCH(47,'Offene Vorgänge'!$I$8:$I$207,0)),"")</x:f>
      </x:c>
      <x:c r="F54" s="50" t="str">
        <x:f>IFERROR(INDEX('Offene Vorgänge'!$F$8:$F$207,MATCH(47,'Offene Vorgänge'!$I$8:$I$207,0)),"")</x:f>
      </x:c>
      <x:c r="G54" s="50" t="str">
        <x:f>IFERROR(INDEX('Offene Vorgänge'!$G$8:$G$207,MATCH(47,'Offene Vorgänge'!$I$8:$I$207,0)),"")</x:f>
      </x:c>
      <x:c r="H54" s="44" t="str">
        <x:f>IFERROR(INDEX('Offene Vorgänge'!$H$8:$H$207,MATCH(47,'Offene Vorgänge'!$I$8:$I$207,0)),"")</x:f>
      </x:c>
      <x:c r="I54" s="1"/>
      <x:c r="J54" s="1"/>
      <x:c r="K54" s="1"/>
      <x:c r="L54" s="1"/>
      <x:c r="M54" s="1"/>
      <x:c r="N54" s="1"/>
      <x:c r="O54" s="1"/>
      <x:c r="P54" s="1"/>
      <x:c r="Q54" s="1"/>
      <x:c r="R54" s="1"/>
      <x:c r="S54" s="1"/>
      <x:c r="T54" s="1"/>
    </x:row>
    <x:row r="55" ht="18" customHeight="1">
      <x:c r="A55" s="1"/>
      <x:c r="B55" s="47" t="str">
        <x:f>IF($E55="","",48)</x:f>
      </x:c>
      <x:c r="C55" s="49" t="str">
        <x:f>IFERROR(INDEX('Offene Vorgänge'!$C$8:$C$207,MATCH(48,'Offene Vorgänge'!$I$8:$I$207,0)),"")</x:f>
      </x:c>
      <x:c r="D55" s="50" t="str">
        <x:f>IFERROR(INDEX('Offene Vorgänge'!$D$8:$D$207,MATCH(48,'Offene Vorgänge'!$I$8:$I$207,0)),"")</x:f>
      </x:c>
      <x:c r="E55" s="44" t="str">
        <x:f>IFERROR(INDEX('Offene Vorgänge'!$E$8:$E$207,MATCH(48,'Offene Vorgänge'!$I$8:$I$207,0)),"")</x:f>
      </x:c>
      <x:c r="F55" s="50" t="str">
        <x:f>IFERROR(INDEX('Offene Vorgänge'!$F$8:$F$207,MATCH(48,'Offene Vorgänge'!$I$8:$I$207,0)),"")</x:f>
      </x:c>
      <x:c r="G55" s="50" t="str">
        <x:f>IFERROR(INDEX('Offene Vorgänge'!$G$8:$G$207,MATCH(48,'Offene Vorgänge'!$I$8:$I$207,0)),"")</x:f>
      </x:c>
      <x:c r="H55" s="44" t="str">
        <x:f>IFERROR(INDEX('Offene Vorgänge'!$H$8:$H$207,MATCH(48,'Offene Vorgänge'!$I$8:$I$207,0)),"")</x:f>
      </x:c>
      <x:c r="I55" s="1"/>
      <x:c r="J55" s="1"/>
      <x:c r="K55" s="1"/>
      <x:c r="L55" s="1"/>
      <x:c r="M55" s="1"/>
      <x:c r="N55" s="1"/>
      <x:c r="O55" s="1"/>
      <x:c r="P55" s="1"/>
      <x:c r="Q55" s="1"/>
      <x:c r="R55" s="1"/>
      <x:c r="S55" s="1"/>
      <x:c r="T55" s="1"/>
    </x:row>
    <x:row r="56" ht="18" customHeight="1">
      <x:c r="A56" s="1"/>
      <x:c r="B56" s="47" t="str">
        <x:f>IF($E56="","",49)</x:f>
      </x:c>
      <x:c r="C56" s="49" t="str">
        <x:f>IFERROR(INDEX('Offene Vorgänge'!$C$8:$C$207,MATCH(49,'Offene Vorgänge'!$I$8:$I$207,0)),"")</x:f>
      </x:c>
      <x:c r="D56" s="50" t="str">
        <x:f>IFERROR(INDEX('Offene Vorgänge'!$D$8:$D$207,MATCH(49,'Offene Vorgänge'!$I$8:$I$207,0)),"")</x:f>
      </x:c>
      <x:c r="E56" s="44" t="str">
        <x:f>IFERROR(INDEX('Offene Vorgänge'!$E$8:$E$207,MATCH(49,'Offene Vorgänge'!$I$8:$I$207,0)),"")</x:f>
      </x:c>
      <x:c r="F56" s="50" t="str">
        <x:f>IFERROR(INDEX('Offene Vorgänge'!$F$8:$F$207,MATCH(49,'Offene Vorgänge'!$I$8:$I$207,0)),"")</x:f>
      </x:c>
      <x:c r="G56" s="50" t="str">
        <x:f>IFERROR(INDEX('Offene Vorgänge'!$G$8:$G$207,MATCH(49,'Offene Vorgänge'!$I$8:$I$207,0)),"")</x:f>
      </x:c>
      <x:c r="H56" s="44" t="str">
        <x:f>IFERROR(INDEX('Offene Vorgänge'!$H$8:$H$207,MATCH(49,'Offene Vorgänge'!$I$8:$I$207,0)),"")</x:f>
      </x:c>
      <x:c r="I56" s="1"/>
      <x:c r="J56" s="1"/>
      <x:c r="K56" s="1"/>
      <x:c r="L56" s="1"/>
      <x:c r="M56" s="1"/>
      <x:c r="N56" s="1"/>
      <x:c r="O56" s="1"/>
      <x:c r="P56" s="1"/>
      <x:c r="Q56" s="1"/>
      <x:c r="R56" s="1"/>
      <x:c r="S56" s="1"/>
      <x:c r="T56" s="1"/>
    </x:row>
    <x:row r="57" ht="18" customHeight="1">
      <x:c r="A57" s="1"/>
      <x:c r="B57" s="47" t="str">
        <x:f>IF($E57="","",50)</x:f>
      </x:c>
      <x:c r="C57" s="49" t="str">
        <x:f>IFERROR(INDEX('Offene Vorgänge'!$C$8:$C$207,MATCH(50,'Offene Vorgänge'!$I$8:$I$207,0)),"")</x:f>
      </x:c>
      <x:c r="D57" s="50" t="str">
        <x:f>IFERROR(INDEX('Offene Vorgänge'!$D$8:$D$207,MATCH(50,'Offene Vorgänge'!$I$8:$I$207,0)),"")</x:f>
      </x:c>
      <x:c r="E57" s="44" t="str">
        <x:f>IFERROR(INDEX('Offene Vorgänge'!$E$8:$E$207,MATCH(50,'Offene Vorgänge'!$I$8:$I$207,0)),"")</x:f>
      </x:c>
      <x:c r="F57" s="50" t="str">
        <x:f>IFERROR(INDEX('Offene Vorgänge'!$F$8:$F$207,MATCH(50,'Offene Vorgänge'!$I$8:$I$207,0)),"")</x:f>
      </x:c>
      <x:c r="G57" s="50" t="str">
        <x:f>IFERROR(INDEX('Offene Vorgänge'!$G$8:$G$207,MATCH(50,'Offene Vorgänge'!$I$8:$I$207,0)),"")</x:f>
      </x:c>
      <x:c r="H57" s="44" t="str">
        <x:f>IFERROR(INDEX('Offene Vorgänge'!$H$8:$H$207,MATCH(50,'Offene Vorgänge'!$I$8:$I$207,0)),"")</x:f>
      </x:c>
      <x:c r="I57" s="1"/>
      <x:c r="J57" s="1"/>
      <x:c r="K57" s="1"/>
      <x:c r="L57" s="1"/>
      <x:c r="M57" s="1"/>
      <x:c r="N57" s="1"/>
      <x:c r="O57" s="1"/>
      <x:c r="P57" s="1"/>
      <x:c r="Q57" s="1"/>
      <x:c r="R57" s="1"/>
      <x:c r="S57" s="1"/>
      <x:c r="T57" s="1"/>
    </x:row>
    <x:row r="58" ht="18" customHeight="1">
      <x:c r="A58" s="1"/>
      <x:c r="B58" s="47" t="str">
        <x:f>IF($E58="","",51)</x:f>
      </x:c>
      <x:c r="C58" s="49" t="str">
        <x:f>IFERROR(INDEX('Offene Vorgänge'!$C$8:$C$207,MATCH(51,'Offene Vorgänge'!$I$8:$I$207,0)),"")</x:f>
      </x:c>
      <x:c r="D58" s="50" t="str">
        <x:f>IFERROR(INDEX('Offene Vorgänge'!$D$8:$D$207,MATCH(51,'Offene Vorgänge'!$I$8:$I$207,0)),"")</x:f>
      </x:c>
      <x:c r="E58" s="44" t="str">
        <x:f>IFERROR(INDEX('Offene Vorgänge'!$E$8:$E$207,MATCH(51,'Offene Vorgänge'!$I$8:$I$207,0)),"")</x:f>
      </x:c>
      <x:c r="F58" s="50" t="str">
        <x:f>IFERROR(INDEX('Offene Vorgänge'!$F$8:$F$207,MATCH(51,'Offene Vorgänge'!$I$8:$I$207,0)),"")</x:f>
      </x:c>
      <x:c r="G58" s="50" t="str">
        <x:f>IFERROR(INDEX('Offene Vorgänge'!$G$8:$G$207,MATCH(51,'Offene Vorgänge'!$I$8:$I$207,0)),"")</x:f>
      </x:c>
      <x:c r="H58" s="44" t="str">
        <x:f>IFERROR(INDEX('Offene Vorgänge'!$H$8:$H$207,MATCH(51,'Offene Vorgänge'!$I$8:$I$207,0)),"")</x:f>
      </x:c>
      <x:c r="I58" s="1"/>
      <x:c r="J58" s="1"/>
      <x:c r="K58" s="1"/>
      <x:c r="L58" s="1"/>
      <x:c r="M58" s="1"/>
      <x:c r="N58" s="1"/>
      <x:c r="O58" s="1"/>
      <x:c r="P58" s="1"/>
      <x:c r="Q58" s="1"/>
      <x:c r="R58" s="1"/>
      <x:c r="S58" s="1"/>
      <x:c r="T58" s="1"/>
    </x:row>
    <x:row r="59" ht="18" customHeight="1">
      <x:c r="A59" s="1"/>
      <x:c r="B59" s="47" t="str">
        <x:f>IF($E59="","",52)</x:f>
      </x:c>
      <x:c r="C59" s="49" t="str">
        <x:f>IFERROR(INDEX('Offene Vorgänge'!$C$8:$C$207,MATCH(52,'Offene Vorgänge'!$I$8:$I$207,0)),"")</x:f>
      </x:c>
      <x:c r="D59" s="50" t="str">
        <x:f>IFERROR(INDEX('Offene Vorgänge'!$D$8:$D$207,MATCH(52,'Offene Vorgänge'!$I$8:$I$207,0)),"")</x:f>
      </x:c>
      <x:c r="E59" s="44" t="str">
        <x:f>IFERROR(INDEX('Offene Vorgänge'!$E$8:$E$207,MATCH(52,'Offene Vorgänge'!$I$8:$I$207,0)),"")</x:f>
      </x:c>
      <x:c r="F59" s="50" t="str">
        <x:f>IFERROR(INDEX('Offene Vorgänge'!$F$8:$F$207,MATCH(52,'Offene Vorgänge'!$I$8:$I$207,0)),"")</x:f>
      </x:c>
      <x:c r="G59" s="50" t="str">
        <x:f>IFERROR(INDEX('Offene Vorgänge'!$G$8:$G$207,MATCH(52,'Offene Vorgänge'!$I$8:$I$207,0)),"")</x:f>
      </x:c>
      <x:c r="H59" s="44" t="str">
        <x:f>IFERROR(INDEX('Offene Vorgänge'!$H$8:$H$207,MATCH(52,'Offene Vorgänge'!$I$8:$I$207,0)),"")</x:f>
      </x:c>
      <x:c r="I59" s="1"/>
      <x:c r="J59" s="1"/>
      <x:c r="K59" s="1"/>
      <x:c r="L59" s="1"/>
      <x:c r="M59" s="1"/>
      <x:c r="N59" s="1"/>
      <x:c r="O59" s="1"/>
      <x:c r="P59" s="1"/>
      <x:c r="Q59" s="1"/>
      <x:c r="R59" s="1"/>
      <x:c r="S59" s="1"/>
      <x:c r="T59" s="1"/>
    </x:row>
    <x:row r="60" ht="18" customHeight="1">
      <x:c r="A60" s="1"/>
      <x:c r="B60" s="47" t="str">
        <x:f>IF($E60="","",53)</x:f>
      </x:c>
      <x:c r="C60" s="49" t="str">
        <x:f>IFERROR(INDEX('Offene Vorgänge'!$C$8:$C$207,MATCH(53,'Offene Vorgänge'!$I$8:$I$207,0)),"")</x:f>
      </x:c>
      <x:c r="D60" s="50" t="str">
        <x:f>IFERROR(INDEX('Offene Vorgänge'!$D$8:$D$207,MATCH(53,'Offene Vorgänge'!$I$8:$I$207,0)),"")</x:f>
      </x:c>
      <x:c r="E60" s="44" t="str">
        <x:f>IFERROR(INDEX('Offene Vorgänge'!$E$8:$E$207,MATCH(53,'Offene Vorgänge'!$I$8:$I$207,0)),"")</x:f>
      </x:c>
      <x:c r="F60" s="50" t="str">
        <x:f>IFERROR(INDEX('Offene Vorgänge'!$F$8:$F$207,MATCH(53,'Offene Vorgänge'!$I$8:$I$207,0)),"")</x:f>
      </x:c>
      <x:c r="G60" s="50" t="str">
        <x:f>IFERROR(INDEX('Offene Vorgänge'!$G$8:$G$207,MATCH(53,'Offene Vorgänge'!$I$8:$I$207,0)),"")</x:f>
      </x:c>
      <x:c r="H60" s="44" t="str">
        <x:f>IFERROR(INDEX('Offene Vorgänge'!$H$8:$H$207,MATCH(53,'Offene Vorgänge'!$I$8:$I$207,0)),"")</x:f>
      </x:c>
      <x:c r="I60" s="1"/>
      <x:c r="J60" s="1"/>
      <x:c r="K60" s="1"/>
      <x:c r="L60" s="1"/>
      <x:c r="M60" s="1"/>
      <x:c r="N60" s="1"/>
      <x:c r="O60" s="1"/>
      <x:c r="P60" s="1"/>
      <x:c r="Q60" s="1"/>
      <x:c r="R60" s="1"/>
      <x:c r="S60" s="1"/>
      <x:c r="T60" s="1"/>
    </x:row>
    <x:row r="61" ht="18" customHeight="1">
      <x:c r="A61" s="1"/>
      <x:c r="B61" s="47" t="str">
        <x:f>IF($E61="","",54)</x:f>
      </x:c>
      <x:c r="C61" s="49" t="str">
        <x:f>IFERROR(INDEX('Offene Vorgänge'!$C$8:$C$207,MATCH(54,'Offene Vorgänge'!$I$8:$I$207,0)),"")</x:f>
      </x:c>
      <x:c r="D61" s="50" t="str">
        <x:f>IFERROR(INDEX('Offene Vorgänge'!$D$8:$D$207,MATCH(54,'Offene Vorgänge'!$I$8:$I$207,0)),"")</x:f>
      </x:c>
      <x:c r="E61" s="44" t="str">
        <x:f>IFERROR(INDEX('Offene Vorgänge'!$E$8:$E$207,MATCH(54,'Offene Vorgänge'!$I$8:$I$207,0)),"")</x:f>
      </x:c>
      <x:c r="F61" s="50" t="str">
        <x:f>IFERROR(INDEX('Offene Vorgänge'!$F$8:$F$207,MATCH(54,'Offene Vorgänge'!$I$8:$I$207,0)),"")</x:f>
      </x:c>
      <x:c r="G61" s="50" t="str">
        <x:f>IFERROR(INDEX('Offene Vorgänge'!$G$8:$G$207,MATCH(54,'Offene Vorgänge'!$I$8:$I$207,0)),"")</x:f>
      </x:c>
      <x:c r="H61" s="44" t="str">
        <x:f>IFERROR(INDEX('Offene Vorgänge'!$H$8:$H$207,MATCH(54,'Offene Vorgänge'!$I$8:$I$207,0)),"")</x:f>
      </x:c>
      <x:c r="I61" s="1"/>
      <x:c r="J61" s="1"/>
      <x:c r="K61" s="1"/>
      <x:c r="L61" s="1"/>
      <x:c r="M61" s="1"/>
      <x:c r="N61" s="1"/>
      <x:c r="O61" s="1"/>
      <x:c r="P61" s="1"/>
      <x:c r="Q61" s="1"/>
      <x:c r="R61" s="1"/>
      <x:c r="S61" s="1"/>
      <x:c r="T61" s="1"/>
    </x:row>
    <x:row r="62" ht="18" customHeight="1">
      <x:c r="A62" s="1"/>
      <x:c r="B62" s="47" t="str">
        <x:f>IF($E62="","",55)</x:f>
      </x:c>
      <x:c r="C62" s="49" t="str">
        <x:f>IFERROR(INDEX('Offene Vorgänge'!$C$8:$C$207,MATCH(55,'Offene Vorgänge'!$I$8:$I$207,0)),"")</x:f>
      </x:c>
      <x:c r="D62" s="50" t="str">
        <x:f>IFERROR(INDEX('Offene Vorgänge'!$D$8:$D$207,MATCH(55,'Offene Vorgänge'!$I$8:$I$207,0)),"")</x:f>
      </x:c>
      <x:c r="E62" s="44" t="str">
        <x:f>IFERROR(INDEX('Offene Vorgänge'!$E$8:$E$207,MATCH(55,'Offene Vorgänge'!$I$8:$I$207,0)),"")</x:f>
      </x:c>
      <x:c r="F62" s="50" t="str">
        <x:f>IFERROR(INDEX('Offene Vorgänge'!$F$8:$F$207,MATCH(55,'Offene Vorgänge'!$I$8:$I$207,0)),"")</x:f>
      </x:c>
      <x:c r="G62" s="50" t="str">
        <x:f>IFERROR(INDEX('Offene Vorgänge'!$G$8:$G$207,MATCH(55,'Offene Vorgänge'!$I$8:$I$207,0)),"")</x:f>
      </x:c>
      <x:c r="H62" s="44" t="str">
        <x:f>IFERROR(INDEX('Offene Vorgänge'!$H$8:$H$207,MATCH(55,'Offene Vorgänge'!$I$8:$I$207,0)),"")</x:f>
      </x:c>
      <x:c r="I62" s="1"/>
      <x:c r="J62" s="1"/>
      <x:c r="K62" s="1"/>
      <x:c r="L62" s="1"/>
      <x:c r="M62" s="1"/>
      <x:c r="N62" s="1"/>
      <x:c r="O62" s="1"/>
      <x:c r="P62" s="1"/>
      <x:c r="Q62" s="1"/>
      <x:c r="R62" s="1"/>
      <x:c r="S62" s="1"/>
      <x:c r="T62" s="1"/>
    </x:row>
    <x:row r="63" ht="18" customHeight="1">
      <x:c r="A63" s="1"/>
      <x:c r="B63" s="47" t="str">
        <x:f>IF($E63="","",56)</x:f>
      </x:c>
      <x:c r="C63" s="49" t="str">
        <x:f>IFERROR(INDEX('Offene Vorgänge'!$C$8:$C$207,MATCH(56,'Offene Vorgänge'!$I$8:$I$207,0)),"")</x:f>
      </x:c>
      <x:c r="D63" s="50" t="str">
        <x:f>IFERROR(INDEX('Offene Vorgänge'!$D$8:$D$207,MATCH(56,'Offene Vorgänge'!$I$8:$I$207,0)),"")</x:f>
      </x:c>
      <x:c r="E63" s="44" t="str">
        <x:f>IFERROR(INDEX('Offene Vorgänge'!$E$8:$E$207,MATCH(56,'Offene Vorgänge'!$I$8:$I$207,0)),"")</x:f>
      </x:c>
      <x:c r="F63" s="50" t="str">
        <x:f>IFERROR(INDEX('Offene Vorgänge'!$F$8:$F$207,MATCH(56,'Offene Vorgänge'!$I$8:$I$207,0)),"")</x:f>
      </x:c>
      <x:c r="G63" s="50" t="str">
        <x:f>IFERROR(INDEX('Offene Vorgänge'!$G$8:$G$207,MATCH(56,'Offene Vorgänge'!$I$8:$I$207,0)),"")</x:f>
      </x:c>
      <x:c r="H63" s="44" t="str">
        <x:f>IFERROR(INDEX('Offene Vorgänge'!$H$8:$H$207,MATCH(56,'Offene Vorgänge'!$I$8:$I$207,0)),"")</x:f>
      </x:c>
      <x:c r="I63" s="1"/>
      <x:c r="J63" s="1"/>
      <x:c r="K63" s="1"/>
      <x:c r="L63" s="1"/>
      <x:c r="M63" s="1"/>
      <x:c r="N63" s="1"/>
      <x:c r="O63" s="1"/>
      <x:c r="P63" s="1"/>
      <x:c r="Q63" s="1"/>
      <x:c r="R63" s="1"/>
      <x:c r="S63" s="1"/>
      <x:c r="T63" s="1"/>
    </x:row>
    <x:row r="64" ht="18" customHeight="1">
      <x:c r="A64" s="1"/>
      <x:c r="B64" s="47" t="str">
        <x:f>IF($E64="","",57)</x:f>
      </x:c>
      <x:c r="C64" s="49" t="str">
        <x:f>IFERROR(INDEX('Offene Vorgänge'!$C$8:$C$207,MATCH(57,'Offene Vorgänge'!$I$8:$I$207,0)),"")</x:f>
      </x:c>
      <x:c r="D64" s="50" t="str">
        <x:f>IFERROR(INDEX('Offene Vorgänge'!$D$8:$D$207,MATCH(57,'Offene Vorgänge'!$I$8:$I$207,0)),"")</x:f>
      </x:c>
      <x:c r="E64" s="44" t="str">
        <x:f>IFERROR(INDEX('Offene Vorgänge'!$E$8:$E$207,MATCH(57,'Offene Vorgänge'!$I$8:$I$207,0)),"")</x:f>
      </x:c>
      <x:c r="F64" s="50" t="str">
        <x:f>IFERROR(INDEX('Offene Vorgänge'!$F$8:$F$207,MATCH(57,'Offene Vorgänge'!$I$8:$I$207,0)),"")</x:f>
      </x:c>
      <x:c r="G64" s="50" t="str">
        <x:f>IFERROR(INDEX('Offene Vorgänge'!$G$8:$G$207,MATCH(57,'Offene Vorgänge'!$I$8:$I$207,0)),"")</x:f>
      </x:c>
      <x:c r="H64" s="44" t="str">
        <x:f>IFERROR(INDEX('Offene Vorgänge'!$H$8:$H$207,MATCH(57,'Offene Vorgänge'!$I$8:$I$207,0)),"")</x:f>
      </x:c>
      <x:c r="I64" s="1"/>
      <x:c r="J64" s="1"/>
      <x:c r="K64" s="1"/>
      <x:c r="L64" s="1"/>
      <x:c r="M64" s="1"/>
      <x:c r="N64" s="1"/>
      <x:c r="O64" s="1"/>
      <x:c r="P64" s="1"/>
      <x:c r="Q64" s="1"/>
      <x:c r="R64" s="1"/>
      <x:c r="S64" s="1"/>
      <x:c r="T64" s="1"/>
    </x:row>
    <x:row r="65" ht="18" customHeight="1">
      <x:c r="A65" s="1"/>
      <x:c r="B65" s="47" t="str">
        <x:f>IF($E65="","",58)</x:f>
      </x:c>
      <x:c r="C65" s="49" t="str">
        <x:f>IFERROR(INDEX('Offene Vorgänge'!$C$8:$C$207,MATCH(58,'Offene Vorgänge'!$I$8:$I$207,0)),"")</x:f>
      </x:c>
      <x:c r="D65" s="50" t="str">
        <x:f>IFERROR(INDEX('Offene Vorgänge'!$D$8:$D$207,MATCH(58,'Offene Vorgänge'!$I$8:$I$207,0)),"")</x:f>
      </x:c>
      <x:c r="E65" s="44" t="str">
        <x:f>IFERROR(INDEX('Offene Vorgänge'!$E$8:$E$207,MATCH(58,'Offene Vorgänge'!$I$8:$I$207,0)),"")</x:f>
      </x:c>
      <x:c r="F65" s="50" t="str">
        <x:f>IFERROR(INDEX('Offene Vorgänge'!$F$8:$F$207,MATCH(58,'Offene Vorgänge'!$I$8:$I$207,0)),"")</x:f>
      </x:c>
      <x:c r="G65" s="50" t="str">
        <x:f>IFERROR(INDEX('Offene Vorgänge'!$G$8:$G$207,MATCH(58,'Offene Vorgänge'!$I$8:$I$207,0)),"")</x:f>
      </x:c>
      <x:c r="H65" s="44" t="str">
        <x:f>IFERROR(INDEX('Offene Vorgänge'!$H$8:$H$207,MATCH(58,'Offene Vorgänge'!$I$8:$I$207,0)),"")</x:f>
      </x:c>
      <x:c r="I65" s="1"/>
      <x:c r="J65" s="1"/>
      <x:c r="K65" s="1"/>
      <x:c r="L65" s="1"/>
      <x:c r="M65" s="1"/>
      <x:c r="N65" s="1"/>
      <x:c r="O65" s="1"/>
      <x:c r="P65" s="1"/>
      <x:c r="Q65" s="1"/>
      <x:c r="R65" s="1"/>
      <x:c r="S65" s="1"/>
      <x:c r="T65" s="1"/>
    </x:row>
    <x:row r="66" ht="18" customHeight="1">
      <x:c r="A66" s="1"/>
      <x:c r="B66" s="47" t="str">
        <x:f>IF($E66="","",59)</x:f>
      </x:c>
      <x:c r="C66" s="49" t="str">
        <x:f>IFERROR(INDEX('Offene Vorgänge'!$C$8:$C$207,MATCH(59,'Offene Vorgänge'!$I$8:$I$207,0)),"")</x:f>
      </x:c>
      <x:c r="D66" s="50" t="str">
        <x:f>IFERROR(INDEX('Offene Vorgänge'!$D$8:$D$207,MATCH(59,'Offene Vorgänge'!$I$8:$I$207,0)),"")</x:f>
      </x:c>
      <x:c r="E66" s="44" t="str">
        <x:f>IFERROR(INDEX('Offene Vorgänge'!$E$8:$E$207,MATCH(59,'Offene Vorgänge'!$I$8:$I$207,0)),"")</x:f>
      </x:c>
      <x:c r="F66" s="50" t="str">
        <x:f>IFERROR(INDEX('Offene Vorgänge'!$F$8:$F$207,MATCH(59,'Offene Vorgänge'!$I$8:$I$207,0)),"")</x:f>
      </x:c>
      <x:c r="G66" s="50" t="str">
        <x:f>IFERROR(INDEX('Offene Vorgänge'!$G$8:$G$207,MATCH(59,'Offene Vorgänge'!$I$8:$I$207,0)),"")</x:f>
      </x:c>
      <x:c r="H66" s="44" t="str">
        <x:f>IFERROR(INDEX('Offene Vorgänge'!$H$8:$H$207,MATCH(59,'Offene Vorgänge'!$I$8:$I$207,0)),"")</x:f>
      </x:c>
      <x:c r="I66" s="1"/>
      <x:c r="J66" s="1"/>
      <x:c r="K66" s="1"/>
      <x:c r="L66" s="1"/>
      <x:c r="M66" s="1"/>
      <x:c r="N66" s="1"/>
      <x:c r="O66" s="1"/>
      <x:c r="P66" s="1"/>
      <x:c r="Q66" s="1"/>
      <x:c r="R66" s="1"/>
      <x:c r="S66" s="1"/>
      <x:c r="T66" s="1"/>
    </x:row>
    <x:row r="67" ht="18" customHeight="1">
      <x:c r="A67" s="1"/>
      <x:c r="B67" s="47" t="str">
        <x:f>IF($E67="","",60)</x:f>
      </x:c>
      <x:c r="C67" s="49" t="str">
        <x:f>IFERROR(INDEX('Offene Vorgänge'!$C$8:$C$207,MATCH(60,'Offene Vorgänge'!$I$8:$I$207,0)),"")</x:f>
      </x:c>
      <x:c r="D67" s="50" t="str">
        <x:f>IFERROR(INDEX('Offene Vorgänge'!$D$8:$D$207,MATCH(60,'Offene Vorgänge'!$I$8:$I$207,0)),"")</x:f>
      </x:c>
      <x:c r="E67" s="44" t="str">
        <x:f>IFERROR(INDEX('Offene Vorgänge'!$E$8:$E$207,MATCH(60,'Offene Vorgänge'!$I$8:$I$207,0)),"")</x:f>
      </x:c>
      <x:c r="F67" s="50" t="str">
        <x:f>IFERROR(INDEX('Offene Vorgänge'!$F$8:$F$207,MATCH(60,'Offene Vorgänge'!$I$8:$I$207,0)),"")</x:f>
      </x:c>
      <x:c r="G67" s="50" t="str">
        <x:f>IFERROR(INDEX('Offene Vorgänge'!$G$8:$G$207,MATCH(60,'Offene Vorgänge'!$I$8:$I$207,0)),"")</x:f>
      </x:c>
      <x:c r="H67" s="44" t="str">
        <x:f>IFERROR(INDEX('Offene Vorgänge'!$H$8:$H$207,MATCH(60,'Offene Vorgänge'!$I$8:$I$207,0)),"")</x:f>
      </x:c>
      <x:c r="I67" s="1"/>
      <x:c r="J67" s="1"/>
      <x:c r="K67" s="1"/>
      <x:c r="L67" s="1"/>
      <x:c r="M67" s="1"/>
      <x:c r="N67" s="1"/>
      <x:c r="O67" s="1"/>
      <x:c r="P67" s="1"/>
      <x:c r="Q67" s="1"/>
      <x:c r="R67" s="1"/>
      <x:c r="S67" s="1"/>
      <x:c r="T67" s="1"/>
    </x:row>
    <x:row r="68" ht="18" customHeight="1">
      <x:c r="A68" s="1"/>
      <x:c r="B68" s="47" t="str">
        <x:f>IF($E68="","",61)</x:f>
      </x:c>
      <x:c r="C68" s="49" t="str">
        <x:f>IFERROR(INDEX('Offene Vorgänge'!$C$8:$C$207,MATCH(61,'Offene Vorgänge'!$I$8:$I$207,0)),"")</x:f>
      </x:c>
      <x:c r="D68" s="50" t="str">
        <x:f>IFERROR(INDEX('Offene Vorgänge'!$D$8:$D$207,MATCH(61,'Offene Vorgänge'!$I$8:$I$207,0)),"")</x:f>
      </x:c>
      <x:c r="E68" s="44" t="str">
        <x:f>IFERROR(INDEX('Offene Vorgänge'!$E$8:$E$207,MATCH(61,'Offene Vorgänge'!$I$8:$I$207,0)),"")</x:f>
      </x:c>
      <x:c r="F68" s="50" t="str">
        <x:f>IFERROR(INDEX('Offene Vorgänge'!$F$8:$F$207,MATCH(61,'Offene Vorgänge'!$I$8:$I$207,0)),"")</x:f>
      </x:c>
      <x:c r="G68" s="50" t="str">
        <x:f>IFERROR(INDEX('Offene Vorgänge'!$G$8:$G$207,MATCH(61,'Offene Vorgänge'!$I$8:$I$207,0)),"")</x:f>
      </x:c>
      <x:c r="H68" s="44" t="str">
        <x:f>IFERROR(INDEX('Offene Vorgänge'!$H$8:$H$207,MATCH(61,'Offene Vorgänge'!$I$8:$I$207,0)),"")</x:f>
      </x:c>
      <x:c r="I68" s="1"/>
      <x:c r="J68" s="1"/>
      <x:c r="K68" s="1"/>
      <x:c r="L68" s="1"/>
      <x:c r="M68" s="1"/>
      <x:c r="N68" s="1"/>
      <x:c r="O68" s="1"/>
      <x:c r="P68" s="1"/>
      <x:c r="Q68" s="1"/>
      <x:c r="R68" s="1"/>
      <x:c r="S68" s="1"/>
      <x:c r="T68" s="1"/>
    </x:row>
    <x:row r="69" ht="18" customHeight="1">
      <x:c r="A69" s="1"/>
      <x:c r="B69" s="47" t="str">
        <x:f>IF($E69="","",62)</x:f>
      </x:c>
      <x:c r="C69" s="49" t="str">
        <x:f>IFERROR(INDEX('Offene Vorgänge'!$C$8:$C$207,MATCH(62,'Offene Vorgänge'!$I$8:$I$207,0)),"")</x:f>
      </x:c>
      <x:c r="D69" s="50" t="str">
        <x:f>IFERROR(INDEX('Offene Vorgänge'!$D$8:$D$207,MATCH(62,'Offene Vorgänge'!$I$8:$I$207,0)),"")</x:f>
      </x:c>
      <x:c r="E69" s="44" t="str">
        <x:f>IFERROR(INDEX('Offene Vorgänge'!$E$8:$E$207,MATCH(62,'Offene Vorgänge'!$I$8:$I$207,0)),"")</x:f>
      </x:c>
      <x:c r="F69" s="50" t="str">
        <x:f>IFERROR(INDEX('Offene Vorgänge'!$F$8:$F$207,MATCH(62,'Offene Vorgänge'!$I$8:$I$207,0)),"")</x:f>
      </x:c>
      <x:c r="G69" s="50" t="str">
        <x:f>IFERROR(INDEX('Offene Vorgänge'!$G$8:$G$207,MATCH(62,'Offene Vorgänge'!$I$8:$I$207,0)),"")</x:f>
      </x:c>
      <x:c r="H69" s="44" t="str">
        <x:f>IFERROR(INDEX('Offene Vorgänge'!$H$8:$H$207,MATCH(62,'Offene Vorgänge'!$I$8:$I$207,0)),"")</x:f>
      </x:c>
      <x:c r="I69" s="1"/>
      <x:c r="J69" s="1"/>
      <x:c r="K69" s="1"/>
      <x:c r="L69" s="1"/>
      <x:c r="M69" s="1"/>
      <x:c r="N69" s="1"/>
      <x:c r="O69" s="1"/>
      <x:c r="P69" s="1"/>
      <x:c r="Q69" s="1"/>
      <x:c r="R69" s="1"/>
      <x:c r="S69" s="1"/>
      <x:c r="T69" s="1"/>
    </x:row>
    <x:row r="70" ht="18" customHeight="1">
      <x:c r="A70" s="1"/>
      <x:c r="B70" s="47" t="str">
        <x:f>IF($E70="","",63)</x:f>
      </x:c>
      <x:c r="C70" s="49" t="str">
        <x:f>IFERROR(INDEX('Offene Vorgänge'!$C$8:$C$207,MATCH(63,'Offene Vorgänge'!$I$8:$I$207,0)),"")</x:f>
      </x:c>
      <x:c r="D70" s="50" t="str">
        <x:f>IFERROR(INDEX('Offene Vorgänge'!$D$8:$D$207,MATCH(63,'Offene Vorgänge'!$I$8:$I$207,0)),"")</x:f>
      </x:c>
      <x:c r="E70" s="44" t="str">
        <x:f>IFERROR(INDEX('Offene Vorgänge'!$E$8:$E$207,MATCH(63,'Offene Vorgänge'!$I$8:$I$207,0)),"")</x:f>
      </x:c>
      <x:c r="F70" s="50" t="str">
        <x:f>IFERROR(INDEX('Offene Vorgänge'!$F$8:$F$207,MATCH(63,'Offene Vorgänge'!$I$8:$I$207,0)),"")</x:f>
      </x:c>
      <x:c r="G70" s="50" t="str">
        <x:f>IFERROR(INDEX('Offene Vorgänge'!$G$8:$G$207,MATCH(63,'Offene Vorgänge'!$I$8:$I$207,0)),"")</x:f>
      </x:c>
      <x:c r="H70" s="44" t="str">
        <x:f>IFERROR(INDEX('Offene Vorgänge'!$H$8:$H$207,MATCH(63,'Offene Vorgänge'!$I$8:$I$207,0)),"")</x:f>
      </x:c>
      <x:c r="I70" s="1"/>
      <x:c r="J70" s="1"/>
      <x:c r="K70" s="1"/>
      <x:c r="L70" s="1"/>
      <x:c r="M70" s="1"/>
      <x:c r="N70" s="1"/>
      <x:c r="O70" s="1"/>
      <x:c r="P70" s="1"/>
      <x:c r="Q70" s="1"/>
      <x:c r="R70" s="1"/>
      <x:c r="S70" s="1"/>
      <x:c r="T70" s="1"/>
    </x:row>
    <x:row r="71" ht="18" customHeight="1">
      <x:c r="A71" s="1"/>
      <x:c r="B71" s="47" t="str">
        <x:f>IF($E71="","",64)</x:f>
      </x:c>
      <x:c r="C71" s="49" t="str">
        <x:f>IFERROR(INDEX('Offene Vorgänge'!$C$8:$C$207,MATCH(64,'Offene Vorgänge'!$I$8:$I$207,0)),"")</x:f>
      </x:c>
      <x:c r="D71" s="50" t="str">
        <x:f>IFERROR(INDEX('Offene Vorgänge'!$D$8:$D$207,MATCH(64,'Offene Vorgänge'!$I$8:$I$207,0)),"")</x:f>
      </x:c>
      <x:c r="E71" s="44" t="str">
        <x:f>IFERROR(INDEX('Offene Vorgänge'!$E$8:$E$207,MATCH(64,'Offene Vorgänge'!$I$8:$I$207,0)),"")</x:f>
      </x:c>
      <x:c r="F71" s="50" t="str">
        <x:f>IFERROR(INDEX('Offene Vorgänge'!$F$8:$F$207,MATCH(64,'Offene Vorgänge'!$I$8:$I$207,0)),"")</x:f>
      </x:c>
      <x:c r="G71" s="50" t="str">
        <x:f>IFERROR(INDEX('Offene Vorgänge'!$G$8:$G$207,MATCH(64,'Offene Vorgänge'!$I$8:$I$207,0)),"")</x:f>
      </x:c>
      <x:c r="H71" s="44" t="str">
        <x:f>IFERROR(INDEX('Offene Vorgänge'!$H$8:$H$207,MATCH(64,'Offene Vorgänge'!$I$8:$I$207,0)),"")</x:f>
      </x:c>
      <x:c r="I71" s="1"/>
      <x:c r="J71" s="1"/>
      <x:c r="K71" s="1"/>
      <x:c r="L71" s="1"/>
      <x:c r="M71" s="1"/>
      <x:c r="N71" s="1"/>
      <x:c r="O71" s="1"/>
      <x:c r="P71" s="1"/>
      <x:c r="Q71" s="1"/>
      <x:c r="R71" s="1"/>
      <x:c r="S71" s="1"/>
      <x:c r="T71" s="1"/>
    </x:row>
    <x:row r="72" ht="18" customHeight="1">
      <x:c r="A72" s="1"/>
      <x:c r="B72" s="47" t="str">
        <x:f>IF($E72="","",65)</x:f>
      </x:c>
      <x:c r="C72" s="49" t="str">
        <x:f>IFERROR(INDEX('Offene Vorgänge'!$C$8:$C$207,MATCH(65,'Offene Vorgänge'!$I$8:$I$207,0)),"")</x:f>
      </x:c>
      <x:c r="D72" s="50" t="str">
        <x:f>IFERROR(INDEX('Offene Vorgänge'!$D$8:$D$207,MATCH(65,'Offene Vorgänge'!$I$8:$I$207,0)),"")</x:f>
      </x:c>
      <x:c r="E72" s="44" t="str">
        <x:f>IFERROR(INDEX('Offene Vorgänge'!$E$8:$E$207,MATCH(65,'Offene Vorgänge'!$I$8:$I$207,0)),"")</x:f>
      </x:c>
      <x:c r="F72" s="50" t="str">
        <x:f>IFERROR(INDEX('Offene Vorgänge'!$F$8:$F$207,MATCH(65,'Offene Vorgänge'!$I$8:$I$207,0)),"")</x:f>
      </x:c>
      <x:c r="G72" s="50" t="str">
        <x:f>IFERROR(INDEX('Offene Vorgänge'!$G$8:$G$207,MATCH(65,'Offene Vorgänge'!$I$8:$I$207,0)),"")</x:f>
      </x:c>
      <x:c r="H72" s="44" t="str">
        <x:f>IFERROR(INDEX('Offene Vorgänge'!$H$8:$H$207,MATCH(65,'Offene Vorgänge'!$I$8:$I$207,0)),"")</x:f>
      </x:c>
      <x:c r="I72" s="1"/>
      <x:c r="J72" s="1"/>
      <x:c r="K72" s="1"/>
      <x:c r="L72" s="1"/>
      <x:c r="M72" s="1"/>
      <x:c r="N72" s="1"/>
      <x:c r="O72" s="1"/>
      <x:c r="P72" s="1"/>
      <x:c r="Q72" s="1"/>
      <x:c r="R72" s="1"/>
      <x:c r="S72" s="1"/>
      <x:c r="T72" s="1"/>
    </x:row>
    <x:row r="73" ht="18" customHeight="1">
      <x:c r="A73" s="1"/>
      <x:c r="B73" s="47" t="str">
        <x:f>IF($E73="","",66)</x:f>
      </x:c>
      <x:c r="C73" s="49" t="str">
        <x:f>IFERROR(INDEX('Offene Vorgänge'!$C$8:$C$207,MATCH(66,'Offene Vorgänge'!$I$8:$I$207,0)),"")</x:f>
      </x:c>
      <x:c r="D73" s="50" t="str">
        <x:f>IFERROR(INDEX('Offene Vorgänge'!$D$8:$D$207,MATCH(66,'Offene Vorgänge'!$I$8:$I$207,0)),"")</x:f>
      </x:c>
      <x:c r="E73" s="44" t="str">
        <x:f>IFERROR(INDEX('Offene Vorgänge'!$E$8:$E$207,MATCH(66,'Offene Vorgänge'!$I$8:$I$207,0)),"")</x:f>
      </x:c>
      <x:c r="F73" s="50" t="str">
        <x:f>IFERROR(INDEX('Offene Vorgänge'!$F$8:$F$207,MATCH(66,'Offene Vorgänge'!$I$8:$I$207,0)),"")</x:f>
      </x:c>
      <x:c r="G73" s="50" t="str">
        <x:f>IFERROR(INDEX('Offene Vorgänge'!$G$8:$G$207,MATCH(66,'Offene Vorgänge'!$I$8:$I$207,0)),"")</x:f>
      </x:c>
      <x:c r="H73" s="44" t="str">
        <x:f>IFERROR(INDEX('Offene Vorgänge'!$H$8:$H$207,MATCH(66,'Offene Vorgänge'!$I$8:$I$207,0)),"")</x:f>
      </x:c>
      <x:c r="I73" s="1"/>
      <x:c r="J73" s="1"/>
      <x:c r="K73" s="1"/>
      <x:c r="L73" s="1"/>
      <x:c r="M73" s="1"/>
      <x:c r="N73" s="1"/>
      <x:c r="O73" s="1"/>
      <x:c r="P73" s="1"/>
      <x:c r="Q73" s="1"/>
      <x:c r="R73" s="1"/>
      <x:c r="S73" s="1"/>
      <x:c r="T73" s="1"/>
    </x:row>
    <x:row r="74" ht="18" customHeight="1">
      <x:c r="A74" s="1"/>
      <x:c r="B74" s="47" t="str">
        <x:f>IF($E74="","",67)</x:f>
      </x:c>
      <x:c r="C74" s="49" t="str">
        <x:f>IFERROR(INDEX('Offene Vorgänge'!$C$8:$C$207,MATCH(67,'Offene Vorgänge'!$I$8:$I$207,0)),"")</x:f>
      </x:c>
      <x:c r="D74" s="50" t="str">
        <x:f>IFERROR(INDEX('Offene Vorgänge'!$D$8:$D$207,MATCH(67,'Offene Vorgänge'!$I$8:$I$207,0)),"")</x:f>
      </x:c>
      <x:c r="E74" s="44" t="str">
        <x:f>IFERROR(INDEX('Offene Vorgänge'!$E$8:$E$207,MATCH(67,'Offene Vorgänge'!$I$8:$I$207,0)),"")</x:f>
      </x:c>
      <x:c r="F74" s="50" t="str">
        <x:f>IFERROR(INDEX('Offene Vorgänge'!$F$8:$F$207,MATCH(67,'Offene Vorgänge'!$I$8:$I$207,0)),"")</x:f>
      </x:c>
      <x:c r="G74" s="50" t="str">
        <x:f>IFERROR(INDEX('Offene Vorgänge'!$G$8:$G$207,MATCH(67,'Offene Vorgänge'!$I$8:$I$207,0)),"")</x:f>
      </x:c>
      <x:c r="H74" s="44" t="str">
        <x:f>IFERROR(INDEX('Offene Vorgänge'!$H$8:$H$207,MATCH(67,'Offene Vorgänge'!$I$8:$I$207,0)),"")</x:f>
      </x:c>
      <x:c r="I74" s="1"/>
      <x:c r="J74" s="1"/>
      <x:c r="K74" s="1"/>
      <x:c r="L74" s="1"/>
      <x:c r="M74" s="1"/>
      <x:c r="N74" s="1"/>
      <x:c r="O74" s="1"/>
      <x:c r="P74" s="1"/>
      <x:c r="Q74" s="1"/>
      <x:c r="R74" s="1"/>
      <x:c r="S74" s="1"/>
      <x:c r="T74" s="1"/>
    </x:row>
    <x:row r="75" ht="18" customHeight="1">
      <x:c r="A75" s="1"/>
      <x:c r="B75" s="47" t="str">
        <x:f>IF($E75="","",68)</x:f>
      </x:c>
      <x:c r="C75" s="49" t="str">
        <x:f>IFERROR(INDEX('Offene Vorgänge'!$C$8:$C$207,MATCH(68,'Offene Vorgänge'!$I$8:$I$207,0)),"")</x:f>
      </x:c>
      <x:c r="D75" s="50" t="str">
        <x:f>IFERROR(INDEX('Offene Vorgänge'!$D$8:$D$207,MATCH(68,'Offene Vorgänge'!$I$8:$I$207,0)),"")</x:f>
      </x:c>
      <x:c r="E75" s="44" t="str">
        <x:f>IFERROR(INDEX('Offene Vorgänge'!$E$8:$E$207,MATCH(68,'Offene Vorgänge'!$I$8:$I$207,0)),"")</x:f>
      </x:c>
      <x:c r="F75" s="50" t="str">
        <x:f>IFERROR(INDEX('Offene Vorgänge'!$F$8:$F$207,MATCH(68,'Offene Vorgänge'!$I$8:$I$207,0)),"")</x:f>
      </x:c>
      <x:c r="G75" s="50" t="str">
        <x:f>IFERROR(INDEX('Offene Vorgänge'!$G$8:$G$207,MATCH(68,'Offene Vorgänge'!$I$8:$I$207,0)),"")</x:f>
      </x:c>
      <x:c r="H75" s="44" t="str">
        <x:f>IFERROR(INDEX('Offene Vorgänge'!$H$8:$H$207,MATCH(68,'Offene Vorgänge'!$I$8:$I$207,0)),"")</x:f>
      </x:c>
      <x:c r="I75" s="1"/>
      <x:c r="J75" s="1"/>
      <x:c r="K75" s="1"/>
      <x:c r="L75" s="1"/>
      <x:c r="M75" s="1"/>
      <x:c r="N75" s="1"/>
      <x:c r="O75" s="1"/>
      <x:c r="P75" s="1"/>
      <x:c r="Q75" s="1"/>
      <x:c r="R75" s="1"/>
      <x:c r="S75" s="1"/>
      <x:c r="T75" s="1"/>
    </x:row>
    <x:row r="76" ht="18" customHeight="1">
      <x:c r="A76" s="1"/>
      <x:c r="B76" s="47" t="str">
        <x:f>IF($E76="","",69)</x:f>
      </x:c>
      <x:c r="C76" s="49" t="str">
        <x:f>IFERROR(INDEX('Offene Vorgänge'!$C$8:$C$207,MATCH(69,'Offene Vorgänge'!$I$8:$I$207,0)),"")</x:f>
      </x:c>
      <x:c r="D76" s="50" t="str">
        <x:f>IFERROR(INDEX('Offene Vorgänge'!$D$8:$D$207,MATCH(69,'Offene Vorgänge'!$I$8:$I$207,0)),"")</x:f>
      </x:c>
      <x:c r="E76" s="44" t="str">
        <x:f>IFERROR(INDEX('Offene Vorgänge'!$E$8:$E$207,MATCH(69,'Offene Vorgänge'!$I$8:$I$207,0)),"")</x:f>
      </x:c>
      <x:c r="F76" s="50" t="str">
        <x:f>IFERROR(INDEX('Offene Vorgänge'!$F$8:$F$207,MATCH(69,'Offene Vorgänge'!$I$8:$I$207,0)),"")</x:f>
      </x:c>
      <x:c r="G76" s="50" t="str">
        <x:f>IFERROR(INDEX('Offene Vorgänge'!$G$8:$G$207,MATCH(69,'Offene Vorgänge'!$I$8:$I$207,0)),"")</x:f>
      </x:c>
      <x:c r="H76" s="44" t="str">
        <x:f>IFERROR(INDEX('Offene Vorgänge'!$H$8:$H$207,MATCH(69,'Offene Vorgänge'!$I$8:$I$207,0)),"")</x:f>
      </x:c>
      <x:c r="I76" s="1"/>
      <x:c r="J76" s="1"/>
      <x:c r="K76" s="1"/>
      <x:c r="L76" s="1"/>
      <x:c r="M76" s="1"/>
      <x:c r="N76" s="1"/>
      <x:c r="O76" s="1"/>
      <x:c r="P76" s="1"/>
      <x:c r="Q76" s="1"/>
      <x:c r="R76" s="1"/>
      <x:c r="S76" s="1"/>
      <x:c r="T76" s="1"/>
    </x:row>
    <x:row r="77" ht="18" customHeight="1">
      <x:c r="A77" s="1"/>
      <x:c r="B77" s="47" t="str">
        <x:f>IF($E77="","",70)</x:f>
      </x:c>
      <x:c r="C77" s="49" t="str">
        <x:f>IFERROR(INDEX('Offene Vorgänge'!$C$8:$C$207,MATCH(70,'Offene Vorgänge'!$I$8:$I$207,0)),"")</x:f>
      </x:c>
      <x:c r="D77" s="50" t="str">
        <x:f>IFERROR(INDEX('Offene Vorgänge'!$D$8:$D$207,MATCH(70,'Offene Vorgänge'!$I$8:$I$207,0)),"")</x:f>
      </x:c>
      <x:c r="E77" s="44" t="str">
        <x:f>IFERROR(INDEX('Offene Vorgänge'!$E$8:$E$207,MATCH(70,'Offene Vorgänge'!$I$8:$I$207,0)),"")</x:f>
      </x:c>
      <x:c r="F77" s="50" t="str">
        <x:f>IFERROR(INDEX('Offene Vorgänge'!$F$8:$F$207,MATCH(70,'Offene Vorgänge'!$I$8:$I$207,0)),"")</x:f>
      </x:c>
      <x:c r="G77" s="50" t="str">
        <x:f>IFERROR(INDEX('Offene Vorgänge'!$G$8:$G$207,MATCH(70,'Offene Vorgänge'!$I$8:$I$207,0)),"")</x:f>
      </x:c>
      <x:c r="H77" s="44" t="str">
        <x:f>IFERROR(INDEX('Offene Vorgänge'!$H$8:$H$207,MATCH(70,'Offene Vorgänge'!$I$8:$I$207,0)),"")</x:f>
      </x:c>
      <x:c r="I77" s="1"/>
      <x:c r="J77" s="1"/>
      <x:c r="K77" s="1"/>
      <x:c r="L77" s="1"/>
      <x:c r="M77" s="1"/>
      <x:c r="N77" s="1"/>
      <x:c r="O77" s="1"/>
      <x:c r="P77" s="1"/>
      <x:c r="Q77" s="1"/>
      <x:c r="R77" s="1"/>
      <x:c r="S77" s="1"/>
      <x:c r="T77" s="1"/>
    </x:row>
    <x:row r="78" ht="18" customHeight="1">
      <x:c r="A78" s="1"/>
      <x:c r="B78" s="47" t="str">
        <x:f>IF($E78="","",71)</x:f>
      </x:c>
      <x:c r="C78" s="49" t="str">
        <x:f>IFERROR(INDEX('Offene Vorgänge'!$C$8:$C$207,MATCH(71,'Offene Vorgänge'!$I$8:$I$207,0)),"")</x:f>
      </x:c>
      <x:c r="D78" s="50" t="str">
        <x:f>IFERROR(INDEX('Offene Vorgänge'!$D$8:$D$207,MATCH(71,'Offene Vorgänge'!$I$8:$I$207,0)),"")</x:f>
      </x:c>
      <x:c r="E78" s="44" t="str">
        <x:f>IFERROR(INDEX('Offene Vorgänge'!$E$8:$E$207,MATCH(71,'Offene Vorgänge'!$I$8:$I$207,0)),"")</x:f>
      </x:c>
      <x:c r="F78" s="50" t="str">
        <x:f>IFERROR(INDEX('Offene Vorgänge'!$F$8:$F$207,MATCH(71,'Offene Vorgänge'!$I$8:$I$207,0)),"")</x:f>
      </x:c>
      <x:c r="G78" s="50" t="str">
        <x:f>IFERROR(INDEX('Offene Vorgänge'!$G$8:$G$207,MATCH(71,'Offene Vorgänge'!$I$8:$I$207,0)),"")</x:f>
      </x:c>
      <x:c r="H78" s="44" t="str">
        <x:f>IFERROR(INDEX('Offene Vorgänge'!$H$8:$H$207,MATCH(71,'Offene Vorgänge'!$I$8:$I$207,0)),"")</x:f>
      </x:c>
      <x:c r="I78" s="1"/>
      <x:c r="J78" s="1"/>
      <x:c r="K78" s="1"/>
      <x:c r="L78" s="1"/>
      <x:c r="M78" s="1"/>
      <x:c r="N78" s="1"/>
      <x:c r="O78" s="1"/>
      <x:c r="P78" s="1"/>
      <x:c r="Q78" s="1"/>
      <x:c r="R78" s="1"/>
      <x:c r="S78" s="1"/>
      <x:c r="T78" s="1"/>
    </x:row>
    <x:row r="79" ht="18" customHeight="1">
      <x:c r="A79" s="1"/>
      <x:c r="B79" s="47" t="str">
        <x:f>IF($E79="","",72)</x:f>
      </x:c>
      <x:c r="C79" s="49" t="str">
        <x:f>IFERROR(INDEX('Offene Vorgänge'!$C$8:$C$207,MATCH(72,'Offene Vorgänge'!$I$8:$I$207,0)),"")</x:f>
      </x:c>
      <x:c r="D79" s="50" t="str">
        <x:f>IFERROR(INDEX('Offene Vorgänge'!$D$8:$D$207,MATCH(72,'Offene Vorgänge'!$I$8:$I$207,0)),"")</x:f>
      </x:c>
      <x:c r="E79" s="44" t="str">
        <x:f>IFERROR(INDEX('Offene Vorgänge'!$E$8:$E$207,MATCH(72,'Offene Vorgänge'!$I$8:$I$207,0)),"")</x:f>
      </x:c>
      <x:c r="F79" s="50" t="str">
        <x:f>IFERROR(INDEX('Offene Vorgänge'!$F$8:$F$207,MATCH(72,'Offene Vorgänge'!$I$8:$I$207,0)),"")</x:f>
      </x:c>
      <x:c r="G79" s="50" t="str">
        <x:f>IFERROR(INDEX('Offene Vorgänge'!$G$8:$G$207,MATCH(72,'Offene Vorgänge'!$I$8:$I$207,0)),"")</x:f>
      </x:c>
      <x:c r="H79" s="44" t="str">
        <x:f>IFERROR(INDEX('Offene Vorgänge'!$H$8:$H$207,MATCH(72,'Offene Vorgänge'!$I$8:$I$207,0)),"")</x:f>
      </x:c>
      <x:c r="I79" s="1"/>
      <x:c r="J79" s="1"/>
      <x:c r="K79" s="1"/>
      <x:c r="L79" s="1"/>
      <x:c r="M79" s="1"/>
      <x:c r="N79" s="1"/>
      <x:c r="O79" s="1"/>
      <x:c r="P79" s="1"/>
      <x:c r="Q79" s="1"/>
      <x:c r="R79" s="1"/>
      <x:c r="S79" s="1"/>
      <x:c r="T79" s="1"/>
    </x:row>
    <x:row r="80" ht="18" customHeight="1">
      <x:c r="A80" s="1"/>
      <x:c r="B80" s="47" t="str">
        <x:f>IF($E80="","",73)</x:f>
      </x:c>
      <x:c r="C80" s="49" t="str">
        <x:f>IFERROR(INDEX('Offene Vorgänge'!$C$8:$C$207,MATCH(73,'Offene Vorgänge'!$I$8:$I$207,0)),"")</x:f>
      </x:c>
      <x:c r="D80" s="50" t="str">
        <x:f>IFERROR(INDEX('Offene Vorgänge'!$D$8:$D$207,MATCH(73,'Offene Vorgänge'!$I$8:$I$207,0)),"")</x:f>
      </x:c>
      <x:c r="E80" s="44" t="str">
        <x:f>IFERROR(INDEX('Offene Vorgänge'!$E$8:$E$207,MATCH(73,'Offene Vorgänge'!$I$8:$I$207,0)),"")</x:f>
      </x:c>
      <x:c r="F80" s="50" t="str">
        <x:f>IFERROR(INDEX('Offene Vorgänge'!$F$8:$F$207,MATCH(73,'Offene Vorgänge'!$I$8:$I$207,0)),"")</x:f>
      </x:c>
      <x:c r="G80" s="50" t="str">
        <x:f>IFERROR(INDEX('Offene Vorgänge'!$G$8:$G$207,MATCH(73,'Offene Vorgänge'!$I$8:$I$207,0)),"")</x:f>
      </x:c>
      <x:c r="H80" s="44" t="str">
        <x:f>IFERROR(INDEX('Offene Vorgänge'!$H$8:$H$207,MATCH(73,'Offene Vorgänge'!$I$8:$I$207,0)),"")</x:f>
      </x:c>
      <x:c r="I80" s="1"/>
      <x:c r="J80" s="1"/>
      <x:c r="K80" s="1"/>
      <x:c r="L80" s="1"/>
      <x:c r="M80" s="1"/>
      <x:c r="N80" s="1"/>
      <x:c r="O80" s="1"/>
      <x:c r="P80" s="1"/>
      <x:c r="Q80" s="1"/>
      <x:c r="R80" s="1"/>
      <x:c r="S80" s="1"/>
      <x:c r="T80" s="1"/>
    </x:row>
    <x:row r="81" ht="18" customHeight="1">
      <x:c r="A81" s="1"/>
      <x:c r="B81" s="47" t="str">
        <x:f>IF($E81="","",74)</x:f>
      </x:c>
      <x:c r="C81" s="49" t="str">
        <x:f>IFERROR(INDEX('Offene Vorgänge'!$C$8:$C$207,MATCH(74,'Offene Vorgänge'!$I$8:$I$207,0)),"")</x:f>
      </x:c>
      <x:c r="D81" s="50" t="str">
        <x:f>IFERROR(INDEX('Offene Vorgänge'!$D$8:$D$207,MATCH(74,'Offene Vorgänge'!$I$8:$I$207,0)),"")</x:f>
      </x:c>
      <x:c r="E81" s="44" t="str">
        <x:f>IFERROR(INDEX('Offene Vorgänge'!$E$8:$E$207,MATCH(74,'Offene Vorgänge'!$I$8:$I$207,0)),"")</x:f>
      </x:c>
      <x:c r="F81" s="50" t="str">
        <x:f>IFERROR(INDEX('Offene Vorgänge'!$F$8:$F$207,MATCH(74,'Offene Vorgänge'!$I$8:$I$207,0)),"")</x:f>
      </x:c>
      <x:c r="G81" s="50" t="str">
        <x:f>IFERROR(INDEX('Offene Vorgänge'!$G$8:$G$207,MATCH(74,'Offene Vorgänge'!$I$8:$I$207,0)),"")</x:f>
      </x:c>
      <x:c r="H81" s="44" t="str">
        <x:f>IFERROR(INDEX('Offene Vorgänge'!$H$8:$H$207,MATCH(74,'Offene Vorgänge'!$I$8:$I$207,0)),"")</x:f>
      </x:c>
      <x:c r="I81" s="1"/>
      <x:c r="J81" s="1"/>
      <x:c r="K81" s="1"/>
      <x:c r="L81" s="1"/>
      <x:c r="M81" s="1"/>
      <x:c r="N81" s="1"/>
      <x:c r="O81" s="1"/>
      <x:c r="P81" s="1"/>
      <x:c r="Q81" s="1"/>
      <x:c r="R81" s="1"/>
      <x:c r="S81" s="1"/>
      <x:c r="T81" s="1"/>
    </x:row>
    <x:row r="82" ht="18" customHeight="1">
      <x:c r="A82" s="1"/>
      <x:c r="B82" s="47" t="str">
        <x:f>IF($E82="","",75)</x:f>
      </x:c>
      <x:c r="C82" s="49" t="str">
        <x:f>IFERROR(INDEX('Offene Vorgänge'!$C$8:$C$207,MATCH(75,'Offene Vorgänge'!$I$8:$I$207,0)),"")</x:f>
      </x:c>
      <x:c r="D82" s="50" t="str">
        <x:f>IFERROR(INDEX('Offene Vorgänge'!$D$8:$D$207,MATCH(75,'Offene Vorgänge'!$I$8:$I$207,0)),"")</x:f>
      </x:c>
      <x:c r="E82" s="44" t="str">
        <x:f>IFERROR(INDEX('Offene Vorgänge'!$E$8:$E$207,MATCH(75,'Offene Vorgänge'!$I$8:$I$207,0)),"")</x:f>
      </x:c>
      <x:c r="F82" s="50" t="str">
        <x:f>IFERROR(INDEX('Offene Vorgänge'!$F$8:$F$207,MATCH(75,'Offene Vorgänge'!$I$8:$I$207,0)),"")</x:f>
      </x:c>
      <x:c r="G82" s="50" t="str">
        <x:f>IFERROR(INDEX('Offene Vorgänge'!$G$8:$G$207,MATCH(75,'Offene Vorgänge'!$I$8:$I$207,0)),"")</x:f>
      </x:c>
      <x:c r="H82" s="44" t="str">
        <x:f>IFERROR(INDEX('Offene Vorgänge'!$H$8:$H$207,MATCH(75,'Offene Vorgänge'!$I$8:$I$207,0)),"")</x:f>
      </x:c>
      <x:c r="I82" s="1"/>
      <x:c r="J82" s="1"/>
      <x:c r="K82" s="1"/>
      <x:c r="L82" s="1"/>
      <x:c r="M82" s="1"/>
      <x:c r="N82" s="1"/>
      <x:c r="O82" s="1"/>
      <x:c r="P82" s="1"/>
      <x:c r="Q82" s="1"/>
      <x:c r="R82" s="1"/>
      <x:c r="S82" s="1"/>
      <x:c r="T82" s="1"/>
    </x:row>
    <x:row r="83" ht="18" customHeight="1">
      <x:c r="A83" s="1"/>
      <x:c r="B83" s="47" t="str">
        <x:f>IF($E83="","",76)</x:f>
      </x:c>
      <x:c r="C83" s="49" t="str">
        <x:f>IFERROR(INDEX('Offene Vorgänge'!$C$8:$C$207,MATCH(76,'Offene Vorgänge'!$I$8:$I$207,0)),"")</x:f>
      </x:c>
      <x:c r="D83" s="50" t="str">
        <x:f>IFERROR(INDEX('Offene Vorgänge'!$D$8:$D$207,MATCH(76,'Offene Vorgänge'!$I$8:$I$207,0)),"")</x:f>
      </x:c>
      <x:c r="E83" s="44" t="str">
        <x:f>IFERROR(INDEX('Offene Vorgänge'!$E$8:$E$207,MATCH(76,'Offene Vorgänge'!$I$8:$I$207,0)),"")</x:f>
      </x:c>
      <x:c r="F83" s="50" t="str">
        <x:f>IFERROR(INDEX('Offene Vorgänge'!$F$8:$F$207,MATCH(76,'Offene Vorgänge'!$I$8:$I$207,0)),"")</x:f>
      </x:c>
      <x:c r="G83" s="50" t="str">
        <x:f>IFERROR(INDEX('Offene Vorgänge'!$G$8:$G$207,MATCH(76,'Offene Vorgänge'!$I$8:$I$207,0)),"")</x:f>
      </x:c>
      <x:c r="H83" s="44" t="str">
        <x:f>IFERROR(INDEX('Offene Vorgänge'!$H$8:$H$207,MATCH(76,'Offene Vorgänge'!$I$8:$I$207,0)),"")</x:f>
      </x:c>
      <x:c r="I83" s="1"/>
      <x:c r="J83" s="1"/>
      <x:c r="K83" s="1"/>
      <x:c r="L83" s="1"/>
      <x:c r="M83" s="1"/>
      <x:c r="N83" s="1"/>
      <x:c r="O83" s="1"/>
      <x:c r="P83" s="1"/>
      <x:c r="Q83" s="1"/>
      <x:c r="R83" s="1"/>
      <x:c r="S83" s="1"/>
      <x:c r="T83" s="1"/>
    </x:row>
    <x:row r="84" ht="18" customHeight="1">
      <x:c r="A84" s="1"/>
      <x:c r="B84" s="47" t="str">
        <x:f>IF($E84="","",77)</x:f>
      </x:c>
      <x:c r="C84" s="49" t="str">
        <x:f>IFERROR(INDEX('Offene Vorgänge'!$C$8:$C$207,MATCH(77,'Offene Vorgänge'!$I$8:$I$207,0)),"")</x:f>
      </x:c>
      <x:c r="D84" s="50" t="str">
        <x:f>IFERROR(INDEX('Offene Vorgänge'!$D$8:$D$207,MATCH(77,'Offene Vorgänge'!$I$8:$I$207,0)),"")</x:f>
      </x:c>
      <x:c r="E84" s="44" t="str">
        <x:f>IFERROR(INDEX('Offene Vorgänge'!$E$8:$E$207,MATCH(77,'Offene Vorgänge'!$I$8:$I$207,0)),"")</x:f>
      </x:c>
      <x:c r="F84" s="50" t="str">
        <x:f>IFERROR(INDEX('Offene Vorgänge'!$F$8:$F$207,MATCH(77,'Offene Vorgänge'!$I$8:$I$207,0)),"")</x:f>
      </x:c>
      <x:c r="G84" s="50" t="str">
        <x:f>IFERROR(INDEX('Offene Vorgänge'!$G$8:$G$207,MATCH(77,'Offene Vorgänge'!$I$8:$I$207,0)),"")</x:f>
      </x:c>
      <x:c r="H84" s="44" t="str">
        <x:f>IFERROR(INDEX('Offene Vorgänge'!$H$8:$H$207,MATCH(77,'Offene Vorgänge'!$I$8:$I$207,0)),"")</x:f>
      </x:c>
      <x:c r="I84" s="1"/>
      <x:c r="J84" s="1"/>
      <x:c r="K84" s="1"/>
      <x:c r="L84" s="1"/>
      <x:c r="M84" s="1"/>
      <x:c r="N84" s="1"/>
      <x:c r="O84" s="1"/>
      <x:c r="P84" s="1"/>
      <x:c r="Q84" s="1"/>
      <x:c r="R84" s="1"/>
      <x:c r="S84" s="1"/>
      <x:c r="T84" s="1"/>
    </x:row>
    <x:row r="85" ht="18" customHeight="1">
      <x:c r="A85" s="1"/>
      <x:c r="B85" s="47" t="str">
        <x:f>IF($E85="","",78)</x:f>
      </x:c>
      <x:c r="C85" s="49" t="str">
        <x:f>IFERROR(INDEX('Offene Vorgänge'!$C$8:$C$207,MATCH(78,'Offene Vorgänge'!$I$8:$I$207,0)),"")</x:f>
      </x:c>
      <x:c r="D85" s="50" t="str">
        <x:f>IFERROR(INDEX('Offene Vorgänge'!$D$8:$D$207,MATCH(78,'Offene Vorgänge'!$I$8:$I$207,0)),"")</x:f>
      </x:c>
      <x:c r="E85" s="44" t="str">
        <x:f>IFERROR(INDEX('Offene Vorgänge'!$E$8:$E$207,MATCH(78,'Offene Vorgänge'!$I$8:$I$207,0)),"")</x:f>
      </x:c>
      <x:c r="F85" s="50" t="str">
        <x:f>IFERROR(INDEX('Offene Vorgänge'!$F$8:$F$207,MATCH(78,'Offene Vorgänge'!$I$8:$I$207,0)),"")</x:f>
      </x:c>
      <x:c r="G85" s="50" t="str">
        <x:f>IFERROR(INDEX('Offene Vorgänge'!$G$8:$G$207,MATCH(78,'Offene Vorgänge'!$I$8:$I$207,0)),"")</x:f>
      </x:c>
      <x:c r="H85" s="44" t="str">
        <x:f>IFERROR(INDEX('Offene Vorgänge'!$H$8:$H$207,MATCH(78,'Offene Vorgänge'!$I$8:$I$207,0)),"")</x:f>
      </x:c>
      <x:c r="I85" s="1"/>
      <x:c r="J85" s="1"/>
      <x:c r="K85" s="1"/>
      <x:c r="L85" s="1"/>
      <x:c r="M85" s="1"/>
      <x:c r="N85" s="1"/>
      <x:c r="O85" s="1"/>
      <x:c r="P85" s="1"/>
      <x:c r="Q85" s="1"/>
      <x:c r="R85" s="1"/>
      <x:c r="S85" s="1"/>
      <x:c r="T85" s="1"/>
    </x:row>
    <x:row r="86" ht="18" customHeight="1">
      <x:c r="A86" s="1"/>
      <x:c r="B86" s="47" t="str">
        <x:f>IF($E86="","",79)</x:f>
      </x:c>
      <x:c r="C86" s="49" t="str">
        <x:f>IFERROR(INDEX('Offene Vorgänge'!$C$8:$C$207,MATCH(79,'Offene Vorgänge'!$I$8:$I$207,0)),"")</x:f>
      </x:c>
      <x:c r="D86" s="50" t="str">
        <x:f>IFERROR(INDEX('Offene Vorgänge'!$D$8:$D$207,MATCH(79,'Offene Vorgänge'!$I$8:$I$207,0)),"")</x:f>
      </x:c>
      <x:c r="E86" s="44" t="str">
        <x:f>IFERROR(INDEX('Offene Vorgänge'!$E$8:$E$207,MATCH(79,'Offene Vorgänge'!$I$8:$I$207,0)),"")</x:f>
      </x:c>
      <x:c r="F86" s="50" t="str">
        <x:f>IFERROR(INDEX('Offene Vorgänge'!$F$8:$F$207,MATCH(79,'Offene Vorgänge'!$I$8:$I$207,0)),"")</x:f>
      </x:c>
      <x:c r="G86" s="50" t="str">
        <x:f>IFERROR(INDEX('Offene Vorgänge'!$G$8:$G$207,MATCH(79,'Offene Vorgänge'!$I$8:$I$207,0)),"")</x:f>
      </x:c>
      <x:c r="H86" s="44" t="str">
        <x:f>IFERROR(INDEX('Offene Vorgänge'!$H$8:$H$207,MATCH(79,'Offene Vorgänge'!$I$8:$I$207,0)),"")</x:f>
      </x:c>
      <x:c r="I86" s="1"/>
      <x:c r="J86" s="1"/>
      <x:c r="K86" s="1"/>
      <x:c r="L86" s="1"/>
      <x:c r="M86" s="1"/>
      <x:c r="N86" s="1"/>
      <x:c r="O86" s="1"/>
      <x:c r="P86" s="1"/>
      <x:c r="Q86" s="1"/>
      <x:c r="R86" s="1"/>
      <x:c r="S86" s="1"/>
      <x:c r="T86" s="1"/>
    </x:row>
    <x:row r="87" ht="18" customHeight="1">
      <x:c r="A87" s="1"/>
      <x:c r="B87" s="47" t="str">
        <x:f>IF($E87="","",80)</x:f>
      </x:c>
      <x:c r="C87" s="49" t="str">
        <x:f>IFERROR(INDEX('Offene Vorgänge'!$C$8:$C$207,MATCH(80,'Offene Vorgänge'!$I$8:$I$207,0)),"")</x:f>
      </x:c>
      <x:c r="D87" s="50" t="str">
        <x:f>IFERROR(INDEX('Offene Vorgänge'!$D$8:$D$207,MATCH(80,'Offene Vorgänge'!$I$8:$I$207,0)),"")</x:f>
      </x:c>
      <x:c r="E87" s="44" t="str">
        <x:f>IFERROR(INDEX('Offene Vorgänge'!$E$8:$E$207,MATCH(80,'Offene Vorgänge'!$I$8:$I$207,0)),"")</x:f>
      </x:c>
      <x:c r="F87" s="50" t="str">
        <x:f>IFERROR(INDEX('Offene Vorgänge'!$F$8:$F$207,MATCH(80,'Offene Vorgänge'!$I$8:$I$207,0)),"")</x:f>
      </x:c>
      <x:c r="G87" s="50" t="str">
        <x:f>IFERROR(INDEX('Offene Vorgänge'!$G$8:$G$207,MATCH(80,'Offene Vorgänge'!$I$8:$I$207,0)),"")</x:f>
      </x:c>
      <x:c r="H87" s="44" t="str">
        <x:f>IFERROR(INDEX('Offene Vorgänge'!$H$8:$H$207,MATCH(80,'Offene Vorgänge'!$I$8:$I$207,0)),"")</x:f>
      </x:c>
      <x:c r="I87" s="1"/>
      <x:c r="J87" s="1"/>
      <x:c r="K87" s="1"/>
      <x:c r="L87" s="1"/>
      <x:c r="M87" s="1"/>
      <x:c r="N87" s="1"/>
      <x:c r="O87" s="1"/>
      <x:c r="P87" s="1"/>
      <x:c r="Q87" s="1"/>
      <x:c r="R87" s="1"/>
      <x:c r="S87" s="1"/>
      <x:c r="T87" s="1"/>
    </x:row>
    <x:row r="88" ht="18" customHeight="1">
      <x:c r="A88" s="1"/>
      <x:c r="B88" s="47" t="str">
        <x:f>IF($E88="","",81)</x:f>
      </x:c>
      <x:c r="C88" s="49" t="str">
        <x:f>IFERROR(INDEX('Offene Vorgänge'!$C$8:$C$207,MATCH(81,'Offene Vorgänge'!$I$8:$I$207,0)),"")</x:f>
      </x:c>
      <x:c r="D88" s="50" t="str">
        <x:f>IFERROR(INDEX('Offene Vorgänge'!$D$8:$D$207,MATCH(81,'Offene Vorgänge'!$I$8:$I$207,0)),"")</x:f>
      </x:c>
      <x:c r="E88" s="44" t="str">
        <x:f>IFERROR(INDEX('Offene Vorgänge'!$E$8:$E$207,MATCH(81,'Offene Vorgänge'!$I$8:$I$207,0)),"")</x:f>
      </x:c>
      <x:c r="F88" s="50" t="str">
        <x:f>IFERROR(INDEX('Offene Vorgänge'!$F$8:$F$207,MATCH(81,'Offene Vorgänge'!$I$8:$I$207,0)),"")</x:f>
      </x:c>
      <x:c r="G88" s="50" t="str">
        <x:f>IFERROR(INDEX('Offene Vorgänge'!$G$8:$G$207,MATCH(81,'Offene Vorgänge'!$I$8:$I$207,0)),"")</x:f>
      </x:c>
      <x:c r="H88" s="44" t="str">
        <x:f>IFERROR(INDEX('Offene Vorgänge'!$H$8:$H$207,MATCH(81,'Offene Vorgänge'!$I$8:$I$207,0)),"")</x:f>
      </x:c>
      <x:c r="I88" s="1"/>
      <x:c r="J88" s="1"/>
      <x:c r="K88" s="1"/>
      <x:c r="L88" s="1"/>
      <x:c r="M88" s="1"/>
      <x:c r="N88" s="1"/>
      <x:c r="O88" s="1"/>
      <x:c r="P88" s="1"/>
      <x:c r="Q88" s="1"/>
      <x:c r="R88" s="1"/>
      <x:c r="S88" s="1"/>
      <x:c r="T88" s="1"/>
    </x:row>
    <x:row r="89" ht="18" customHeight="1">
      <x:c r="A89" s="1"/>
      <x:c r="B89" s="47" t="str">
        <x:f>IF($E89="","",82)</x:f>
      </x:c>
      <x:c r="C89" s="49" t="str">
        <x:f>IFERROR(INDEX('Offene Vorgänge'!$C$8:$C$207,MATCH(82,'Offene Vorgänge'!$I$8:$I$207,0)),"")</x:f>
      </x:c>
      <x:c r="D89" s="50" t="str">
        <x:f>IFERROR(INDEX('Offene Vorgänge'!$D$8:$D$207,MATCH(82,'Offene Vorgänge'!$I$8:$I$207,0)),"")</x:f>
      </x:c>
      <x:c r="E89" s="44" t="str">
        <x:f>IFERROR(INDEX('Offene Vorgänge'!$E$8:$E$207,MATCH(82,'Offene Vorgänge'!$I$8:$I$207,0)),"")</x:f>
      </x:c>
      <x:c r="F89" s="50" t="str">
        <x:f>IFERROR(INDEX('Offene Vorgänge'!$F$8:$F$207,MATCH(82,'Offene Vorgänge'!$I$8:$I$207,0)),"")</x:f>
      </x:c>
      <x:c r="G89" s="50" t="str">
        <x:f>IFERROR(INDEX('Offene Vorgänge'!$G$8:$G$207,MATCH(82,'Offene Vorgänge'!$I$8:$I$207,0)),"")</x:f>
      </x:c>
      <x:c r="H89" s="44" t="str">
        <x:f>IFERROR(INDEX('Offene Vorgänge'!$H$8:$H$207,MATCH(82,'Offene Vorgänge'!$I$8:$I$207,0)),"")</x:f>
      </x:c>
      <x:c r="I89" s="1"/>
      <x:c r="J89" s="1"/>
      <x:c r="K89" s="1"/>
      <x:c r="L89" s="1"/>
      <x:c r="M89" s="1"/>
      <x:c r="N89" s="1"/>
      <x:c r="O89" s="1"/>
      <x:c r="P89" s="1"/>
      <x:c r="Q89" s="1"/>
      <x:c r="R89" s="1"/>
      <x:c r="S89" s="1"/>
      <x:c r="T89" s="1"/>
    </x:row>
    <x:row r="90" ht="18" customHeight="1">
      <x:c r="A90" s="1"/>
      <x:c r="B90" s="47" t="str">
        <x:f>IF($E90="","",83)</x:f>
      </x:c>
      <x:c r="C90" s="49" t="str">
        <x:f>IFERROR(INDEX('Offene Vorgänge'!$C$8:$C$207,MATCH(83,'Offene Vorgänge'!$I$8:$I$207,0)),"")</x:f>
      </x:c>
      <x:c r="D90" s="50" t="str">
        <x:f>IFERROR(INDEX('Offene Vorgänge'!$D$8:$D$207,MATCH(83,'Offene Vorgänge'!$I$8:$I$207,0)),"")</x:f>
      </x:c>
      <x:c r="E90" s="44" t="str">
        <x:f>IFERROR(INDEX('Offene Vorgänge'!$E$8:$E$207,MATCH(83,'Offene Vorgänge'!$I$8:$I$207,0)),"")</x:f>
      </x:c>
      <x:c r="F90" s="50" t="str">
        <x:f>IFERROR(INDEX('Offene Vorgänge'!$F$8:$F$207,MATCH(83,'Offene Vorgänge'!$I$8:$I$207,0)),"")</x:f>
      </x:c>
      <x:c r="G90" s="50" t="str">
        <x:f>IFERROR(INDEX('Offene Vorgänge'!$G$8:$G$207,MATCH(83,'Offene Vorgänge'!$I$8:$I$207,0)),"")</x:f>
      </x:c>
      <x:c r="H90" s="44" t="str">
        <x:f>IFERROR(INDEX('Offene Vorgänge'!$H$8:$H$207,MATCH(83,'Offene Vorgänge'!$I$8:$I$207,0)),"")</x:f>
      </x:c>
      <x:c r="I90" s="1"/>
      <x:c r="J90" s="1"/>
      <x:c r="K90" s="1"/>
      <x:c r="L90" s="1"/>
      <x:c r="M90" s="1"/>
      <x:c r="N90" s="1"/>
      <x:c r="O90" s="1"/>
      <x:c r="P90" s="1"/>
      <x:c r="Q90" s="1"/>
      <x:c r="R90" s="1"/>
      <x:c r="S90" s="1"/>
      <x:c r="T90" s="1"/>
    </x:row>
    <x:row r="91" ht="18" customHeight="1">
      <x:c r="A91" s="1"/>
      <x:c r="B91" s="47" t="str">
        <x:f>IF($E91="","",84)</x:f>
      </x:c>
      <x:c r="C91" s="49" t="str">
        <x:f>IFERROR(INDEX('Offene Vorgänge'!$C$8:$C$207,MATCH(84,'Offene Vorgänge'!$I$8:$I$207,0)),"")</x:f>
      </x:c>
      <x:c r="D91" s="50" t="str">
        <x:f>IFERROR(INDEX('Offene Vorgänge'!$D$8:$D$207,MATCH(84,'Offene Vorgänge'!$I$8:$I$207,0)),"")</x:f>
      </x:c>
      <x:c r="E91" s="44" t="str">
        <x:f>IFERROR(INDEX('Offene Vorgänge'!$E$8:$E$207,MATCH(84,'Offene Vorgänge'!$I$8:$I$207,0)),"")</x:f>
      </x:c>
      <x:c r="F91" s="50" t="str">
        <x:f>IFERROR(INDEX('Offene Vorgänge'!$F$8:$F$207,MATCH(84,'Offene Vorgänge'!$I$8:$I$207,0)),"")</x:f>
      </x:c>
      <x:c r="G91" s="50" t="str">
        <x:f>IFERROR(INDEX('Offene Vorgänge'!$G$8:$G$207,MATCH(84,'Offene Vorgänge'!$I$8:$I$207,0)),"")</x:f>
      </x:c>
      <x:c r="H91" s="44" t="str">
        <x:f>IFERROR(INDEX('Offene Vorgänge'!$H$8:$H$207,MATCH(84,'Offene Vorgänge'!$I$8:$I$207,0)),"")</x:f>
      </x:c>
      <x:c r="I91" s="1"/>
      <x:c r="J91" s="1"/>
      <x:c r="K91" s="1"/>
      <x:c r="L91" s="1"/>
      <x:c r="M91" s="1"/>
      <x:c r="N91" s="1"/>
      <x:c r="O91" s="1"/>
      <x:c r="P91" s="1"/>
      <x:c r="Q91" s="1"/>
      <x:c r="R91" s="1"/>
      <x:c r="S91" s="1"/>
      <x:c r="T91" s="1"/>
    </x:row>
    <x:row r="92" ht="18" customHeight="1">
      <x:c r="A92" s="1"/>
      <x:c r="B92" s="47" t="str">
        <x:f>IF($E92="","",85)</x:f>
      </x:c>
      <x:c r="C92" s="49" t="str">
        <x:f>IFERROR(INDEX('Offene Vorgänge'!$C$8:$C$207,MATCH(85,'Offene Vorgänge'!$I$8:$I$207,0)),"")</x:f>
      </x:c>
      <x:c r="D92" s="50" t="str">
        <x:f>IFERROR(INDEX('Offene Vorgänge'!$D$8:$D$207,MATCH(85,'Offene Vorgänge'!$I$8:$I$207,0)),"")</x:f>
      </x:c>
      <x:c r="E92" s="44" t="str">
        <x:f>IFERROR(INDEX('Offene Vorgänge'!$E$8:$E$207,MATCH(85,'Offene Vorgänge'!$I$8:$I$207,0)),"")</x:f>
      </x:c>
      <x:c r="F92" s="50" t="str">
        <x:f>IFERROR(INDEX('Offene Vorgänge'!$F$8:$F$207,MATCH(85,'Offene Vorgänge'!$I$8:$I$207,0)),"")</x:f>
      </x:c>
      <x:c r="G92" s="50" t="str">
        <x:f>IFERROR(INDEX('Offene Vorgänge'!$G$8:$G$207,MATCH(85,'Offene Vorgänge'!$I$8:$I$207,0)),"")</x:f>
      </x:c>
      <x:c r="H92" s="44" t="str">
        <x:f>IFERROR(INDEX('Offene Vorgänge'!$H$8:$H$207,MATCH(85,'Offene Vorgänge'!$I$8:$I$207,0)),"")</x:f>
      </x:c>
      <x:c r="I92" s="1"/>
      <x:c r="J92" s="1"/>
      <x:c r="K92" s="1"/>
      <x:c r="L92" s="1"/>
      <x:c r="M92" s="1"/>
      <x:c r="N92" s="1"/>
      <x:c r="O92" s="1"/>
      <x:c r="P92" s="1"/>
      <x:c r="Q92" s="1"/>
      <x:c r="R92" s="1"/>
      <x:c r="S92" s="1"/>
      <x:c r="T92" s="1"/>
    </x:row>
    <x:row r="93" ht="18" customHeight="1">
      <x:c r="A93" s="1"/>
      <x:c r="B93" s="47" t="str">
        <x:f>IF($E93="","",86)</x:f>
      </x:c>
      <x:c r="C93" s="49" t="str">
        <x:f>IFERROR(INDEX('Offene Vorgänge'!$C$8:$C$207,MATCH(86,'Offene Vorgänge'!$I$8:$I$207,0)),"")</x:f>
      </x:c>
      <x:c r="D93" s="50" t="str">
        <x:f>IFERROR(INDEX('Offene Vorgänge'!$D$8:$D$207,MATCH(86,'Offene Vorgänge'!$I$8:$I$207,0)),"")</x:f>
      </x:c>
      <x:c r="E93" s="44" t="str">
        <x:f>IFERROR(INDEX('Offene Vorgänge'!$E$8:$E$207,MATCH(86,'Offene Vorgänge'!$I$8:$I$207,0)),"")</x:f>
      </x:c>
      <x:c r="F93" s="50" t="str">
        <x:f>IFERROR(INDEX('Offene Vorgänge'!$F$8:$F$207,MATCH(86,'Offene Vorgänge'!$I$8:$I$207,0)),"")</x:f>
      </x:c>
      <x:c r="G93" s="50" t="str">
        <x:f>IFERROR(INDEX('Offene Vorgänge'!$G$8:$G$207,MATCH(86,'Offene Vorgänge'!$I$8:$I$207,0)),"")</x:f>
      </x:c>
      <x:c r="H93" s="44" t="str">
        <x:f>IFERROR(INDEX('Offene Vorgänge'!$H$8:$H$207,MATCH(86,'Offene Vorgänge'!$I$8:$I$207,0)),"")</x:f>
      </x:c>
      <x:c r="I93" s="1"/>
      <x:c r="J93" s="1"/>
      <x:c r="K93" s="1"/>
      <x:c r="L93" s="1"/>
      <x:c r="M93" s="1"/>
      <x:c r="N93" s="1"/>
      <x:c r="O93" s="1"/>
      <x:c r="P93" s="1"/>
      <x:c r="Q93" s="1"/>
      <x:c r="R93" s="1"/>
      <x:c r="S93" s="1"/>
      <x:c r="T93" s="1"/>
    </x:row>
    <x:row r="94" ht="18" customHeight="1">
      <x:c r="A94" s="1"/>
      <x:c r="B94" s="47" t="str">
        <x:f>IF($E94="","",87)</x:f>
      </x:c>
      <x:c r="C94" s="49" t="str">
        <x:f>IFERROR(INDEX('Offene Vorgänge'!$C$8:$C$207,MATCH(87,'Offene Vorgänge'!$I$8:$I$207,0)),"")</x:f>
      </x:c>
      <x:c r="D94" s="50" t="str">
        <x:f>IFERROR(INDEX('Offene Vorgänge'!$D$8:$D$207,MATCH(87,'Offene Vorgänge'!$I$8:$I$207,0)),"")</x:f>
      </x:c>
      <x:c r="E94" s="44" t="str">
        <x:f>IFERROR(INDEX('Offene Vorgänge'!$E$8:$E$207,MATCH(87,'Offene Vorgänge'!$I$8:$I$207,0)),"")</x:f>
      </x:c>
      <x:c r="F94" s="50" t="str">
        <x:f>IFERROR(INDEX('Offene Vorgänge'!$F$8:$F$207,MATCH(87,'Offene Vorgänge'!$I$8:$I$207,0)),"")</x:f>
      </x:c>
      <x:c r="G94" s="50" t="str">
        <x:f>IFERROR(INDEX('Offene Vorgänge'!$G$8:$G$207,MATCH(87,'Offene Vorgänge'!$I$8:$I$207,0)),"")</x:f>
      </x:c>
      <x:c r="H94" s="44" t="str">
        <x:f>IFERROR(INDEX('Offene Vorgänge'!$H$8:$H$207,MATCH(87,'Offene Vorgänge'!$I$8:$I$207,0)),"")</x:f>
      </x:c>
      <x:c r="I94" s="1"/>
      <x:c r="J94" s="1"/>
      <x:c r="K94" s="1"/>
      <x:c r="L94" s="1"/>
      <x:c r="M94" s="1"/>
      <x:c r="N94" s="1"/>
      <x:c r="O94" s="1"/>
      <x:c r="P94" s="1"/>
      <x:c r="Q94" s="1"/>
      <x:c r="R94" s="1"/>
      <x:c r="S94" s="1"/>
      <x:c r="T94" s="1"/>
    </x:row>
    <x:row r="95" ht="18" customHeight="1">
      <x:c r="A95" s="1"/>
      <x:c r="B95" s="47" t="str">
        <x:f>IF($E95="","",88)</x:f>
      </x:c>
      <x:c r="C95" s="49" t="str">
        <x:f>IFERROR(INDEX('Offene Vorgänge'!$C$8:$C$207,MATCH(88,'Offene Vorgänge'!$I$8:$I$207,0)),"")</x:f>
      </x:c>
      <x:c r="D95" s="50" t="str">
        <x:f>IFERROR(INDEX('Offene Vorgänge'!$D$8:$D$207,MATCH(88,'Offene Vorgänge'!$I$8:$I$207,0)),"")</x:f>
      </x:c>
      <x:c r="E95" s="44" t="str">
        <x:f>IFERROR(INDEX('Offene Vorgänge'!$E$8:$E$207,MATCH(88,'Offene Vorgänge'!$I$8:$I$207,0)),"")</x:f>
      </x:c>
      <x:c r="F95" s="50" t="str">
        <x:f>IFERROR(INDEX('Offene Vorgänge'!$F$8:$F$207,MATCH(88,'Offene Vorgänge'!$I$8:$I$207,0)),"")</x:f>
      </x:c>
      <x:c r="G95" s="50" t="str">
        <x:f>IFERROR(INDEX('Offene Vorgänge'!$G$8:$G$207,MATCH(88,'Offene Vorgänge'!$I$8:$I$207,0)),"")</x:f>
      </x:c>
      <x:c r="H95" s="44" t="str">
        <x:f>IFERROR(INDEX('Offene Vorgänge'!$H$8:$H$207,MATCH(88,'Offene Vorgänge'!$I$8:$I$207,0)),"")</x:f>
      </x:c>
      <x:c r="I95" s="1"/>
      <x:c r="J95" s="1"/>
      <x:c r="K95" s="1"/>
      <x:c r="L95" s="1"/>
      <x:c r="M95" s="1"/>
      <x:c r="N95" s="1"/>
      <x:c r="O95" s="1"/>
      <x:c r="P95" s="1"/>
      <x:c r="Q95" s="1"/>
      <x:c r="R95" s="1"/>
      <x:c r="S95" s="1"/>
      <x:c r="T95" s="1"/>
    </x:row>
    <x:row r="96" ht="18" customHeight="1">
      <x:c r="A96" s="1"/>
      <x:c r="B96" s="47" t="str">
        <x:f>IF($E96="","",89)</x:f>
      </x:c>
      <x:c r="C96" s="49" t="str">
        <x:f>IFERROR(INDEX('Offene Vorgänge'!$C$8:$C$207,MATCH(89,'Offene Vorgänge'!$I$8:$I$207,0)),"")</x:f>
      </x:c>
      <x:c r="D96" s="50" t="str">
        <x:f>IFERROR(INDEX('Offene Vorgänge'!$D$8:$D$207,MATCH(89,'Offene Vorgänge'!$I$8:$I$207,0)),"")</x:f>
      </x:c>
      <x:c r="E96" s="44" t="str">
        <x:f>IFERROR(INDEX('Offene Vorgänge'!$E$8:$E$207,MATCH(89,'Offene Vorgänge'!$I$8:$I$207,0)),"")</x:f>
      </x:c>
      <x:c r="F96" s="50" t="str">
        <x:f>IFERROR(INDEX('Offene Vorgänge'!$F$8:$F$207,MATCH(89,'Offene Vorgänge'!$I$8:$I$207,0)),"")</x:f>
      </x:c>
      <x:c r="G96" s="50" t="str">
        <x:f>IFERROR(INDEX('Offene Vorgänge'!$G$8:$G$207,MATCH(89,'Offene Vorgänge'!$I$8:$I$207,0)),"")</x:f>
      </x:c>
      <x:c r="H96" s="44" t="str">
        <x:f>IFERROR(INDEX('Offene Vorgänge'!$H$8:$H$207,MATCH(89,'Offene Vorgänge'!$I$8:$I$207,0)),"")</x:f>
      </x:c>
      <x:c r="I96" s="1"/>
      <x:c r="J96" s="1"/>
      <x:c r="K96" s="1"/>
      <x:c r="L96" s="1"/>
      <x:c r="M96" s="1"/>
      <x:c r="N96" s="1"/>
      <x:c r="O96" s="1"/>
      <x:c r="P96" s="1"/>
      <x:c r="Q96" s="1"/>
      <x:c r="R96" s="1"/>
      <x:c r="S96" s="1"/>
      <x:c r="T96" s="1"/>
    </x:row>
    <x:row r="97" ht="18" customHeight="1">
      <x:c r="A97" s="1"/>
      <x:c r="B97" s="47" t="str">
        <x:f>IF($E97="","",90)</x:f>
      </x:c>
      <x:c r="C97" s="49" t="str">
        <x:f>IFERROR(INDEX('Offene Vorgänge'!$C$8:$C$207,MATCH(90,'Offene Vorgänge'!$I$8:$I$207,0)),"")</x:f>
      </x:c>
      <x:c r="D97" s="50" t="str">
        <x:f>IFERROR(INDEX('Offene Vorgänge'!$D$8:$D$207,MATCH(90,'Offene Vorgänge'!$I$8:$I$207,0)),"")</x:f>
      </x:c>
      <x:c r="E97" s="44" t="str">
        <x:f>IFERROR(INDEX('Offene Vorgänge'!$E$8:$E$207,MATCH(90,'Offene Vorgänge'!$I$8:$I$207,0)),"")</x:f>
      </x:c>
      <x:c r="F97" s="50" t="str">
        <x:f>IFERROR(INDEX('Offene Vorgänge'!$F$8:$F$207,MATCH(90,'Offene Vorgänge'!$I$8:$I$207,0)),"")</x:f>
      </x:c>
      <x:c r="G97" s="50" t="str">
        <x:f>IFERROR(INDEX('Offene Vorgänge'!$G$8:$G$207,MATCH(90,'Offene Vorgänge'!$I$8:$I$207,0)),"")</x:f>
      </x:c>
      <x:c r="H97" s="44" t="str">
        <x:f>IFERROR(INDEX('Offene Vorgänge'!$H$8:$H$207,MATCH(90,'Offene Vorgänge'!$I$8:$I$207,0)),"")</x:f>
      </x:c>
      <x:c r="I97" s="1"/>
      <x:c r="J97" s="1"/>
      <x:c r="K97" s="1"/>
      <x:c r="L97" s="1"/>
      <x:c r="M97" s="1"/>
      <x:c r="N97" s="1"/>
      <x:c r="O97" s="1"/>
      <x:c r="P97" s="1"/>
      <x:c r="Q97" s="1"/>
      <x:c r="R97" s="1"/>
      <x:c r="S97" s="1"/>
      <x:c r="T97" s="1"/>
    </x:row>
    <x:row r="98" ht="18" customHeight="1">
      <x:c r="A98" s="1"/>
      <x:c r="B98" s="47" t="str">
        <x:f>IF($E98="","",91)</x:f>
      </x:c>
      <x:c r="C98" s="49" t="str">
        <x:f>IFERROR(INDEX('Offene Vorgänge'!$C$8:$C$207,MATCH(91,'Offene Vorgänge'!$I$8:$I$207,0)),"")</x:f>
      </x:c>
      <x:c r="D98" s="50" t="str">
        <x:f>IFERROR(INDEX('Offene Vorgänge'!$D$8:$D$207,MATCH(91,'Offene Vorgänge'!$I$8:$I$207,0)),"")</x:f>
      </x:c>
      <x:c r="E98" s="44" t="str">
        <x:f>IFERROR(INDEX('Offene Vorgänge'!$E$8:$E$207,MATCH(91,'Offene Vorgänge'!$I$8:$I$207,0)),"")</x:f>
      </x:c>
      <x:c r="F98" s="50" t="str">
        <x:f>IFERROR(INDEX('Offene Vorgänge'!$F$8:$F$207,MATCH(91,'Offene Vorgänge'!$I$8:$I$207,0)),"")</x:f>
      </x:c>
      <x:c r="G98" s="50" t="str">
        <x:f>IFERROR(INDEX('Offene Vorgänge'!$G$8:$G$207,MATCH(91,'Offene Vorgänge'!$I$8:$I$207,0)),"")</x:f>
      </x:c>
      <x:c r="H98" s="44" t="str">
        <x:f>IFERROR(INDEX('Offene Vorgänge'!$H$8:$H$207,MATCH(91,'Offene Vorgänge'!$I$8:$I$207,0)),"")</x:f>
      </x:c>
      <x:c r="I98" s="1"/>
      <x:c r="J98" s="1"/>
      <x:c r="K98" s="1"/>
      <x:c r="L98" s="1"/>
      <x:c r="M98" s="1"/>
      <x:c r="N98" s="1"/>
      <x:c r="O98" s="1"/>
      <x:c r="P98" s="1"/>
      <x:c r="Q98" s="1"/>
      <x:c r="R98" s="1"/>
      <x:c r="S98" s="1"/>
      <x:c r="T98" s="1"/>
    </x:row>
    <x:row r="99" ht="18" customHeight="1">
      <x:c r="A99" s="1"/>
      <x:c r="B99" s="47" t="str">
        <x:f>IF($E99="","",92)</x:f>
      </x:c>
      <x:c r="C99" s="49" t="str">
        <x:f>IFERROR(INDEX('Offene Vorgänge'!$C$8:$C$207,MATCH(92,'Offene Vorgänge'!$I$8:$I$207,0)),"")</x:f>
      </x:c>
      <x:c r="D99" s="50" t="str">
        <x:f>IFERROR(INDEX('Offene Vorgänge'!$D$8:$D$207,MATCH(92,'Offene Vorgänge'!$I$8:$I$207,0)),"")</x:f>
      </x:c>
      <x:c r="E99" s="44" t="str">
        <x:f>IFERROR(INDEX('Offene Vorgänge'!$E$8:$E$207,MATCH(92,'Offene Vorgänge'!$I$8:$I$207,0)),"")</x:f>
      </x:c>
      <x:c r="F99" s="50" t="str">
        <x:f>IFERROR(INDEX('Offene Vorgänge'!$F$8:$F$207,MATCH(92,'Offene Vorgänge'!$I$8:$I$207,0)),"")</x:f>
      </x:c>
      <x:c r="G99" s="50" t="str">
        <x:f>IFERROR(INDEX('Offene Vorgänge'!$G$8:$G$207,MATCH(92,'Offene Vorgänge'!$I$8:$I$207,0)),"")</x:f>
      </x:c>
      <x:c r="H99" s="44" t="str">
        <x:f>IFERROR(INDEX('Offene Vorgänge'!$H$8:$H$207,MATCH(92,'Offene Vorgänge'!$I$8:$I$207,0)),"")</x:f>
      </x:c>
      <x:c r="I99" s="1"/>
      <x:c r="J99" s="1"/>
      <x:c r="K99" s="1"/>
      <x:c r="L99" s="1"/>
      <x:c r="M99" s="1"/>
      <x:c r="N99" s="1"/>
      <x:c r="O99" s="1"/>
      <x:c r="P99" s="1"/>
      <x:c r="Q99" s="1"/>
      <x:c r="R99" s="1"/>
      <x:c r="S99" s="1"/>
      <x:c r="T99" s="1"/>
    </x:row>
    <x:row r="100" ht="18" customHeight="1">
      <x:c r="A100" s="1"/>
      <x:c r="B100" s="47" t="str">
        <x:f>IF($E100="","",93)</x:f>
      </x:c>
      <x:c r="C100" s="49" t="str">
        <x:f>IFERROR(INDEX('Offene Vorgänge'!$C$8:$C$207,MATCH(93,'Offene Vorgänge'!$I$8:$I$207,0)),"")</x:f>
      </x:c>
      <x:c r="D100" s="50" t="str">
        <x:f>IFERROR(INDEX('Offene Vorgänge'!$D$8:$D$207,MATCH(93,'Offene Vorgänge'!$I$8:$I$207,0)),"")</x:f>
      </x:c>
      <x:c r="E100" s="44" t="str">
        <x:f>IFERROR(INDEX('Offene Vorgänge'!$E$8:$E$207,MATCH(93,'Offene Vorgänge'!$I$8:$I$207,0)),"")</x:f>
      </x:c>
      <x:c r="F100" s="50" t="str">
        <x:f>IFERROR(INDEX('Offene Vorgänge'!$F$8:$F$207,MATCH(93,'Offene Vorgänge'!$I$8:$I$207,0)),"")</x:f>
      </x:c>
      <x:c r="G100" s="50" t="str">
        <x:f>IFERROR(INDEX('Offene Vorgänge'!$G$8:$G$207,MATCH(93,'Offene Vorgänge'!$I$8:$I$207,0)),"")</x:f>
      </x:c>
      <x:c r="H100" s="44" t="str">
        <x:f>IFERROR(INDEX('Offene Vorgänge'!$H$8:$H$207,MATCH(93,'Offene Vorgänge'!$I$8:$I$207,0)),"")</x:f>
      </x:c>
      <x:c r="I100" s="1"/>
      <x:c r="J100" s="1"/>
      <x:c r="K100" s="1"/>
      <x:c r="L100" s="1"/>
      <x:c r="M100" s="1"/>
      <x:c r="N100" s="1"/>
      <x:c r="O100" s="1"/>
      <x:c r="P100" s="1"/>
      <x:c r="Q100" s="1"/>
      <x:c r="R100" s="1"/>
      <x:c r="S100" s="1"/>
      <x:c r="T100" s="1"/>
    </x:row>
    <x:row r="101" ht="18" customHeight="1">
      <x:c r="A101" s="1"/>
      <x:c r="B101" s="47" t="str">
        <x:f>IF($E101="","",94)</x:f>
      </x:c>
      <x:c r="C101" s="49" t="str">
        <x:f>IFERROR(INDEX('Offene Vorgänge'!$C$8:$C$207,MATCH(94,'Offene Vorgänge'!$I$8:$I$207,0)),"")</x:f>
      </x:c>
      <x:c r="D101" s="50" t="str">
        <x:f>IFERROR(INDEX('Offene Vorgänge'!$D$8:$D$207,MATCH(94,'Offene Vorgänge'!$I$8:$I$207,0)),"")</x:f>
      </x:c>
      <x:c r="E101" s="44" t="str">
        <x:f>IFERROR(INDEX('Offene Vorgänge'!$E$8:$E$207,MATCH(94,'Offene Vorgänge'!$I$8:$I$207,0)),"")</x:f>
      </x:c>
      <x:c r="F101" s="50" t="str">
        <x:f>IFERROR(INDEX('Offene Vorgänge'!$F$8:$F$207,MATCH(94,'Offene Vorgänge'!$I$8:$I$207,0)),"")</x:f>
      </x:c>
      <x:c r="G101" s="50" t="str">
        <x:f>IFERROR(INDEX('Offene Vorgänge'!$G$8:$G$207,MATCH(94,'Offene Vorgänge'!$I$8:$I$207,0)),"")</x:f>
      </x:c>
      <x:c r="H101" s="44" t="str">
        <x:f>IFERROR(INDEX('Offene Vorgänge'!$H$8:$H$207,MATCH(94,'Offene Vorgänge'!$I$8:$I$207,0)),"")</x:f>
      </x:c>
      <x:c r="I101" s="1"/>
      <x:c r="J101" s="1"/>
      <x:c r="K101" s="1"/>
      <x:c r="L101" s="1"/>
      <x:c r="M101" s="1"/>
      <x:c r="N101" s="1"/>
      <x:c r="O101" s="1"/>
      <x:c r="P101" s="1"/>
      <x:c r="Q101" s="1"/>
      <x:c r="R101" s="1"/>
      <x:c r="S101" s="1"/>
      <x:c r="T101" s="1"/>
    </x:row>
    <x:row r="102" ht="18" customHeight="1">
      <x:c r="A102" s="1"/>
      <x:c r="B102" s="47" t="str">
        <x:f>IF($E102="","",95)</x:f>
      </x:c>
      <x:c r="C102" s="49" t="str">
        <x:f>IFERROR(INDEX('Offene Vorgänge'!$C$8:$C$207,MATCH(95,'Offene Vorgänge'!$I$8:$I$207,0)),"")</x:f>
      </x:c>
      <x:c r="D102" s="50" t="str">
        <x:f>IFERROR(INDEX('Offene Vorgänge'!$D$8:$D$207,MATCH(95,'Offene Vorgänge'!$I$8:$I$207,0)),"")</x:f>
      </x:c>
      <x:c r="E102" s="44" t="str">
        <x:f>IFERROR(INDEX('Offene Vorgänge'!$E$8:$E$207,MATCH(95,'Offene Vorgänge'!$I$8:$I$207,0)),"")</x:f>
      </x:c>
      <x:c r="F102" s="50" t="str">
        <x:f>IFERROR(INDEX('Offene Vorgänge'!$F$8:$F$207,MATCH(95,'Offene Vorgänge'!$I$8:$I$207,0)),"")</x:f>
      </x:c>
      <x:c r="G102" s="50" t="str">
        <x:f>IFERROR(INDEX('Offene Vorgänge'!$G$8:$G$207,MATCH(95,'Offene Vorgänge'!$I$8:$I$207,0)),"")</x:f>
      </x:c>
      <x:c r="H102" s="44" t="str">
        <x:f>IFERROR(INDEX('Offene Vorgänge'!$H$8:$H$207,MATCH(95,'Offene Vorgänge'!$I$8:$I$207,0)),"")</x:f>
      </x:c>
      <x:c r="I102" s="1"/>
      <x:c r="J102" s="1"/>
      <x:c r="K102" s="1"/>
      <x:c r="L102" s="1"/>
      <x:c r="M102" s="1"/>
      <x:c r="N102" s="1"/>
      <x:c r="O102" s="1"/>
      <x:c r="P102" s="1"/>
      <x:c r="Q102" s="1"/>
      <x:c r="R102" s="1"/>
      <x:c r="S102" s="1"/>
      <x:c r="T102" s="1"/>
    </x:row>
    <x:row r="103" ht="18" customHeight="1">
      <x:c r="A103" s="1"/>
      <x:c r="B103" s="47" t="str">
        <x:f>IF($E103="","",96)</x:f>
      </x:c>
      <x:c r="C103" s="49" t="str">
        <x:f>IFERROR(INDEX('Offene Vorgänge'!$C$8:$C$207,MATCH(96,'Offene Vorgänge'!$I$8:$I$207,0)),"")</x:f>
      </x:c>
      <x:c r="D103" s="50" t="str">
        <x:f>IFERROR(INDEX('Offene Vorgänge'!$D$8:$D$207,MATCH(96,'Offene Vorgänge'!$I$8:$I$207,0)),"")</x:f>
      </x:c>
      <x:c r="E103" s="44" t="str">
        <x:f>IFERROR(INDEX('Offene Vorgänge'!$E$8:$E$207,MATCH(96,'Offene Vorgänge'!$I$8:$I$207,0)),"")</x:f>
      </x:c>
      <x:c r="F103" s="50" t="str">
        <x:f>IFERROR(INDEX('Offene Vorgänge'!$F$8:$F$207,MATCH(96,'Offene Vorgänge'!$I$8:$I$207,0)),"")</x:f>
      </x:c>
      <x:c r="G103" s="50" t="str">
        <x:f>IFERROR(INDEX('Offene Vorgänge'!$G$8:$G$207,MATCH(96,'Offene Vorgänge'!$I$8:$I$207,0)),"")</x:f>
      </x:c>
      <x:c r="H103" s="44" t="str">
        <x:f>IFERROR(INDEX('Offene Vorgänge'!$H$8:$H$207,MATCH(96,'Offene Vorgänge'!$I$8:$I$207,0)),"")</x:f>
      </x:c>
      <x:c r="I103" s="1"/>
      <x:c r="J103" s="1"/>
      <x:c r="K103" s="1"/>
      <x:c r="L103" s="1"/>
      <x:c r="M103" s="1"/>
      <x:c r="N103" s="1"/>
      <x:c r="O103" s="1"/>
      <x:c r="P103" s="1"/>
      <x:c r="Q103" s="1"/>
      <x:c r="R103" s="1"/>
      <x:c r="S103" s="1"/>
      <x:c r="T103" s="1"/>
    </x:row>
    <x:row r="104" ht="18" customHeight="1">
      <x:c r="A104" s="1"/>
      <x:c r="B104" s="47" t="str">
        <x:f>IF($E104="","",97)</x:f>
      </x:c>
      <x:c r="C104" s="49" t="str">
        <x:f>IFERROR(INDEX('Offene Vorgänge'!$C$8:$C$207,MATCH(97,'Offene Vorgänge'!$I$8:$I$207,0)),"")</x:f>
      </x:c>
      <x:c r="D104" s="50" t="str">
        <x:f>IFERROR(INDEX('Offene Vorgänge'!$D$8:$D$207,MATCH(97,'Offene Vorgänge'!$I$8:$I$207,0)),"")</x:f>
      </x:c>
      <x:c r="E104" s="44" t="str">
        <x:f>IFERROR(INDEX('Offene Vorgänge'!$E$8:$E$207,MATCH(97,'Offene Vorgänge'!$I$8:$I$207,0)),"")</x:f>
      </x:c>
      <x:c r="F104" s="50" t="str">
        <x:f>IFERROR(INDEX('Offene Vorgänge'!$F$8:$F$207,MATCH(97,'Offene Vorgänge'!$I$8:$I$207,0)),"")</x:f>
      </x:c>
      <x:c r="G104" s="50" t="str">
        <x:f>IFERROR(INDEX('Offene Vorgänge'!$G$8:$G$207,MATCH(97,'Offene Vorgänge'!$I$8:$I$207,0)),"")</x:f>
      </x:c>
      <x:c r="H104" s="44" t="str">
        <x:f>IFERROR(INDEX('Offene Vorgänge'!$H$8:$H$207,MATCH(97,'Offene Vorgänge'!$I$8:$I$207,0)),"")</x:f>
      </x:c>
      <x:c r="I104" s="1"/>
      <x:c r="J104" s="1"/>
      <x:c r="K104" s="1"/>
      <x:c r="L104" s="1"/>
      <x:c r="M104" s="1"/>
      <x:c r="N104" s="1"/>
      <x:c r="O104" s="1"/>
      <x:c r="P104" s="1"/>
      <x:c r="Q104" s="1"/>
      <x:c r="R104" s="1"/>
      <x:c r="S104" s="1"/>
      <x:c r="T104" s="1"/>
    </x:row>
    <x:row r="105" ht="18" customHeight="1">
      <x:c r="A105" s="1"/>
      <x:c r="B105" s="47" t="str">
        <x:f>IF($E105="","",98)</x:f>
      </x:c>
      <x:c r="C105" s="49" t="str">
        <x:f>IFERROR(INDEX('Offene Vorgänge'!$C$8:$C$207,MATCH(98,'Offene Vorgänge'!$I$8:$I$207,0)),"")</x:f>
      </x:c>
      <x:c r="D105" s="50" t="str">
        <x:f>IFERROR(INDEX('Offene Vorgänge'!$D$8:$D$207,MATCH(98,'Offene Vorgänge'!$I$8:$I$207,0)),"")</x:f>
      </x:c>
      <x:c r="E105" s="44" t="str">
        <x:f>IFERROR(INDEX('Offene Vorgänge'!$E$8:$E$207,MATCH(98,'Offene Vorgänge'!$I$8:$I$207,0)),"")</x:f>
      </x:c>
      <x:c r="F105" s="50" t="str">
        <x:f>IFERROR(INDEX('Offene Vorgänge'!$F$8:$F$207,MATCH(98,'Offene Vorgänge'!$I$8:$I$207,0)),"")</x:f>
      </x:c>
      <x:c r="G105" s="50" t="str">
        <x:f>IFERROR(INDEX('Offene Vorgänge'!$G$8:$G$207,MATCH(98,'Offene Vorgänge'!$I$8:$I$207,0)),"")</x:f>
      </x:c>
      <x:c r="H105" s="44" t="str">
        <x:f>IFERROR(INDEX('Offene Vorgänge'!$H$8:$H$207,MATCH(98,'Offene Vorgänge'!$I$8:$I$207,0)),"")</x:f>
      </x:c>
      <x:c r="I105" s="1"/>
      <x:c r="J105" s="1"/>
      <x:c r="K105" s="1"/>
      <x:c r="L105" s="1"/>
      <x:c r="M105" s="1"/>
      <x:c r="N105" s="1"/>
      <x:c r="O105" s="1"/>
      <x:c r="P105" s="1"/>
      <x:c r="Q105" s="1"/>
      <x:c r="R105" s="1"/>
      <x:c r="S105" s="1"/>
      <x:c r="T105" s="1"/>
    </x:row>
    <x:row r="106" ht="18" customHeight="1">
      <x:c r="A106" s="1"/>
      <x:c r="B106" s="47" t="str">
        <x:f>IF($E106="","",99)</x:f>
      </x:c>
      <x:c r="C106" s="49" t="str">
        <x:f>IFERROR(INDEX('Offene Vorgänge'!$C$8:$C$207,MATCH(99,'Offene Vorgänge'!$I$8:$I$207,0)),"")</x:f>
      </x:c>
      <x:c r="D106" s="50" t="str">
        <x:f>IFERROR(INDEX('Offene Vorgänge'!$D$8:$D$207,MATCH(99,'Offene Vorgänge'!$I$8:$I$207,0)),"")</x:f>
      </x:c>
      <x:c r="E106" s="44" t="str">
        <x:f>IFERROR(INDEX('Offene Vorgänge'!$E$8:$E$207,MATCH(99,'Offene Vorgänge'!$I$8:$I$207,0)),"")</x:f>
      </x:c>
      <x:c r="F106" s="50" t="str">
        <x:f>IFERROR(INDEX('Offene Vorgänge'!$F$8:$F$207,MATCH(99,'Offene Vorgänge'!$I$8:$I$207,0)),"")</x:f>
      </x:c>
      <x:c r="G106" s="50" t="str">
        <x:f>IFERROR(INDEX('Offene Vorgänge'!$G$8:$G$207,MATCH(99,'Offene Vorgänge'!$I$8:$I$207,0)),"")</x:f>
      </x:c>
      <x:c r="H106" s="44" t="str">
        <x:f>IFERROR(INDEX('Offene Vorgänge'!$H$8:$H$207,MATCH(99,'Offene Vorgänge'!$I$8:$I$207,0)),"")</x:f>
      </x:c>
      <x:c r="I106" s="1"/>
      <x:c r="J106" s="1"/>
      <x:c r="K106" s="1"/>
      <x:c r="L106" s="1"/>
      <x:c r="M106" s="1"/>
      <x:c r="N106" s="1"/>
      <x:c r="O106" s="1"/>
      <x:c r="P106" s="1"/>
      <x:c r="Q106" s="1"/>
      <x:c r="R106" s="1"/>
      <x:c r="S106" s="1"/>
      <x:c r="T106" s="1"/>
    </x:row>
    <x:row r="107" ht="18" customHeight="1">
      <x:c r="A107" s="1"/>
      <x:c r="B107" s="47" t="str">
        <x:f>IF($E107="","",100)</x:f>
      </x:c>
      <x:c r="C107" s="49" t="str">
        <x:f>IFERROR(INDEX('Offene Vorgänge'!$C$8:$C$207,MATCH(100,'Offene Vorgänge'!$I$8:$I$207,0)),"")</x:f>
      </x:c>
      <x:c r="D107" s="50" t="str">
        <x:f>IFERROR(INDEX('Offene Vorgänge'!$D$8:$D$207,MATCH(100,'Offene Vorgänge'!$I$8:$I$207,0)),"")</x:f>
      </x:c>
      <x:c r="E107" s="44" t="str">
        <x:f>IFERROR(INDEX('Offene Vorgänge'!$E$8:$E$207,MATCH(100,'Offene Vorgänge'!$I$8:$I$207,0)),"")</x:f>
      </x:c>
      <x:c r="F107" s="50" t="str">
        <x:f>IFERROR(INDEX('Offene Vorgänge'!$F$8:$F$207,MATCH(100,'Offene Vorgänge'!$I$8:$I$207,0)),"")</x:f>
      </x:c>
      <x:c r="G107" s="50" t="str">
        <x:f>IFERROR(INDEX('Offene Vorgänge'!$G$8:$G$207,MATCH(100,'Offene Vorgänge'!$I$8:$I$207,0)),"")</x:f>
      </x:c>
      <x:c r="H107" s="44" t="str">
        <x:f>IFERROR(INDEX('Offene Vorgänge'!$H$8:$H$207,MATCH(100,'Offene Vorgänge'!$I$8:$I$207,0)),"")</x:f>
      </x:c>
      <x:c r="I107" s="1"/>
      <x:c r="J107" s="1"/>
      <x:c r="K107" s="1"/>
      <x:c r="L107" s="1"/>
      <x:c r="M107" s="1"/>
      <x:c r="N107" s="1"/>
      <x:c r="O107" s="1"/>
      <x:c r="P107" s="1"/>
      <x:c r="Q107" s="1"/>
      <x:c r="R107" s="1"/>
      <x:c r="S107" s="1"/>
      <x:c r="T107" s="1"/>
    </x:row>
    <x:row r="108" ht="18" customHeight="1">
      <x:c r="A108" s="1"/>
      <x:c r="B108" s="47" t="str">
        <x:f>IF($E108="","",101)</x:f>
      </x:c>
      <x:c r="C108" s="49" t="str">
        <x:f>IFERROR(INDEX('Offene Vorgänge'!$C$8:$C$207,MATCH(101,'Offene Vorgänge'!$I$8:$I$207,0)),"")</x:f>
      </x:c>
      <x:c r="D108" s="50" t="str">
        <x:f>IFERROR(INDEX('Offene Vorgänge'!$D$8:$D$207,MATCH(101,'Offene Vorgänge'!$I$8:$I$207,0)),"")</x:f>
      </x:c>
      <x:c r="E108" s="44" t="str">
        <x:f>IFERROR(INDEX('Offene Vorgänge'!$E$8:$E$207,MATCH(101,'Offene Vorgänge'!$I$8:$I$207,0)),"")</x:f>
      </x:c>
      <x:c r="F108" s="50" t="str">
        <x:f>IFERROR(INDEX('Offene Vorgänge'!$F$8:$F$207,MATCH(101,'Offene Vorgänge'!$I$8:$I$207,0)),"")</x:f>
      </x:c>
      <x:c r="G108" s="50" t="str">
        <x:f>IFERROR(INDEX('Offene Vorgänge'!$G$8:$G$207,MATCH(101,'Offene Vorgänge'!$I$8:$I$207,0)),"")</x:f>
      </x:c>
      <x:c r="H108" s="44" t="str">
        <x:f>IFERROR(INDEX('Offene Vorgänge'!$H$8:$H$207,MATCH(101,'Offene Vorgänge'!$I$8:$I$207,0)),"")</x:f>
      </x:c>
      <x:c r="I108" s="1"/>
      <x:c r="J108" s="1"/>
      <x:c r="K108" s="1"/>
      <x:c r="L108" s="1"/>
      <x:c r="M108" s="1"/>
      <x:c r="N108" s="1"/>
      <x:c r="O108" s="1"/>
      <x:c r="P108" s="1"/>
      <x:c r="Q108" s="1"/>
      <x:c r="R108" s="1"/>
      <x:c r="S108" s="1"/>
      <x:c r="T108" s="1"/>
    </x:row>
    <x:row r="109" ht="18" customHeight="1">
      <x:c r="A109" s="1"/>
      <x:c r="B109" s="47" t="str">
        <x:f>IF($E109="","",102)</x:f>
      </x:c>
      <x:c r="C109" s="49" t="str">
        <x:f>IFERROR(INDEX('Offene Vorgänge'!$C$8:$C$207,MATCH(102,'Offene Vorgänge'!$I$8:$I$207,0)),"")</x:f>
      </x:c>
      <x:c r="D109" s="50" t="str">
        <x:f>IFERROR(INDEX('Offene Vorgänge'!$D$8:$D$207,MATCH(102,'Offene Vorgänge'!$I$8:$I$207,0)),"")</x:f>
      </x:c>
      <x:c r="E109" s="44" t="str">
        <x:f>IFERROR(INDEX('Offene Vorgänge'!$E$8:$E$207,MATCH(102,'Offene Vorgänge'!$I$8:$I$207,0)),"")</x:f>
      </x:c>
      <x:c r="F109" s="50" t="str">
        <x:f>IFERROR(INDEX('Offene Vorgänge'!$F$8:$F$207,MATCH(102,'Offene Vorgänge'!$I$8:$I$207,0)),"")</x:f>
      </x:c>
      <x:c r="G109" s="50" t="str">
        <x:f>IFERROR(INDEX('Offene Vorgänge'!$G$8:$G$207,MATCH(102,'Offene Vorgänge'!$I$8:$I$207,0)),"")</x:f>
      </x:c>
      <x:c r="H109" s="44" t="str">
        <x:f>IFERROR(INDEX('Offene Vorgänge'!$H$8:$H$207,MATCH(102,'Offene Vorgänge'!$I$8:$I$207,0)),"")</x:f>
      </x:c>
      <x:c r="I109" s="1"/>
      <x:c r="J109" s="1"/>
      <x:c r="K109" s="1"/>
      <x:c r="L109" s="1"/>
      <x:c r="M109" s="1"/>
      <x:c r="N109" s="1"/>
      <x:c r="O109" s="1"/>
      <x:c r="P109" s="1"/>
      <x:c r="Q109" s="1"/>
      <x:c r="R109" s="1"/>
      <x:c r="S109" s="1"/>
      <x:c r="T109" s="1"/>
    </x:row>
    <x:row r="110" ht="18" customHeight="1">
      <x:c r="A110" s="1"/>
      <x:c r="B110" s="47" t="str">
        <x:f>IF($E110="","",103)</x:f>
      </x:c>
      <x:c r="C110" s="49" t="str">
        <x:f>IFERROR(INDEX('Offene Vorgänge'!$C$8:$C$207,MATCH(103,'Offene Vorgänge'!$I$8:$I$207,0)),"")</x:f>
      </x:c>
      <x:c r="D110" s="50" t="str">
        <x:f>IFERROR(INDEX('Offene Vorgänge'!$D$8:$D$207,MATCH(103,'Offene Vorgänge'!$I$8:$I$207,0)),"")</x:f>
      </x:c>
      <x:c r="E110" s="44" t="str">
        <x:f>IFERROR(INDEX('Offene Vorgänge'!$E$8:$E$207,MATCH(103,'Offene Vorgänge'!$I$8:$I$207,0)),"")</x:f>
      </x:c>
      <x:c r="F110" s="50" t="str">
        <x:f>IFERROR(INDEX('Offene Vorgänge'!$F$8:$F$207,MATCH(103,'Offene Vorgänge'!$I$8:$I$207,0)),"")</x:f>
      </x:c>
      <x:c r="G110" s="50" t="str">
        <x:f>IFERROR(INDEX('Offene Vorgänge'!$G$8:$G$207,MATCH(103,'Offene Vorgänge'!$I$8:$I$207,0)),"")</x:f>
      </x:c>
      <x:c r="H110" s="44" t="str">
        <x:f>IFERROR(INDEX('Offene Vorgänge'!$H$8:$H$207,MATCH(103,'Offene Vorgänge'!$I$8:$I$207,0)),"")</x:f>
      </x:c>
      <x:c r="I110" s="1"/>
      <x:c r="J110" s="1"/>
      <x:c r="K110" s="1"/>
      <x:c r="L110" s="1"/>
      <x:c r="M110" s="1"/>
      <x:c r="N110" s="1"/>
      <x:c r="O110" s="1"/>
      <x:c r="P110" s="1"/>
      <x:c r="Q110" s="1"/>
      <x:c r="R110" s="1"/>
      <x:c r="S110" s="1"/>
      <x:c r="T110" s="1"/>
    </x:row>
    <x:row r="111" ht="18" customHeight="1">
      <x:c r="A111" s="1"/>
      <x:c r="B111" s="47" t="str">
        <x:f>IF($E111="","",104)</x:f>
      </x:c>
      <x:c r="C111" s="49" t="str">
        <x:f>IFERROR(INDEX('Offene Vorgänge'!$C$8:$C$207,MATCH(104,'Offene Vorgänge'!$I$8:$I$207,0)),"")</x:f>
      </x:c>
      <x:c r="D111" s="50" t="str">
        <x:f>IFERROR(INDEX('Offene Vorgänge'!$D$8:$D$207,MATCH(104,'Offene Vorgänge'!$I$8:$I$207,0)),"")</x:f>
      </x:c>
      <x:c r="E111" s="44" t="str">
        <x:f>IFERROR(INDEX('Offene Vorgänge'!$E$8:$E$207,MATCH(104,'Offene Vorgänge'!$I$8:$I$207,0)),"")</x:f>
      </x:c>
      <x:c r="F111" s="50" t="str">
        <x:f>IFERROR(INDEX('Offene Vorgänge'!$F$8:$F$207,MATCH(104,'Offene Vorgänge'!$I$8:$I$207,0)),"")</x:f>
      </x:c>
      <x:c r="G111" s="50" t="str">
        <x:f>IFERROR(INDEX('Offene Vorgänge'!$G$8:$G$207,MATCH(104,'Offene Vorgänge'!$I$8:$I$207,0)),"")</x:f>
      </x:c>
      <x:c r="H111" s="44" t="str">
        <x:f>IFERROR(INDEX('Offene Vorgänge'!$H$8:$H$207,MATCH(104,'Offene Vorgänge'!$I$8:$I$207,0)),"")</x:f>
      </x:c>
      <x:c r="I111" s="1"/>
      <x:c r="J111" s="1"/>
      <x:c r="K111" s="1"/>
      <x:c r="L111" s="1"/>
      <x:c r="M111" s="1"/>
      <x:c r="N111" s="1"/>
      <x:c r="O111" s="1"/>
      <x:c r="P111" s="1"/>
      <x:c r="Q111" s="1"/>
      <x:c r="R111" s="1"/>
      <x:c r="S111" s="1"/>
      <x:c r="T111" s="1"/>
    </x:row>
    <x:row r="112" ht="18" customHeight="1">
      <x:c r="A112" s="1"/>
      <x:c r="B112" s="47" t="str">
        <x:f>IF($E112="","",105)</x:f>
      </x:c>
      <x:c r="C112" s="49" t="str">
        <x:f>IFERROR(INDEX('Offene Vorgänge'!$C$8:$C$207,MATCH(105,'Offene Vorgänge'!$I$8:$I$207,0)),"")</x:f>
      </x:c>
      <x:c r="D112" s="50" t="str">
        <x:f>IFERROR(INDEX('Offene Vorgänge'!$D$8:$D$207,MATCH(105,'Offene Vorgänge'!$I$8:$I$207,0)),"")</x:f>
      </x:c>
      <x:c r="E112" s="44" t="str">
        <x:f>IFERROR(INDEX('Offene Vorgänge'!$E$8:$E$207,MATCH(105,'Offene Vorgänge'!$I$8:$I$207,0)),"")</x:f>
      </x:c>
      <x:c r="F112" s="50" t="str">
        <x:f>IFERROR(INDEX('Offene Vorgänge'!$F$8:$F$207,MATCH(105,'Offene Vorgänge'!$I$8:$I$207,0)),"")</x:f>
      </x:c>
      <x:c r="G112" s="50" t="str">
        <x:f>IFERROR(INDEX('Offene Vorgänge'!$G$8:$G$207,MATCH(105,'Offene Vorgänge'!$I$8:$I$207,0)),"")</x:f>
      </x:c>
      <x:c r="H112" s="44" t="str">
        <x:f>IFERROR(INDEX('Offene Vorgänge'!$H$8:$H$207,MATCH(105,'Offene Vorgänge'!$I$8:$I$207,0)),"")</x:f>
      </x:c>
      <x:c r="I112" s="1"/>
      <x:c r="J112" s="1"/>
      <x:c r="K112" s="1"/>
      <x:c r="L112" s="1"/>
      <x:c r="M112" s="1"/>
      <x:c r="N112" s="1"/>
      <x:c r="O112" s="1"/>
      <x:c r="P112" s="1"/>
      <x:c r="Q112" s="1"/>
      <x:c r="R112" s="1"/>
      <x:c r="S112" s="1"/>
      <x:c r="T112" s="1"/>
    </x:row>
    <x:row r="113" ht="18" customHeight="1">
      <x:c r="A113" s="1"/>
      <x:c r="B113" s="47" t="str">
        <x:f>IF($E113="","",106)</x:f>
      </x:c>
      <x:c r="C113" s="49" t="str">
        <x:f>IFERROR(INDEX('Offene Vorgänge'!$C$8:$C$207,MATCH(106,'Offene Vorgänge'!$I$8:$I$207,0)),"")</x:f>
      </x:c>
      <x:c r="D113" s="50" t="str">
        <x:f>IFERROR(INDEX('Offene Vorgänge'!$D$8:$D$207,MATCH(106,'Offene Vorgänge'!$I$8:$I$207,0)),"")</x:f>
      </x:c>
      <x:c r="E113" s="44" t="str">
        <x:f>IFERROR(INDEX('Offene Vorgänge'!$E$8:$E$207,MATCH(106,'Offene Vorgänge'!$I$8:$I$207,0)),"")</x:f>
      </x:c>
      <x:c r="F113" s="50" t="str">
        <x:f>IFERROR(INDEX('Offene Vorgänge'!$F$8:$F$207,MATCH(106,'Offene Vorgänge'!$I$8:$I$207,0)),"")</x:f>
      </x:c>
      <x:c r="G113" s="50" t="str">
        <x:f>IFERROR(INDEX('Offene Vorgänge'!$G$8:$G$207,MATCH(106,'Offene Vorgänge'!$I$8:$I$207,0)),"")</x:f>
      </x:c>
      <x:c r="H113" s="44" t="str">
        <x:f>IFERROR(INDEX('Offene Vorgänge'!$H$8:$H$207,MATCH(106,'Offene Vorgänge'!$I$8:$I$207,0)),"")</x:f>
      </x:c>
      <x:c r="I113" s="1"/>
      <x:c r="J113" s="1"/>
      <x:c r="K113" s="1"/>
      <x:c r="L113" s="1"/>
      <x:c r="M113" s="1"/>
      <x:c r="N113" s="1"/>
      <x:c r="O113" s="1"/>
      <x:c r="P113" s="1"/>
      <x:c r="Q113" s="1"/>
      <x:c r="R113" s="1"/>
      <x:c r="S113" s="1"/>
      <x:c r="T113" s="1"/>
    </x:row>
    <x:row r="114" ht="18" customHeight="1">
      <x:c r="A114" s="1"/>
      <x:c r="B114" s="47" t="str">
        <x:f>IF($E114="","",107)</x:f>
      </x:c>
      <x:c r="C114" s="49" t="str">
        <x:f>IFERROR(INDEX('Offene Vorgänge'!$C$8:$C$207,MATCH(107,'Offene Vorgänge'!$I$8:$I$207,0)),"")</x:f>
      </x:c>
      <x:c r="D114" s="50" t="str">
        <x:f>IFERROR(INDEX('Offene Vorgänge'!$D$8:$D$207,MATCH(107,'Offene Vorgänge'!$I$8:$I$207,0)),"")</x:f>
      </x:c>
      <x:c r="E114" s="44" t="str">
        <x:f>IFERROR(INDEX('Offene Vorgänge'!$E$8:$E$207,MATCH(107,'Offene Vorgänge'!$I$8:$I$207,0)),"")</x:f>
      </x:c>
      <x:c r="F114" s="50" t="str">
        <x:f>IFERROR(INDEX('Offene Vorgänge'!$F$8:$F$207,MATCH(107,'Offene Vorgänge'!$I$8:$I$207,0)),"")</x:f>
      </x:c>
      <x:c r="G114" s="50" t="str">
        <x:f>IFERROR(INDEX('Offene Vorgänge'!$G$8:$G$207,MATCH(107,'Offene Vorgänge'!$I$8:$I$207,0)),"")</x:f>
      </x:c>
      <x:c r="H114" s="44" t="str">
        <x:f>IFERROR(INDEX('Offene Vorgänge'!$H$8:$H$207,MATCH(107,'Offene Vorgänge'!$I$8:$I$207,0)),"")</x:f>
      </x:c>
      <x:c r="I114" s="1"/>
      <x:c r="J114" s="1"/>
      <x:c r="K114" s="1"/>
      <x:c r="L114" s="1"/>
      <x:c r="M114" s="1"/>
      <x:c r="N114" s="1"/>
      <x:c r="O114" s="1"/>
      <x:c r="P114" s="1"/>
      <x:c r="Q114" s="1"/>
      <x:c r="R114" s="1"/>
      <x:c r="S114" s="1"/>
      <x:c r="T114" s="1"/>
    </x:row>
    <x:row r="115" ht="18" customHeight="1">
      <x:c r="A115" s="1"/>
      <x:c r="B115" s="47" t="str">
        <x:f>IF($E115="","",108)</x:f>
      </x:c>
      <x:c r="C115" s="49" t="str">
        <x:f>IFERROR(INDEX('Offene Vorgänge'!$C$8:$C$207,MATCH(108,'Offene Vorgänge'!$I$8:$I$207,0)),"")</x:f>
      </x:c>
      <x:c r="D115" s="50" t="str">
        <x:f>IFERROR(INDEX('Offene Vorgänge'!$D$8:$D$207,MATCH(108,'Offene Vorgänge'!$I$8:$I$207,0)),"")</x:f>
      </x:c>
      <x:c r="E115" s="44" t="str">
        <x:f>IFERROR(INDEX('Offene Vorgänge'!$E$8:$E$207,MATCH(108,'Offene Vorgänge'!$I$8:$I$207,0)),"")</x:f>
      </x:c>
      <x:c r="F115" s="50" t="str">
        <x:f>IFERROR(INDEX('Offene Vorgänge'!$F$8:$F$207,MATCH(108,'Offene Vorgänge'!$I$8:$I$207,0)),"")</x:f>
      </x:c>
      <x:c r="G115" s="50" t="str">
        <x:f>IFERROR(INDEX('Offene Vorgänge'!$G$8:$G$207,MATCH(108,'Offene Vorgänge'!$I$8:$I$207,0)),"")</x:f>
      </x:c>
      <x:c r="H115" s="44" t="str">
        <x:f>IFERROR(INDEX('Offene Vorgänge'!$H$8:$H$207,MATCH(108,'Offene Vorgänge'!$I$8:$I$207,0)),"")</x:f>
      </x:c>
      <x:c r="I115" s="1"/>
      <x:c r="J115" s="1"/>
      <x:c r="K115" s="1"/>
      <x:c r="L115" s="1"/>
      <x:c r="M115" s="1"/>
      <x:c r="N115" s="1"/>
      <x:c r="O115" s="1"/>
      <x:c r="P115" s="1"/>
      <x:c r="Q115" s="1"/>
      <x:c r="R115" s="1"/>
      <x:c r="S115" s="1"/>
      <x:c r="T115" s="1"/>
    </x:row>
    <x:row r="116" ht="18" customHeight="1">
      <x:c r="A116" s="1"/>
      <x:c r="B116" s="47" t="str">
        <x:f>IF($E116="","",109)</x:f>
      </x:c>
      <x:c r="C116" s="49" t="str">
        <x:f>IFERROR(INDEX('Offene Vorgänge'!$C$8:$C$207,MATCH(109,'Offene Vorgänge'!$I$8:$I$207,0)),"")</x:f>
      </x:c>
      <x:c r="D116" s="50" t="str">
        <x:f>IFERROR(INDEX('Offene Vorgänge'!$D$8:$D$207,MATCH(109,'Offene Vorgänge'!$I$8:$I$207,0)),"")</x:f>
      </x:c>
      <x:c r="E116" s="44" t="str">
        <x:f>IFERROR(INDEX('Offene Vorgänge'!$E$8:$E$207,MATCH(109,'Offene Vorgänge'!$I$8:$I$207,0)),"")</x:f>
      </x:c>
      <x:c r="F116" s="50" t="str">
        <x:f>IFERROR(INDEX('Offene Vorgänge'!$F$8:$F$207,MATCH(109,'Offene Vorgänge'!$I$8:$I$207,0)),"")</x:f>
      </x:c>
      <x:c r="G116" s="50" t="str">
        <x:f>IFERROR(INDEX('Offene Vorgänge'!$G$8:$G$207,MATCH(109,'Offene Vorgänge'!$I$8:$I$207,0)),"")</x:f>
      </x:c>
      <x:c r="H116" s="44" t="str">
        <x:f>IFERROR(INDEX('Offene Vorgänge'!$H$8:$H$207,MATCH(109,'Offene Vorgänge'!$I$8:$I$207,0)),"")</x:f>
      </x:c>
      <x:c r="I116" s="1"/>
      <x:c r="J116" s="1"/>
      <x:c r="K116" s="1"/>
      <x:c r="L116" s="1"/>
      <x:c r="M116" s="1"/>
      <x:c r="N116" s="1"/>
      <x:c r="O116" s="1"/>
      <x:c r="P116" s="1"/>
      <x:c r="Q116" s="1"/>
      <x:c r="R116" s="1"/>
      <x:c r="S116" s="1"/>
      <x:c r="T116" s="1"/>
    </x:row>
    <x:row r="117" ht="18" customHeight="1">
      <x:c r="A117" s="1"/>
      <x:c r="B117" s="47" t="str">
        <x:f>IF($E117="","",110)</x:f>
      </x:c>
      <x:c r="C117" s="49" t="str">
        <x:f>IFERROR(INDEX('Offene Vorgänge'!$C$8:$C$207,MATCH(110,'Offene Vorgänge'!$I$8:$I$207,0)),"")</x:f>
      </x:c>
      <x:c r="D117" s="50" t="str">
        <x:f>IFERROR(INDEX('Offene Vorgänge'!$D$8:$D$207,MATCH(110,'Offene Vorgänge'!$I$8:$I$207,0)),"")</x:f>
      </x:c>
      <x:c r="E117" s="44" t="str">
        <x:f>IFERROR(INDEX('Offene Vorgänge'!$E$8:$E$207,MATCH(110,'Offene Vorgänge'!$I$8:$I$207,0)),"")</x:f>
      </x:c>
      <x:c r="F117" s="50" t="str">
        <x:f>IFERROR(INDEX('Offene Vorgänge'!$F$8:$F$207,MATCH(110,'Offene Vorgänge'!$I$8:$I$207,0)),"")</x:f>
      </x:c>
      <x:c r="G117" s="50" t="str">
        <x:f>IFERROR(INDEX('Offene Vorgänge'!$G$8:$G$207,MATCH(110,'Offene Vorgänge'!$I$8:$I$207,0)),"")</x:f>
      </x:c>
      <x:c r="H117" s="44" t="str">
        <x:f>IFERROR(INDEX('Offene Vorgänge'!$H$8:$H$207,MATCH(110,'Offene Vorgänge'!$I$8:$I$207,0)),"")</x:f>
      </x:c>
      <x:c r="I117" s="1"/>
      <x:c r="J117" s="1"/>
      <x:c r="K117" s="1"/>
      <x:c r="L117" s="1"/>
      <x:c r="M117" s="1"/>
      <x:c r="N117" s="1"/>
      <x:c r="O117" s="1"/>
      <x:c r="P117" s="1"/>
      <x:c r="Q117" s="1"/>
      <x:c r="R117" s="1"/>
      <x:c r="S117" s="1"/>
      <x:c r="T117" s="1"/>
    </x:row>
    <x:row r="118" ht="18" customHeight="1">
      <x:c r="A118" s="1"/>
      <x:c r="B118" s="47" t="str">
        <x:f>IF($E118="","",111)</x:f>
      </x:c>
      <x:c r="C118" s="49" t="str">
        <x:f>IFERROR(INDEX('Offene Vorgänge'!$C$8:$C$207,MATCH(111,'Offene Vorgänge'!$I$8:$I$207,0)),"")</x:f>
      </x:c>
      <x:c r="D118" s="50" t="str">
        <x:f>IFERROR(INDEX('Offene Vorgänge'!$D$8:$D$207,MATCH(111,'Offene Vorgänge'!$I$8:$I$207,0)),"")</x:f>
      </x:c>
      <x:c r="E118" s="44" t="str">
        <x:f>IFERROR(INDEX('Offene Vorgänge'!$E$8:$E$207,MATCH(111,'Offene Vorgänge'!$I$8:$I$207,0)),"")</x:f>
      </x:c>
      <x:c r="F118" s="50" t="str">
        <x:f>IFERROR(INDEX('Offene Vorgänge'!$F$8:$F$207,MATCH(111,'Offene Vorgänge'!$I$8:$I$207,0)),"")</x:f>
      </x:c>
      <x:c r="G118" s="50" t="str">
        <x:f>IFERROR(INDEX('Offene Vorgänge'!$G$8:$G$207,MATCH(111,'Offene Vorgänge'!$I$8:$I$207,0)),"")</x:f>
      </x:c>
      <x:c r="H118" s="44" t="str">
        <x:f>IFERROR(INDEX('Offene Vorgänge'!$H$8:$H$207,MATCH(111,'Offene Vorgänge'!$I$8:$I$207,0)),"")</x:f>
      </x:c>
      <x:c r="I118" s="1"/>
      <x:c r="J118" s="1"/>
      <x:c r="K118" s="1"/>
      <x:c r="L118" s="1"/>
      <x:c r="M118" s="1"/>
      <x:c r="N118" s="1"/>
      <x:c r="O118" s="1"/>
      <x:c r="P118" s="1"/>
      <x:c r="Q118" s="1"/>
      <x:c r="R118" s="1"/>
      <x:c r="S118" s="1"/>
      <x:c r="T118" s="1"/>
    </x:row>
    <x:row r="119" ht="18" customHeight="1">
      <x:c r="A119" s="1"/>
      <x:c r="B119" s="47" t="str">
        <x:f>IF($E119="","",112)</x:f>
      </x:c>
      <x:c r="C119" s="49" t="str">
        <x:f>IFERROR(INDEX('Offene Vorgänge'!$C$8:$C$207,MATCH(112,'Offene Vorgänge'!$I$8:$I$207,0)),"")</x:f>
      </x:c>
      <x:c r="D119" s="50" t="str">
        <x:f>IFERROR(INDEX('Offene Vorgänge'!$D$8:$D$207,MATCH(112,'Offene Vorgänge'!$I$8:$I$207,0)),"")</x:f>
      </x:c>
      <x:c r="E119" s="44" t="str">
        <x:f>IFERROR(INDEX('Offene Vorgänge'!$E$8:$E$207,MATCH(112,'Offene Vorgänge'!$I$8:$I$207,0)),"")</x:f>
      </x:c>
      <x:c r="F119" s="50" t="str">
        <x:f>IFERROR(INDEX('Offene Vorgänge'!$F$8:$F$207,MATCH(112,'Offene Vorgänge'!$I$8:$I$207,0)),"")</x:f>
      </x:c>
      <x:c r="G119" s="50" t="str">
        <x:f>IFERROR(INDEX('Offene Vorgänge'!$G$8:$G$207,MATCH(112,'Offene Vorgänge'!$I$8:$I$207,0)),"")</x:f>
      </x:c>
      <x:c r="H119" s="44" t="str">
        <x:f>IFERROR(INDEX('Offene Vorgänge'!$H$8:$H$207,MATCH(112,'Offene Vorgänge'!$I$8:$I$207,0)),"")</x:f>
      </x:c>
      <x:c r="I119" s="1"/>
      <x:c r="J119" s="1"/>
      <x:c r="K119" s="1"/>
      <x:c r="L119" s="1"/>
      <x:c r="M119" s="1"/>
      <x:c r="N119" s="1"/>
      <x:c r="O119" s="1"/>
      <x:c r="P119" s="1"/>
      <x:c r="Q119" s="1"/>
      <x:c r="R119" s="1"/>
      <x:c r="S119" s="1"/>
      <x:c r="T119" s="1"/>
    </x:row>
    <x:row r="120" ht="18" customHeight="1">
      <x:c r="A120" s="1"/>
      <x:c r="B120" s="47" t="str">
        <x:f>IF($E120="","",113)</x:f>
      </x:c>
      <x:c r="C120" s="49" t="str">
        <x:f>IFERROR(INDEX('Offene Vorgänge'!$C$8:$C$207,MATCH(113,'Offene Vorgänge'!$I$8:$I$207,0)),"")</x:f>
      </x:c>
      <x:c r="D120" s="50" t="str">
        <x:f>IFERROR(INDEX('Offene Vorgänge'!$D$8:$D$207,MATCH(113,'Offene Vorgänge'!$I$8:$I$207,0)),"")</x:f>
      </x:c>
      <x:c r="E120" s="44" t="str">
        <x:f>IFERROR(INDEX('Offene Vorgänge'!$E$8:$E$207,MATCH(113,'Offene Vorgänge'!$I$8:$I$207,0)),"")</x:f>
      </x:c>
      <x:c r="F120" s="50" t="str">
        <x:f>IFERROR(INDEX('Offene Vorgänge'!$F$8:$F$207,MATCH(113,'Offene Vorgänge'!$I$8:$I$207,0)),"")</x:f>
      </x:c>
      <x:c r="G120" s="50" t="str">
        <x:f>IFERROR(INDEX('Offene Vorgänge'!$G$8:$G$207,MATCH(113,'Offene Vorgänge'!$I$8:$I$207,0)),"")</x:f>
      </x:c>
      <x:c r="H120" s="44" t="str">
        <x:f>IFERROR(INDEX('Offene Vorgänge'!$H$8:$H$207,MATCH(113,'Offene Vorgänge'!$I$8:$I$207,0)),"")</x:f>
      </x:c>
      <x:c r="I120" s="1"/>
      <x:c r="J120" s="1"/>
      <x:c r="K120" s="1"/>
      <x:c r="L120" s="1"/>
      <x:c r="M120" s="1"/>
      <x:c r="N120" s="1"/>
      <x:c r="O120" s="1"/>
      <x:c r="P120" s="1"/>
      <x:c r="Q120" s="1"/>
      <x:c r="R120" s="1"/>
      <x:c r="S120" s="1"/>
      <x:c r="T120" s="1"/>
    </x:row>
    <x:row r="121" ht="18" customHeight="1">
      <x:c r="A121" s="1"/>
      <x:c r="B121" s="47" t="str">
        <x:f>IF($E121="","",114)</x:f>
      </x:c>
      <x:c r="C121" s="49" t="str">
        <x:f>IFERROR(INDEX('Offene Vorgänge'!$C$8:$C$207,MATCH(114,'Offene Vorgänge'!$I$8:$I$207,0)),"")</x:f>
      </x:c>
      <x:c r="D121" s="50" t="str">
        <x:f>IFERROR(INDEX('Offene Vorgänge'!$D$8:$D$207,MATCH(114,'Offene Vorgänge'!$I$8:$I$207,0)),"")</x:f>
      </x:c>
      <x:c r="E121" s="44" t="str">
        <x:f>IFERROR(INDEX('Offene Vorgänge'!$E$8:$E$207,MATCH(114,'Offene Vorgänge'!$I$8:$I$207,0)),"")</x:f>
      </x:c>
      <x:c r="F121" s="50" t="str">
        <x:f>IFERROR(INDEX('Offene Vorgänge'!$F$8:$F$207,MATCH(114,'Offene Vorgänge'!$I$8:$I$207,0)),"")</x:f>
      </x:c>
      <x:c r="G121" s="50" t="str">
        <x:f>IFERROR(INDEX('Offene Vorgänge'!$G$8:$G$207,MATCH(114,'Offene Vorgänge'!$I$8:$I$207,0)),"")</x:f>
      </x:c>
      <x:c r="H121" s="44" t="str">
        <x:f>IFERROR(INDEX('Offene Vorgänge'!$H$8:$H$207,MATCH(114,'Offene Vorgänge'!$I$8:$I$207,0)),"")</x:f>
      </x:c>
      <x:c r="I121" s="1"/>
      <x:c r="J121" s="1"/>
      <x:c r="K121" s="1"/>
      <x:c r="L121" s="1"/>
      <x:c r="M121" s="1"/>
      <x:c r="N121" s="1"/>
      <x:c r="O121" s="1"/>
      <x:c r="P121" s="1"/>
      <x:c r="Q121" s="1"/>
      <x:c r="R121" s="1"/>
      <x:c r="S121" s="1"/>
      <x:c r="T121" s="1"/>
    </x:row>
    <x:row r="122" ht="18" customHeight="1">
      <x:c r="A122" s="1"/>
      <x:c r="B122" s="47" t="str">
        <x:f>IF($E122="","",115)</x:f>
      </x:c>
      <x:c r="C122" s="49" t="str">
        <x:f>IFERROR(INDEX('Offene Vorgänge'!$C$8:$C$207,MATCH(115,'Offene Vorgänge'!$I$8:$I$207,0)),"")</x:f>
      </x:c>
      <x:c r="D122" s="50" t="str">
        <x:f>IFERROR(INDEX('Offene Vorgänge'!$D$8:$D$207,MATCH(115,'Offene Vorgänge'!$I$8:$I$207,0)),"")</x:f>
      </x:c>
      <x:c r="E122" s="44" t="str">
        <x:f>IFERROR(INDEX('Offene Vorgänge'!$E$8:$E$207,MATCH(115,'Offene Vorgänge'!$I$8:$I$207,0)),"")</x:f>
      </x:c>
      <x:c r="F122" s="50" t="str">
        <x:f>IFERROR(INDEX('Offene Vorgänge'!$F$8:$F$207,MATCH(115,'Offene Vorgänge'!$I$8:$I$207,0)),"")</x:f>
      </x:c>
      <x:c r="G122" s="50" t="str">
        <x:f>IFERROR(INDEX('Offene Vorgänge'!$G$8:$G$207,MATCH(115,'Offene Vorgänge'!$I$8:$I$207,0)),"")</x:f>
      </x:c>
      <x:c r="H122" s="44" t="str">
        <x:f>IFERROR(INDEX('Offene Vorgänge'!$H$8:$H$207,MATCH(115,'Offene Vorgänge'!$I$8:$I$207,0)),"")</x:f>
      </x:c>
      <x:c r="I122" s="1"/>
      <x:c r="J122" s="1"/>
      <x:c r="K122" s="1"/>
      <x:c r="L122" s="1"/>
      <x:c r="M122" s="1"/>
      <x:c r="N122" s="1"/>
      <x:c r="O122" s="1"/>
      <x:c r="P122" s="1"/>
      <x:c r="Q122" s="1"/>
      <x:c r="R122" s="1"/>
      <x:c r="S122" s="1"/>
      <x:c r="T122" s="1"/>
    </x:row>
    <x:row r="123" ht="18" customHeight="1">
      <x:c r="A123" s="1"/>
      <x:c r="B123" s="47" t="str">
        <x:f>IF($E123="","",116)</x:f>
      </x:c>
      <x:c r="C123" s="49" t="str">
        <x:f>IFERROR(INDEX('Offene Vorgänge'!$C$8:$C$207,MATCH(116,'Offene Vorgänge'!$I$8:$I$207,0)),"")</x:f>
      </x:c>
      <x:c r="D123" s="50" t="str">
        <x:f>IFERROR(INDEX('Offene Vorgänge'!$D$8:$D$207,MATCH(116,'Offene Vorgänge'!$I$8:$I$207,0)),"")</x:f>
      </x:c>
      <x:c r="E123" s="44" t="str">
        <x:f>IFERROR(INDEX('Offene Vorgänge'!$E$8:$E$207,MATCH(116,'Offene Vorgänge'!$I$8:$I$207,0)),"")</x:f>
      </x:c>
      <x:c r="F123" s="50" t="str">
        <x:f>IFERROR(INDEX('Offene Vorgänge'!$F$8:$F$207,MATCH(116,'Offene Vorgänge'!$I$8:$I$207,0)),"")</x:f>
      </x:c>
      <x:c r="G123" s="50" t="str">
        <x:f>IFERROR(INDEX('Offene Vorgänge'!$G$8:$G$207,MATCH(116,'Offene Vorgänge'!$I$8:$I$207,0)),"")</x:f>
      </x:c>
      <x:c r="H123" s="44" t="str">
        <x:f>IFERROR(INDEX('Offene Vorgänge'!$H$8:$H$207,MATCH(116,'Offene Vorgänge'!$I$8:$I$207,0)),"")</x:f>
      </x:c>
      <x:c r="I123" s="1"/>
      <x:c r="J123" s="1"/>
      <x:c r="K123" s="1"/>
      <x:c r="L123" s="1"/>
      <x:c r="M123" s="1"/>
      <x:c r="N123" s="1"/>
      <x:c r="O123" s="1"/>
      <x:c r="P123" s="1"/>
      <x:c r="Q123" s="1"/>
      <x:c r="R123" s="1"/>
      <x:c r="S123" s="1"/>
      <x:c r="T123" s="1"/>
    </x:row>
    <x:row r="124" ht="18" customHeight="1">
      <x:c r="A124" s="1"/>
      <x:c r="B124" s="47" t="str">
        <x:f>IF($E124="","",117)</x:f>
      </x:c>
      <x:c r="C124" s="49" t="str">
        <x:f>IFERROR(INDEX('Offene Vorgänge'!$C$8:$C$207,MATCH(117,'Offene Vorgänge'!$I$8:$I$207,0)),"")</x:f>
      </x:c>
      <x:c r="D124" s="50" t="str">
        <x:f>IFERROR(INDEX('Offene Vorgänge'!$D$8:$D$207,MATCH(117,'Offene Vorgänge'!$I$8:$I$207,0)),"")</x:f>
      </x:c>
      <x:c r="E124" s="44" t="str">
        <x:f>IFERROR(INDEX('Offene Vorgänge'!$E$8:$E$207,MATCH(117,'Offene Vorgänge'!$I$8:$I$207,0)),"")</x:f>
      </x:c>
      <x:c r="F124" s="50" t="str">
        <x:f>IFERROR(INDEX('Offene Vorgänge'!$F$8:$F$207,MATCH(117,'Offene Vorgänge'!$I$8:$I$207,0)),"")</x:f>
      </x:c>
      <x:c r="G124" s="50" t="str">
        <x:f>IFERROR(INDEX('Offene Vorgänge'!$G$8:$G$207,MATCH(117,'Offene Vorgänge'!$I$8:$I$207,0)),"")</x:f>
      </x:c>
      <x:c r="H124" s="44" t="str">
        <x:f>IFERROR(INDEX('Offene Vorgänge'!$H$8:$H$207,MATCH(117,'Offene Vorgänge'!$I$8:$I$207,0)),"")</x:f>
      </x:c>
      <x:c r="I124" s="1"/>
      <x:c r="J124" s="1"/>
      <x:c r="K124" s="1"/>
      <x:c r="L124" s="1"/>
      <x:c r="M124" s="1"/>
      <x:c r="N124" s="1"/>
      <x:c r="O124" s="1"/>
      <x:c r="P124" s="1"/>
      <x:c r="Q124" s="1"/>
      <x:c r="R124" s="1"/>
      <x:c r="S124" s="1"/>
      <x:c r="T124" s="1"/>
    </x:row>
    <x:row r="125" ht="18" customHeight="1">
      <x:c r="A125" s="1"/>
      <x:c r="B125" s="47" t="str">
        <x:f>IF($E125="","",118)</x:f>
      </x:c>
      <x:c r="C125" s="49" t="str">
        <x:f>IFERROR(INDEX('Offene Vorgänge'!$C$8:$C$207,MATCH(118,'Offene Vorgänge'!$I$8:$I$207,0)),"")</x:f>
      </x:c>
      <x:c r="D125" s="50" t="str">
        <x:f>IFERROR(INDEX('Offene Vorgänge'!$D$8:$D$207,MATCH(118,'Offene Vorgänge'!$I$8:$I$207,0)),"")</x:f>
      </x:c>
      <x:c r="E125" s="44" t="str">
        <x:f>IFERROR(INDEX('Offene Vorgänge'!$E$8:$E$207,MATCH(118,'Offene Vorgänge'!$I$8:$I$207,0)),"")</x:f>
      </x:c>
      <x:c r="F125" s="50" t="str">
        <x:f>IFERROR(INDEX('Offene Vorgänge'!$F$8:$F$207,MATCH(118,'Offene Vorgänge'!$I$8:$I$207,0)),"")</x:f>
      </x:c>
      <x:c r="G125" s="50" t="str">
        <x:f>IFERROR(INDEX('Offene Vorgänge'!$G$8:$G$207,MATCH(118,'Offene Vorgänge'!$I$8:$I$207,0)),"")</x:f>
      </x:c>
      <x:c r="H125" s="44" t="str">
        <x:f>IFERROR(INDEX('Offene Vorgänge'!$H$8:$H$207,MATCH(118,'Offene Vorgänge'!$I$8:$I$207,0)),"")</x:f>
      </x:c>
      <x:c r="I125" s="1"/>
      <x:c r="J125" s="1"/>
      <x:c r="K125" s="1"/>
      <x:c r="L125" s="1"/>
      <x:c r="M125" s="1"/>
      <x:c r="N125" s="1"/>
      <x:c r="O125" s="1"/>
      <x:c r="P125" s="1"/>
      <x:c r="Q125" s="1"/>
      <x:c r="R125" s="1"/>
      <x:c r="S125" s="1"/>
      <x:c r="T125" s="1"/>
    </x:row>
    <x:row r="126" ht="18" customHeight="1">
      <x:c r="A126" s="1"/>
      <x:c r="B126" s="47" t="str">
        <x:f>IF($E126="","",119)</x:f>
      </x:c>
      <x:c r="C126" s="49" t="str">
        <x:f>IFERROR(INDEX('Offene Vorgänge'!$C$8:$C$207,MATCH(119,'Offene Vorgänge'!$I$8:$I$207,0)),"")</x:f>
      </x:c>
      <x:c r="D126" s="50" t="str">
        <x:f>IFERROR(INDEX('Offene Vorgänge'!$D$8:$D$207,MATCH(119,'Offene Vorgänge'!$I$8:$I$207,0)),"")</x:f>
      </x:c>
      <x:c r="E126" s="44" t="str">
        <x:f>IFERROR(INDEX('Offene Vorgänge'!$E$8:$E$207,MATCH(119,'Offene Vorgänge'!$I$8:$I$207,0)),"")</x:f>
      </x:c>
      <x:c r="F126" s="50" t="str">
        <x:f>IFERROR(INDEX('Offene Vorgänge'!$F$8:$F$207,MATCH(119,'Offene Vorgänge'!$I$8:$I$207,0)),"")</x:f>
      </x:c>
      <x:c r="G126" s="50" t="str">
        <x:f>IFERROR(INDEX('Offene Vorgänge'!$G$8:$G$207,MATCH(119,'Offene Vorgänge'!$I$8:$I$207,0)),"")</x:f>
      </x:c>
      <x:c r="H126" s="44" t="str">
        <x:f>IFERROR(INDEX('Offene Vorgänge'!$H$8:$H$207,MATCH(119,'Offene Vorgänge'!$I$8:$I$207,0)),"")</x:f>
      </x:c>
      <x:c r="I126" s="1"/>
      <x:c r="J126" s="1"/>
      <x:c r="K126" s="1"/>
      <x:c r="L126" s="1"/>
      <x:c r="M126" s="1"/>
      <x:c r="N126" s="1"/>
      <x:c r="O126" s="1"/>
      <x:c r="P126" s="1"/>
      <x:c r="Q126" s="1"/>
      <x:c r="R126" s="1"/>
      <x:c r="S126" s="1"/>
      <x:c r="T126" s="1"/>
    </x:row>
    <x:row r="127" ht="18" customHeight="1">
      <x:c r="A127" s="1"/>
      <x:c r="B127" s="47" t="str">
        <x:f>IF($E127="","",120)</x:f>
      </x:c>
      <x:c r="C127" s="49" t="str">
        <x:f>IFERROR(INDEX('Offene Vorgänge'!$C$8:$C$207,MATCH(120,'Offene Vorgänge'!$I$8:$I$207,0)),"")</x:f>
      </x:c>
      <x:c r="D127" s="50" t="str">
        <x:f>IFERROR(INDEX('Offene Vorgänge'!$D$8:$D$207,MATCH(120,'Offene Vorgänge'!$I$8:$I$207,0)),"")</x:f>
      </x:c>
      <x:c r="E127" s="44" t="str">
        <x:f>IFERROR(INDEX('Offene Vorgänge'!$E$8:$E$207,MATCH(120,'Offene Vorgänge'!$I$8:$I$207,0)),"")</x:f>
      </x:c>
      <x:c r="F127" s="50" t="str">
        <x:f>IFERROR(INDEX('Offene Vorgänge'!$F$8:$F$207,MATCH(120,'Offene Vorgänge'!$I$8:$I$207,0)),"")</x:f>
      </x:c>
      <x:c r="G127" s="50" t="str">
        <x:f>IFERROR(INDEX('Offene Vorgänge'!$G$8:$G$207,MATCH(120,'Offene Vorgänge'!$I$8:$I$207,0)),"")</x:f>
      </x:c>
      <x:c r="H127" s="44" t="str">
        <x:f>IFERROR(INDEX('Offene Vorgänge'!$H$8:$H$207,MATCH(120,'Offene Vorgänge'!$I$8:$I$207,0)),"")</x:f>
      </x:c>
      <x:c r="I127" s="1"/>
      <x:c r="J127" s="1"/>
      <x:c r="K127" s="1"/>
      <x:c r="L127" s="1"/>
      <x:c r="M127" s="1"/>
      <x:c r="N127" s="1"/>
      <x:c r="O127" s="1"/>
      <x:c r="P127" s="1"/>
      <x:c r="Q127" s="1"/>
      <x:c r="R127" s="1"/>
      <x:c r="S127" s="1"/>
      <x:c r="T127" s="1"/>
    </x:row>
    <x:row r="128" ht="18" customHeight="1">
      <x:c r="A128" s="1"/>
      <x:c r="B128" s="47" t="str">
        <x:f>IF($E128="","",121)</x:f>
      </x:c>
      <x:c r="C128" s="49" t="str">
        <x:f>IFERROR(INDEX('Offene Vorgänge'!$C$8:$C$207,MATCH(121,'Offene Vorgänge'!$I$8:$I$207,0)),"")</x:f>
      </x:c>
      <x:c r="D128" s="50" t="str">
        <x:f>IFERROR(INDEX('Offene Vorgänge'!$D$8:$D$207,MATCH(121,'Offene Vorgänge'!$I$8:$I$207,0)),"")</x:f>
      </x:c>
      <x:c r="E128" s="44" t="str">
        <x:f>IFERROR(INDEX('Offene Vorgänge'!$E$8:$E$207,MATCH(121,'Offene Vorgänge'!$I$8:$I$207,0)),"")</x:f>
      </x:c>
      <x:c r="F128" s="50" t="str">
        <x:f>IFERROR(INDEX('Offene Vorgänge'!$F$8:$F$207,MATCH(121,'Offene Vorgänge'!$I$8:$I$207,0)),"")</x:f>
      </x:c>
      <x:c r="G128" s="50" t="str">
        <x:f>IFERROR(INDEX('Offene Vorgänge'!$G$8:$G$207,MATCH(121,'Offene Vorgänge'!$I$8:$I$207,0)),"")</x:f>
      </x:c>
      <x:c r="H128" s="44" t="str">
        <x:f>IFERROR(INDEX('Offene Vorgänge'!$H$8:$H$207,MATCH(121,'Offene Vorgänge'!$I$8:$I$207,0)),"")</x:f>
      </x:c>
      <x:c r="I128" s="1"/>
      <x:c r="J128" s="1"/>
      <x:c r="K128" s="1"/>
      <x:c r="L128" s="1"/>
      <x:c r="M128" s="1"/>
      <x:c r="N128" s="1"/>
      <x:c r="O128" s="1"/>
      <x:c r="P128" s="1"/>
      <x:c r="Q128" s="1"/>
      <x:c r="R128" s="1"/>
      <x:c r="S128" s="1"/>
      <x:c r="T128" s="1"/>
    </x:row>
    <x:row r="129" ht="18" customHeight="1">
      <x:c r="A129" s="1"/>
      <x:c r="B129" s="47" t="str">
        <x:f>IF($E129="","",122)</x:f>
      </x:c>
      <x:c r="C129" s="49" t="str">
        <x:f>IFERROR(INDEX('Offene Vorgänge'!$C$8:$C$207,MATCH(122,'Offene Vorgänge'!$I$8:$I$207,0)),"")</x:f>
      </x:c>
      <x:c r="D129" s="50" t="str">
        <x:f>IFERROR(INDEX('Offene Vorgänge'!$D$8:$D$207,MATCH(122,'Offene Vorgänge'!$I$8:$I$207,0)),"")</x:f>
      </x:c>
      <x:c r="E129" s="44" t="str">
        <x:f>IFERROR(INDEX('Offene Vorgänge'!$E$8:$E$207,MATCH(122,'Offene Vorgänge'!$I$8:$I$207,0)),"")</x:f>
      </x:c>
      <x:c r="F129" s="50" t="str">
        <x:f>IFERROR(INDEX('Offene Vorgänge'!$F$8:$F$207,MATCH(122,'Offene Vorgänge'!$I$8:$I$207,0)),"")</x:f>
      </x:c>
      <x:c r="G129" s="50" t="str">
        <x:f>IFERROR(INDEX('Offene Vorgänge'!$G$8:$G$207,MATCH(122,'Offene Vorgänge'!$I$8:$I$207,0)),"")</x:f>
      </x:c>
      <x:c r="H129" s="44" t="str">
        <x:f>IFERROR(INDEX('Offene Vorgänge'!$H$8:$H$207,MATCH(122,'Offene Vorgänge'!$I$8:$I$207,0)),"")</x:f>
      </x:c>
      <x:c r="I129" s="1"/>
      <x:c r="J129" s="1"/>
      <x:c r="K129" s="1"/>
      <x:c r="L129" s="1"/>
      <x:c r="M129" s="1"/>
      <x:c r="N129" s="1"/>
      <x:c r="O129" s="1"/>
      <x:c r="P129" s="1"/>
      <x:c r="Q129" s="1"/>
      <x:c r="R129" s="1"/>
      <x:c r="S129" s="1"/>
      <x:c r="T129" s="1"/>
    </x:row>
    <x:row r="130" ht="18" customHeight="1">
      <x:c r="A130" s="1"/>
      <x:c r="B130" s="47" t="str">
        <x:f>IF($E130="","",123)</x:f>
      </x:c>
      <x:c r="C130" s="49" t="str">
        <x:f>IFERROR(INDEX('Offene Vorgänge'!$C$8:$C$207,MATCH(123,'Offene Vorgänge'!$I$8:$I$207,0)),"")</x:f>
      </x:c>
      <x:c r="D130" s="50" t="str">
        <x:f>IFERROR(INDEX('Offene Vorgänge'!$D$8:$D$207,MATCH(123,'Offene Vorgänge'!$I$8:$I$207,0)),"")</x:f>
      </x:c>
      <x:c r="E130" s="44" t="str">
        <x:f>IFERROR(INDEX('Offene Vorgänge'!$E$8:$E$207,MATCH(123,'Offene Vorgänge'!$I$8:$I$207,0)),"")</x:f>
      </x:c>
      <x:c r="F130" s="50" t="str">
        <x:f>IFERROR(INDEX('Offene Vorgänge'!$F$8:$F$207,MATCH(123,'Offene Vorgänge'!$I$8:$I$207,0)),"")</x:f>
      </x:c>
      <x:c r="G130" s="50" t="str">
        <x:f>IFERROR(INDEX('Offene Vorgänge'!$G$8:$G$207,MATCH(123,'Offene Vorgänge'!$I$8:$I$207,0)),"")</x:f>
      </x:c>
      <x:c r="H130" s="44" t="str">
        <x:f>IFERROR(INDEX('Offene Vorgänge'!$H$8:$H$207,MATCH(123,'Offene Vorgänge'!$I$8:$I$207,0)),"")</x:f>
      </x:c>
      <x:c r="I130" s="1"/>
      <x:c r="J130" s="1"/>
      <x:c r="K130" s="1"/>
      <x:c r="L130" s="1"/>
      <x:c r="M130" s="1"/>
      <x:c r="N130" s="1"/>
      <x:c r="O130" s="1"/>
      <x:c r="P130" s="1"/>
      <x:c r="Q130" s="1"/>
      <x:c r="R130" s="1"/>
      <x:c r="S130" s="1"/>
      <x:c r="T130" s="1"/>
    </x:row>
    <x:row r="131" ht="18" customHeight="1">
      <x:c r="A131" s="1"/>
      <x:c r="B131" s="47" t="str">
        <x:f>IF($E131="","",124)</x:f>
      </x:c>
      <x:c r="C131" s="49" t="str">
        <x:f>IFERROR(INDEX('Offene Vorgänge'!$C$8:$C$207,MATCH(124,'Offene Vorgänge'!$I$8:$I$207,0)),"")</x:f>
      </x:c>
      <x:c r="D131" s="50" t="str">
        <x:f>IFERROR(INDEX('Offene Vorgänge'!$D$8:$D$207,MATCH(124,'Offene Vorgänge'!$I$8:$I$207,0)),"")</x:f>
      </x:c>
      <x:c r="E131" s="44" t="str">
        <x:f>IFERROR(INDEX('Offene Vorgänge'!$E$8:$E$207,MATCH(124,'Offene Vorgänge'!$I$8:$I$207,0)),"")</x:f>
      </x:c>
      <x:c r="F131" s="50" t="str">
        <x:f>IFERROR(INDEX('Offene Vorgänge'!$F$8:$F$207,MATCH(124,'Offene Vorgänge'!$I$8:$I$207,0)),"")</x:f>
      </x:c>
      <x:c r="G131" s="50" t="str">
        <x:f>IFERROR(INDEX('Offene Vorgänge'!$G$8:$G$207,MATCH(124,'Offene Vorgänge'!$I$8:$I$207,0)),"")</x:f>
      </x:c>
      <x:c r="H131" s="44" t="str">
        <x:f>IFERROR(INDEX('Offene Vorgänge'!$H$8:$H$207,MATCH(124,'Offene Vorgänge'!$I$8:$I$207,0)),"")</x:f>
      </x:c>
      <x:c r="I131" s="1"/>
      <x:c r="J131" s="1"/>
      <x:c r="K131" s="1"/>
      <x:c r="L131" s="1"/>
      <x:c r="M131" s="1"/>
      <x:c r="N131" s="1"/>
      <x:c r="O131" s="1"/>
      <x:c r="P131" s="1"/>
      <x:c r="Q131" s="1"/>
      <x:c r="R131" s="1"/>
      <x:c r="S131" s="1"/>
      <x:c r="T131" s="1"/>
    </x:row>
    <x:row r="132" ht="18" customHeight="1">
      <x:c r="A132" s="1"/>
      <x:c r="B132" s="47" t="str">
        <x:f>IF($E132="","",125)</x:f>
      </x:c>
      <x:c r="C132" s="49" t="str">
        <x:f>IFERROR(INDEX('Offene Vorgänge'!$C$8:$C$207,MATCH(125,'Offene Vorgänge'!$I$8:$I$207,0)),"")</x:f>
      </x:c>
      <x:c r="D132" s="50" t="str">
        <x:f>IFERROR(INDEX('Offene Vorgänge'!$D$8:$D$207,MATCH(125,'Offene Vorgänge'!$I$8:$I$207,0)),"")</x:f>
      </x:c>
      <x:c r="E132" s="44" t="str">
        <x:f>IFERROR(INDEX('Offene Vorgänge'!$E$8:$E$207,MATCH(125,'Offene Vorgänge'!$I$8:$I$207,0)),"")</x:f>
      </x:c>
      <x:c r="F132" s="50" t="str">
        <x:f>IFERROR(INDEX('Offene Vorgänge'!$F$8:$F$207,MATCH(125,'Offene Vorgänge'!$I$8:$I$207,0)),"")</x:f>
      </x:c>
      <x:c r="G132" s="50" t="str">
        <x:f>IFERROR(INDEX('Offene Vorgänge'!$G$8:$G$207,MATCH(125,'Offene Vorgänge'!$I$8:$I$207,0)),"")</x:f>
      </x:c>
      <x:c r="H132" s="44" t="str">
        <x:f>IFERROR(INDEX('Offene Vorgänge'!$H$8:$H$207,MATCH(125,'Offene Vorgänge'!$I$8:$I$207,0)),"")</x:f>
      </x:c>
      <x:c r="I132" s="1"/>
      <x:c r="J132" s="1"/>
      <x:c r="K132" s="1"/>
      <x:c r="L132" s="1"/>
      <x:c r="M132" s="1"/>
      <x:c r="N132" s="1"/>
      <x:c r="O132" s="1"/>
      <x:c r="P132" s="1"/>
      <x:c r="Q132" s="1"/>
      <x:c r="R132" s="1"/>
      <x:c r="S132" s="1"/>
      <x:c r="T132" s="1"/>
    </x:row>
    <x:row r="133" ht="18" customHeight="1">
      <x:c r="A133" s="1"/>
      <x:c r="B133" s="47" t="str">
        <x:f>IF($E133="","",126)</x:f>
      </x:c>
      <x:c r="C133" s="49" t="str">
        <x:f>IFERROR(INDEX('Offene Vorgänge'!$C$8:$C$207,MATCH(126,'Offene Vorgänge'!$I$8:$I$207,0)),"")</x:f>
      </x:c>
      <x:c r="D133" s="50" t="str">
        <x:f>IFERROR(INDEX('Offene Vorgänge'!$D$8:$D$207,MATCH(126,'Offene Vorgänge'!$I$8:$I$207,0)),"")</x:f>
      </x:c>
      <x:c r="E133" s="44" t="str">
        <x:f>IFERROR(INDEX('Offene Vorgänge'!$E$8:$E$207,MATCH(126,'Offene Vorgänge'!$I$8:$I$207,0)),"")</x:f>
      </x:c>
      <x:c r="F133" s="50" t="str">
        <x:f>IFERROR(INDEX('Offene Vorgänge'!$F$8:$F$207,MATCH(126,'Offene Vorgänge'!$I$8:$I$207,0)),"")</x:f>
      </x:c>
      <x:c r="G133" s="50" t="str">
        <x:f>IFERROR(INDEX('Offene Vorgänge'!$G$8:$G$207,MATCH(126,'Offene Vorgänge'!$I$8:$I$207,0)),"")</x:f>
      </x:c>
      <x:c r="H133" s="44" t="str">
        <x:f>IFERROR(INDEX('Offene Vorgänge'!$H$8:$H$207,MATCH(126,'Offene Vorgänge'!$I$8:$I$207,0)),"")</x:f>
      </x:c>
      <x:c r="I133" s="1"/>
      <x:c r="J133" s="1"/>
      <x:c r="K133" s="1"/>
      <x:c r="L133" s="1"/>
      <x:c r="M133" s="1"/>
      <x:c r="N133" s="1"/>
      <x:c r="O133" s="1"/>
      <x:c r="P133" s="1"/>
      <x:c r="Q133" s="1"/>
      <x:c r="R133" s="1"/>
      <x:c r="S133" s="1"/>
      <x:c r="T133" s="1"/>
    </x:row>
    <x:row r="134" ht="18" customHeight="1">
      <x:c r="A134" s="1"/>
      <x:c r="B134" s="47" t="str">
        <x:f>IF($E134="","",127)</x:f>
      </x:c>
      <x:c r="C134" s="49" t="str">
        <x:f>IFERROR(INDEX('Offene Vorgänge'!$C$8:$C$207,MATCH(127,'Offene Vorgänge'!$I$8:$I$207,0)),"")</x:f>
      </x:c>
      <x:c r="D134" s="50" t="str">
        <x:f>IFERROR(INDEX('Offene Vorgänge'!$D$8:$D$207,MATCH(127,'Offene Vorgänge'!$I$8:$I$207,0)),"")</x:f>
      </x:c>
      <x:c r="E134" s="44" t="str">
        <x:f>IFERROR(INDEX('Offene Vorgänge'!$E$8:$E$207,MATCH(127,'Offene Vorgänge'!$I$8:$I$207,0)),"")</x:f>
      </x:c>
      <x:c r="F134" s="50" t="str">
        <x:f>IFERROR(INDEX('Offene Vorgänge'!$F$8:$F$207,MATCH(127,'Offene Vorgänge'!$I$8:$I$207,0)),"")</x:f>
      </x:c>
      <x:c r="G134" s="50" t="str">
        <x:f>IFERROR(INDEX('Offene Vorgänge'!$G$8:$G$207,MATCH(127,'Offene Vorgänge'!$I$8:$I$207,0)),"")</x:f>
      </x:c>
      <x:c r="H134" s="44" t="str">
        <x:f>IFERROR(INDEX('Offene Vorgänge'!$H$8:$H$207,MATCH(127,'Offene Vorgänge'!$I$8:$I$207,0)),"")</x:f>
      </x:c>
      <x:c r="I134" s="1"/>
      <x:c r="J134" s="1"/>
      <x:c r="K134" s="1"/>
      <x:c r="L134" s="1"/>
      <x:c r="M134" s="1"/>
      <x:c r="N134" s="1"/>
      <x:c r="O134" s="1"/>
      <x:c r="P134" s="1"/>
      <x:c r="Q134" s="1"/>
      <x:c r="R134" s="1"/>
      <x:c r="S134" s="1"/>
      <x:c r="T134" s="1"/>
    </x:row>
    <x:row r="135" ht="18" customHeight="1">
      <x:c r="A135" s="1"/>
      <x:c r="B135" s="47" t="str">
        <x:f>IF($E135="","",128)</x:f>
      </x:c>
      <x:c r="C135" s="49" t="str">
        <x:f>IFERROR(INDEX('Offene Vorgänge'!$C$8:$C$207,MATCH(128,'Offene Vorgänge'!$I$8:$I$207,0)),"")</x:f>
      </x:c>
      <x:c r="D135" s="50" t="str">
        <x:f>IFERROR(INDEX('Offene Vorgänge'!$D$8:$D$207,MATCH(128,'Offene Vorgänge'!$I$8:$I$207,0)),"")</x:f>
      </x:c>
      <x:c r="E135" s="44" t="str">
        <x:f>IFERROR(INDEX('Offene Vorgänge'!$E$8:$E$207,MATCH(128,'Offene Vorgänge'!$I$8:$I$207,0)),"")</x:f>
      </x:c>
      <x:c r="F135" s="50" t="str">
        <x:f>IFERROR(INDEX('Offene Vorgänge'!$F$8:$F$207,MATCH(128,'Offene Vorgänge'!$I$8:$I$207,0)),"")</x:f>
      </x:c>
      <x:c r="G135" s="50" t="str">
        <x:f>IFERROR(INDEX('Offene Vorgänge'!$G$8:$G$207,MATCH(128,'Offene Vorgänge'!$I$8:$I$207,0)),"")</x:f>
      </x:c>
      <x:c r="H135" s="44" t="str">
        <x:f>IFERROR(INDEX('Offene Vorgänge'!$H$8:$H$207,MATCH(128,'Offene Vorgänge'!$I$8:$I$207,0)),"")</x:f>
      </x:c>
      <x:c r="I135" s="1"/>
      <x:c r="J135" s="1"/>
      <x:c r="K135" s="1"/>
      <x:c r="L135" s="1"/>
      <x:c r="M135" s="1"/>
      <x:c r="N135" s="1"/>
      <x:c r="O135" s="1"/>
      <x:c r="P135" s="1"/>
      <x:c r="Q135" s="1"/>
      <x:c r="R135" s="1"/>
      <x:c r="S135" s="1"/>
      <x:c r="T135" s="1"/>
    </x:row>
    <x:row r="136" ht="18" customHeight="1">
      <x:c r="A136" s="1"/>
      <x:c r="B136" s="47" t="str">
        <x:f>IF($E136="","",129)</x:f>
      </x:c>
      <x:c r="C136" s="49" t="str">
        <x:f>IFERROR(INDEX('Offene Vorgänge'!$C$8:$C$207,MATCH(129,'Offene Vorgänge'!$I$8:$I$207,0)),"")</x:f>
      </x:c>
      <x:c r="D136" s="50" t="str">
        <x:f>IFERROR(INDEX('Offene Vorgänge'!$D$8:$D$207,MATCH(129,'Offene Vorgänge'!$I$8:$I$207,0)),"")</x:f>
      </x:c>
      <x:c r="E136" s="44" t="str">
        <x:f>IFERROR(INDEX('Offene Vorgänge'!$E$8:$E$207,MATCH(129,'Offene Vorgänge'!$I$8:$I$207,0)),"")</x:f>
      </x:c>
      <x:c r="F136" s="50" t="str">
        <x:f>IFERROR(INDEX('Offene Vorgänge'!$F$8:$F$207,MATCH(129,'Offene Vorgänge'!$I$8:$I$207,0)),"")</x:f>
      </x:c>
      <x:c r="G136" s="50" t="str">
        <x:f>IFERROR(INDEX('Offene Vorgänge'!$G$8:$G$207,MATCH(129,'Offene Vorgänge'!$I$8:$I$207,0)),"")</x:f>
      </x:c>
      <x:c r="H136" s="44" t="str">
        <x:f>IFERROR(INDEX('Offene Vorgänge'!$H$8:$H$207,MATCH(129,'Offene Vorgänge'!$I$8:$I$207,0)),"")</x:f>
      </x:c>
      <x:c r="I136" s="1"/>
      <x:c r="J136" s="1"/>
      <x:c r="K136" s="1"/>
      <x:c r="L136" s="1"/>
      <x:c r="M136" s="1"/>
      <x:c r="N136" s="1"/>
      <x:c r="O136" s="1"/>
      <x:c r="P136" s="1"/>
      <x:c r="Q136" s="1"/>
      <x:c r="R136" s="1"/>
      <x:c r="S136" s="1"/>
      <x:c r="T136" s="1"/>
    </x:row>
    <x:row r="137" ht="18" customHeight="1">
      <x:c r="A137" s="1"/>
      <x:c r="B137" s="47" t="str">
        <x:f>IF($E137="","",130)</x:f>
      </x:c>
      <x:c r="C137" s="49" t="str">
        <x:f>IFERROR(INDEX('Offene Vorgänge'!$C$8:$C$207,MATCH(130,'Offene Vorgänge'!$I$8:$I$207,0)),"")</x:f>
      </x:c>
      <x:c r="D137" s="50" t="str">
        <x:f>IFERROR(INDEX('Offene Vorgänge'!$D$8:$D$207,MATCH(130,'Offene Vorgänge'!$I$8:$I$207,0)),"")</x:f>
      </x:c>
      <x:c r="E137" s="44" t="str">
        <x:f>IFERROR(INDEX('Offene Vorgänge'!$E$8:$E$207,MATCH(130,'Offene Vorgänge'!$I$8:$I$207,0)),"")</x:f>
      </x:c>
      <x:c r="F137" s="50" t="str">
        <x:f>IFERROR(INDEX('Offene Vorgänge'!$F$8:$F$207,MATCH(130,'Offene Vorgänge'!$I$8:$I$207,0)),"")</x:f>
      </x:c>
      <x:c r="G137" s="50" t="str">
        <x:f>IFERROR(INDEX('Offene Vorgänge'!$G$8:$G$207,MATCH(130,'Offene Vorgänge'!$I$8:$I$207,0)),"")</x:f>
      </x:c>
      <x:c r="H137" s="44" t="str">
        <x:f>IFERROR(INDEX('Offene Vorgänge'!$H$8:$H$207,MATCH(130,'Offene Vorgänge'!$I$8:$I$207,0)),"")</x:f>
      </x:c>
      <x:c r="I137" s="1"/>
      <x:c r="J137" s="1"/>
      <x:c r="K137" s="1"/>
      <x:c r="L137" s="1"/>
      <x:c r="M137" s="1"/>
      <x:c r="N137" s="1"/>
      <x:c r="O137" s="1"/>
      <x:c r="P137" s="1"/>
      <x:c r="Q137" s="1"/>
      <x:c r="R137" s="1"/>
      <x:c r="S137" s="1"/>
      <x:c r="T137" s="1"/>
    </x:row>
    <x:row r="138" ht="18" customHeight="1">
      <x:c r="A138" s="1"/>
      <x:c r="B138" s="47" t="str">
        <x:f>IF($E138="","",131)</x:f>
      </x:c>
      <x:c r="C138" s="49" t="str">
        <x:f>IFERROR(INDEX('Offene Vorgänge'!$C$8:$C$207,MATCH(131,'Offene Vorgänge'!$I$8:$I$207,0)),"")</x:f>
      </x:c>
      <x:c r="D138" s="50" t="str">
        <x:f>IFERROR(INDEX('Offene Vorgänge'!$D$8:$D$207,MATCH(131,'Offene Vorgänge'!$I$8:$I$207,0)),"")</x:f>
      </x:c>
      <x:c r="E138" s="44" t="str">
        <x:f>IFERROR(INDEX('Offene Vorgänge'!$E$8:$E$207,MATCH(131,'Offene Vorgänge'!$I$8:$I$207,0)),"")</x:f>
      </x:c>
      <x:c r="F138" s="50" t="str">
        <x:f>IFERROR(INDEX('Offene Vorgänge'!$F$8:$F$207,MATCH(131,'Offene Vorgänge'!$I$8:$I$207,0)),"")</x:f>
      </x:c>
      <x:c r="G138" s="50" t="str">
        <x:f>IFERROR(INDEX('Offene Vorgänge'!$G$8:$G$207,MATCH(131,'Offene Vorgänge'!$I$8:$I$207,0)),"")</x:f>
      </x:c>
      <x:c r="H138" s="44" t="str">
        <x:f>IFERROR(INDEX('Offene Vorgänge'!$H$8:$H$207,MATCH(131,'Offene Vorgänge'!$I$8:$I$207,0)),"")</x:f>
      </x:c>
      <x:c r="I138" s="1"/>
      <x:c r="J138" s="1"/>
      <x:c r="K138" s="1"/>
      <x:c r="L138" s="1"/>
      <x:c r="M138" s="1"/>
      <x:c r="N138" s="1"/>
      <x:c r="O138" s="1"/>
      <x:c r="P138" s="1"/>
      <x:c r="Q138" s="1"/>
      <x:c r="R138" s="1"/>
      <x:c r="S138" s="1"/>
      <x:c r="T138" s="1"/>
    </x:row>
    <x:row r="139" ht="18" customHeight="1">
      <x:c r="A139" s="1"/>
      <x:c r="B139" s="47" t="str">
        <x:f>IF($E139="","",132)</x:f>
      </x:c>
      <x:c r="C139" s="49" t="str">
        <x:f>IFERROR(INDEX('Offene Vorgänge'!$C$8:$C$207,MATCH(132,'Offene Vorgänge'!$I$8:$I$207,0)),"")</x:f>
      </x:c>
      <x:c r="D139" s="50" t="str">
        <x:f>IFERROR(INDEX('Offene Vorgänge'!$D$8:$D$207,MATCH(132,'Offene Vorgänge'!$I$8:$I$207,0)),"")</x:f>
      </x:c>
      <x:c r="E139" s="44" t="str">
        <x:f>IFERROR(INDEX('Offene Vorgänge'!$E$8:$E$207,MATCH(132,'Offene Vorgänge'!$I$8:$I$207,0)),"")</x:f>
      </x:c>
      <x:c r="F139" s="50" t="str">
        <x:f>IFERROR(INDEX('Offene Vorgänge'!$F$8:$F$207,MATCH(132,'Offene Vorgänge'!$I$8:$I$207,0)),"")</x:f>
      </x:c>
      <x:c r="G139" s="50" t="str">
        <x:f>IFERROR(INDEX('Offene Vorgänge'!$G$8:$G$207,MATCH(132,'Offene Vorgänge'!$I$8:$I$207,0)),"")</x:f>
      </x:c>
      <x:c r="H139" s="44" t="str">
        <x:f>IFERROR(INDEX('Offene Vorgänge'!$H$8:$H$207,MATCH(132,'Offene Vorgänge'!$I$8:$I$207,0)),"")</x:f>
      </x:c>
      <x:c r="I139" s="1"/>
      <x:c r="J139" s="1"/>
      <x:c r="K139" s="1"/>
      <x:c r="L139" s="1"/>
      <x:c r="M139" s="1"/>
      <x:c r="N139" s="1"/>
      <x:c r="O139" s="1"/>
      <x:c r="P139" s="1"/>
      <x:c r="Q139" s="1"/>
      <x:c r="R139" s="1"/>
      <x:c r="S139" s="1"/>
      <x:c r="T139" s="1"/>
    </x:row>
    <x:row r="140" ht="18" customHeight="1">
      <x:c r="A140" s="1"/>
      <x:c r="B140" s="47" t="str">
        <x:f>IF($E140="","",133)</x:f>
      </x:c>
      <x:c r="C140" s="49" t="str">
        <x:f>IFERROR(INDEX('Offene Vorgänge'!$C$8:$C$207,MATCH(133,'Offene Vorgänge'!$I$8:$I$207,0)),"")</x:f>
      </x:c>
      <x:c r="D140" s="50" t="str">
        <x:f>IFERROR(INDEX('Offene Vorgänge'!$D$8:$D$207,MATCH(133,'Offene Vorgänge'!$I$8:$I$207,0)),"")</x:f>
      </x:c>
      <x:c r="E140" s="44" t="str">
        <x:f>IFERROR(INDEX('Offene Vorgänge'!$E$8:$E$207,MATCH(133,'Offene Vorgänge'!$I$8:$I$207,0)),"")</x:f>
      </x:c>
      <x:c r="F140" s="50" t="str">
        <x:f>IFERROR(INDEX('Offene Vorgänge'!$F$8:$F$207,MATCH(133,'Offene Vorgänge'!$I$8:$I$207,0)),"")</x:f>
      </x:c>
      <x:c r="G140" s="50" t="str">
        <x:f>IFERROR(INDEX('Offene Vorgänge'!$G$8:$G$207,MATCH(133,'Offene Vorgänge'!$I$8:$I$207,0)),"")</x:f>
      </x:c>
      <x:c r="H140" s="44" t="str">
        <x:f>IFERROR(INDEX('Offene Vorgänge'!$H$8:$H$207,MATCH(133,'Offene Vorgänge'!$I$8:$I$207,0)),"")</x:f>
      </x:c>
      <x:c r="I140" s="1"/>
      <x:c r="J140" s="1"/>
      <x:c r="K140" s="1"/>
      <x:c r="L140" s="1"/>
      <x:c r="M140" s="1"/>
      <x:c r="N140" s="1"/>
      <x:c r="O140" s="1"/>
      <x:c r="P140" s="1"/>
      <x:c r="Q140" s="1"/>
      <x:c r="R140" s="1"/>
      <x:c r="S140" s="1"/>
      <x:c r="T140" s="1"/>
    </x:row>
    <x:row r="141" ht="18" customHeight="1">
      <x:c r="A141" s="1"/>
      <x:c r="B141" s="47" t="str">
        <x:f>IF($E141="","",134)</x:f>
      </x:c>
      <x:c r="C141" s="49" t="str">
        <x:f>IFERROR(INDEX('Offene Vorgänge'!$C$8:$C$207,MATCH(134,'Offene Vorgänge'!$I$8:$I$207,0)),"")</x:f>
      </x:c>
      <x:c r="D141" s="50" t="str">
        <x:f>IFERROR(INDEX('Offene Vorgänge'!$D$8:$D$207,MATCH(134,'Offene Vorgänge'!$I$8:$I$207,0)),"")</x:f>
      </x:c>
      <x:c r="E141" s="44" t="str">
        <x:f>IFERROR(INDEX('Offene Vorgänge'!$E$8:$E$207,MATCH(134,'Offene Vorgänge'!$I$8:$I$207,0)),"")</x:f>
      </x:c>
      <x:c r="F141" s="50" t="str">
        <x:f>IFERROR(INDEX('Offene Vorgänge'!$F$8:$F$207,MATCH(134,'Offene Vorgänge'!$I$8:$I$207,0)),"")</x:f>
      </x:c>
      <x:c r="G141" s="50" t="str">
        <x:f>IFERROR(INDEX('Offene Vorgänge'!$G$8:$G$207,MATCH(134,'Offene Vorgänge'!$I$8:$I$207,0)),"")</x:f>
      </x:c>
      <x:c r="H141" s="44" t="str">
        <x:f>IFERROR(INDEX('Offene Vorgänge'!$H$8:$H$207,MATCH(134,'Offene Vorgänge'!$I$8:$I$207,0)),"")</x:f>
      </x:c>
      <x:c r="I141" s="1"/>
      <x:c r="J141" s="1"/>
      <x:c r="K141" s="1"/>
      <x:c r="L141" s="1"/>
      <x:c r="M141" s="1"/>
      <x:c r="N141" s="1"/>
      <x:c r="O141" s="1"/>
      <x:c r="P141" s="1"/>
      <x:c r="Q141" s="1"/>
      <x:c r="R141" s="1"/>
      <x:c r="S141" s="1"/>
      <x:c r="T141" s="1"/>
    </x:row>
    <x:row r="142" ht="18" customHeight="1">
      <x:c r="A142" s="1"/>
      <x:c r="B142" s="47" t="str">
        <x:f>IF($E142="","",135)</x:f>
      </x:c>
      <x:c r="C142" s="49" t="str">
        <x:f>IFERROR(INDEX('Offene Vorgänge'!$C$8:$C$207,MATCH(135,'Offene Vorgänge'!$I$8:$I$207,0)),"")</x:f>
      </x:c>
      <x:c r="D142" s="50" t="str">
        <x:f>IFERROR(INDEX('Offene Vorgänge'!$D$8:$D$207,MATCH(135,'Offene Vorgänge'!$I$8:$I$207,0)),"")</x:f>
      </x:c>
      <x:c r="E142" s="44" t="str">
        <x:f>IFERROR(INDEX('Offene Vorgänge'!$E$8:$E$207,MATCH(135,'Offene Vorgänge'!$I$8:$I$207,0)),"")</x:f>
      </x:c>
      <x:c r="F142" s="50" t="str">
        <x:f>IFERROR(INDEX('Offene Vorgänge'!$F$8:$F$207,MATCH(135,'Offene Vorgänge'!$I$8:$I$207,0)),"")</x:f>
      </x:c>
      <x:c r="G142" s="50" t="str">
        <x:f>IFERROR(INDEX('Offene Vorgänge'!$G$8:$G$207,MATCH(135,'Offene Vorgänge'!$I$8:$I$207,0)),"")</x:f>
      </x:c>
      <x:c r="H142" s="44" t="str">
        <x:f>IFERROR(INDEX('Offene Vorgänge'!$H$8:$H$207,MATCH(135,'Offene Vorgänge'!$I$8:$I$207,0)),"")</x:f>
      </x:c>
      <x:c r="I142" s="1"/>
      <x:c r="J142" s="1"/>
      <x:c r="K142" s="1"/>
      <x:c r="L142" s="1"/>
      <x:c r="M142" s="1"/>
      <x:c r="N142" s="1"/>
      <x:c r="O142" s="1"/>
      <x:c r="P142" s="1"/>
      <x:c r="Q142" s="1"/>
      <x:c r="R142" s="1"/>
      <x:c r="S142" s="1"/>
      <x:c r="T142" s="1"/>
    </x:row>
    <x:row r="143" ht="18" customHeight="1">
      <x:c r="A143" s="1"/>
      <x:c r="B143" s="47" t="str">
        <x:f>IF($E143="","",136)</x:f>
      </x:c>
      <x:c r="C143" s="49" t="str">
        <x:f>IFERROR(INDEX('Offene Vorgänge'!$C$8:$C$207,MATCH(136,'Offene Vorgänge'!$I$8:$I$207,0)),"")</x:f>
      </x:c>
      <x:c r="D143" s="50" t="str">
        <x:f>IFERROR(INDEX('Offene Vorgänge'!$D$8:$D$207,MATCH(136,'Offene Vorgänge'!$I$8:$I$207,0)),"")</x:f>
      </x:c>
      <x:c r="E143" s="44" t="str">
        <x:f>IFERROR(INDEX('Offene Vorgänge'!$E$8:$E$207,MATCH(136,'Offene Vorgänge'!$I$8:$I$207,0)),"")</x:f>
      </x:c>
      <x:c r="F143" s="50" t="str">
        <x:f>IFERROR(INDEX('Offene Vorgänge'!$F$8:$F$207,MATCH(136,'Offene Vorgänge'!$I$8:$I$207,0)),"")</x:f>
      </x:c>
      <x:c r="G143" s="50" t="str">
        <x:f>IFERROR(INDEX('Offene Vorgänge'!$G$8:$G$207,MATCH(136,'Offene Vorgänge'!$I$8:$I$207,0)),"")</x:f>
      </x:c>
      <x:c r="H143" s="44" t="str">
        <x:f>IFERROR(INDEX('Offene Vorgänge'!$H$8:$H$207,MATCH(136,'Offene Vorgänge'!$I$8:$I$207,0)),"")</x:f>
      </x:c>
      <x:c r="I143" s="1"/>
      <x:c r="J143" s="1"/>
      <x:c r="K143" s="1"/>
      <x:c r="L143" s="1"/>
      <x:c r="M143" s="1"/>
      <x:c r="N143" s="1"/>
      <x:c r="O143" s="1"/>
      <x:c r="P143" s="1"/>
      <x:c r="Q143" s="1"/>
      <x:c r="R143" s="1"/>
      <x:c r="S143" s="1"/>
      <x:c r="T143" s="1"/>
    </x:row>
    <x:row r="144" ht="18" customHeight="1">
      <x:c r="A144" s="1"/>
      <x:c r="B144" s="47" t="str">
        <x:f>IF($E144="","",137)</x:f>
      </x:c>
      <x:c r="C144" s="49" t="str">
        <x:f>IFERROR(INDEX('Offene Vorgänge'!$C$8:$C$207,MATCH(137,'Offene Vorgänge'!$I$8:$I$207,0)),"")</x:f>
      </x:c>
      <x:c r="D144" s="50" t="str">
        <x:f>IFERROR(INDEX('Offene Vorgänge'!$D$8:$D$207,MATCH(137,'Offene Vorgänge'!$I$8:$I$207,0)),"")</x:f>
      </x:c>
      <x:c r="E144" s="44" t="str">
        <x:f>IFERROR(INDEX('Offene Vorgänge'!$E$8:$E$207,MATCH(137,'Offene Vorgänge'!$I$8:$I$207,0)),"")</x:f>
      </x:c>
      <x:c r="F144" s="50" t="str">
        <x:f>IFERROR(INDEX('Offene Vorgänge'!$F$8:$F$207,MATCH(137,'Offene Vorgänge'!$I$8:$I$207,0)),"")</x:f>
      </x:c>
      <x:c r="G144" s="50" t="str">
        <x:f>IFERROR(INDEX('Offene Vorgänge'!$G$8:$G$207,MATCH(137,'Offene Vorgänge'!$I$8:$I$207,0)),"")</x:f>
      </x:c>
      <x:c r="H144" s="44" t="str">
        <x:f>IFERROR(INDEX('Offene Vorgänge'!$H$8:$H$207,MATCH(137,'Offene Vorgänge'!$I$8:$I$207,0)),"")</x:f>
      </x:c>
      <x:c r="I144" s="1"/>
      <x:c r="J144" s="1"/>
      <x:c r="K144" s="1"/>
      <x:c r="L144" s="1"/>
      <x:c r="M144" s="1"/>
      <x:c r="N144" s="1"/>
      <x:c r="O144" s="1"/>
      <x:c r="P144" s="1"/>
      <x:c r="Q144" s="1"/>
      <x:c r="R144" s="1"/>
      <x:c r="S144" s="1"/>
      <x:c r="T144" s="1"/>
    </x:row>
    <x:row r="145" ht="18" customHeight="1">
      <x:c r="A145" s="1"/>
      <x:c r="B145" s="47" t="str">
        <x:f>IF($E145="","",138)</x:f>
      </x:c>
      <x:c r="C145" s="49" t="str">
        <x:f>IFERROR(INDEX('Offene Vorgänge'!$C$8:$C$207,MATCH(138,'Offene Vorgänge'!$I$8:$I$207,0)),"")</x:f>
      </x:c>
      <x:c r="D145" s="50" t="str">
        <x:f>IFERROR(INDEX('Offene Vorgänge'!$D$8:$D$207,MATCH(138,'Offene Vorgänge'!$I$8:$I$207,0)),"")</x:f>
      </x:c>
      <x:c r="E145" s="44" t="str">
        <x:f>IFERROR(INDEX('Offene Vorgänge'!$E$8:$E$207,MATCH(138,'Offene Vorgänge'!$I$8:$I$207,0)),"")</x:f>
      </x:c>
      <x:c r="F145" s="50" t="str">
        <x:f>IFERROR(INDEX('Offene Vorgänge'!$F$8:$F$207,MATCH(138,'Offene Vorgänge'!$I$8:$I$207,0)),"")</x:f>
      </x:c>
      <x:c r="G145" s="50" t="str">
        <x:f>IFERROR(INDEX('Offene Vorgänge'!$G$8:$G$207,MATCH(138,'Offene Vorgänge'!$I$8:$I$207,0)),"")</x:f>
      </x:c>
      <x:c r="H145" s="44" t="str">
        <x:f>IFERROR(INDEX('Offene Vorgänge'!$H$8:$H$207,MATCH(138,'Offene Vorgänge'!$I$8:$I$207,0)),"")</x:f>
      </x:c>
      <x:c r="I145" s="1"/>
      <x:c r="J145" s="1"/>
      <x:c r="K145" s="1"/>
      <x:c r="L145" s="1"/>
      <x:c r="M145" s="1"/>
      <x:c r="N145" s="1"/>
      <x:c r="O145" s="1"/>
      <x:c r="P145" s="1"/>
      <x:c r="Q145" s="1"/>
      <x:c r="R145" s="1"/>
      <x:c r="S145" s="1"/>
      <x:c r="T145" s="1"/>
    </x:row>
    <x:row r="146" ht="18" customHeight="1">
      <x:c r="A146" s="1"/>
      <x:c r="B146" s="47" t="str">
        <x:f>IF($E146="","",139)</x:f>
      </x:c>
      <x:c r="C146" s="49" t="str">
        <x:f>IFERROR(INDEX('Offene Vorgänge'!$C$8:$C$207,MATCH(139,'Offene Vorgänge'!$I$8:$I$207,0)),"")</x:f>
      </x:c>
      <x:c r="D146" s="50" t="str">
        <x:f>IFERROR(INDEX('Offene Vorgänge'!$D$8:$D$207,MATCH(139,'Offene Vorgänge'!$I$8:$I$207,0)),"")</x:f>
      </x:c>
      <x:c r="E146" s="44" t="str">
        <x:f>IFERROR(INDEX('Offene Vorgänge'!$E$8:$E$207,MATCH(139,'Offene Vorgänge'!$I$8:$I$207,0)),"")</x:f>
      </x:c>
      <x:c r="F146" s="50" t="str">
        <x:f>IFERROR(INDEX('Offene Vorgänge'!$F$8:$F$207,MATCH(139,'Offene Vorgänge'!$I$8:$I$207,0)),"")</x:f>
      </x:c>
      <x:c r="G146" s="50" t="str">
        <x:f>IFERROR(INDEX('Offene Vorgänge'!$G$8:$G$207,MATCH(139,'Offene Vorgänge'!$I$8:$I$207,0)),"")</x:f>
      </x:c>
      <x:c r="H146" s="44" t="str">
        <x:f>IFERROR(INDEX('Offene Vorgänge'!$H$8:$H$207,MATCH(139,'Offene Vorgänge'!$I$8:$I$207,0)),"")</x:f>
      </x:c>
      <x:c r="I146" s="1"/>
      <x:c r="J146" s="1"/>
      <x:c r="K146" s="1"/>
      <x:c r="L146" s="1"/>
      <x:c r="M146" s="1"/>
      <x:c r="N146" s="1"/>
      <x:c r="O146" s="1"/>
      <x:c r="P146" s="1"/>
      <x:c r="Q146" s="1"/>
      <x:c r="R146" s="1"/>
      <x:c r="S146" s="1"/>
      <x:c r="T146" s="1"/>
    </x:row>
    <x:row r="147" ht="18" customHeight="1">
      <x:c r="A147" s="1"/>
      <x:c r="B147" s="47" t="str">
        <x:f>IF($E147="","",140)</x:f>
      </x:c>
      <x:c r="C147" s="49" t="str">
        <x:f>IFERROR(INDEX('Offene Vorgänge'!$C$8:$C$207,MATCH(140,'Offene Vorgänge'!$I$8:$I$207,0)),"")</x:f>
      </x:c>
      <x:c r="D147" s="50" t="str">
        <x:f>IFERROR(INDEX('Offene Vorgänge'!$D$8:$D$207,MATCH(140,'Offene Vorgänge'!$I$8:$I$207,0)),"")</x:f>
      </x:c>
      <x:c r="E147" s="44" t="str">
        <x:f>IFERROR(INDEX('Offene Vorgänge'!$E$8:$E$207,MATCH(140,'Offene Vorgänge'!$I$8:$I$207,0)),"")</x:f>
      </x:c>
      <x:c r="F147" s="50" t="str">
        <x:f>IFERROR(INDEX('Offene Vorgänge'!$F$8:$F$207,MATCH(140,'Offene Vorgänge'!$I$8:$I$207,0)),"")</x:f>
      </x:c>
      <x:c r="G147" s="50" t="str">
        <x:f>IFERROR(INDEX('Offene Vorgänge'!$G$8:$G$207,MATCH(140,'Offene Vorgänge'!$I$8:$I$207,0)),"")</x:f>
      </x:c>
      <x:c r="H147" s="44" t="str">
        <x:f>IFERROR(INDEX('Offene Vorgänge'!$H$8:$H$207,MATCH(140,'Offene Vorgänge'!$I$8:$I$207,0)),"")</x:f>
      </x:c>
      <x:c r="I147" s="1"/>
      <x:c r="J147" s="1"/>
      <x:c r="K147" s="1"/>
      <x:c r="L147" s="1"/>
      <x:c r="M147" s="1"/>
      <x:c r="N147" s="1"/>
      <x:c r="O147" s="1"/>
      <x:c r="P147" s="1"/>
      <x:c r="Q147" s="1"/>
      <x:c r="R147" s="1"/>
      <x:c r="S147" s="1"/>
      <x:c r="T147" s="1"/>
    </x:row>
    <x:row r="148" ht="18" customHeight="1">
      <x:c r="A148" s="1"/>
      <x:c r="B148" s="47" t="str">
        <x:f>IF($E148="","",141)</x:f>
      </x:c>
      <x:c r="C148" s="49" t="str">
        <x:f>IFERROR(INDEX('Offene Vorgänge'!$C$8:$C$207,MATCH(141,'Offene Vorgänge'!$I$8:$I$207,0)),"")</x:f>
      </x:c>
      <x:c r="D148" s="50" t="str">
        <x:f>IFERROR(INDEX('Offene Vorgänge'!$D$8:$D$207,MATCH(141,'Offene Vorgänge'!$I$8:$I$207,0)),"")</x:f>
      </x:c>
      <x:c r="E148" s="44" t="str">
        <x:f>IFERROR(INDEX('Offene Vorgänge'!$E$8:$E$207,MATCH(141,'Offene Vorgänge'!$I$8:$I$207,0)),"")</x:f>
      </x:c>
      <x:c r="F148" s="50" t="str">
        <x:f>IFERROR(INDEX('Offene Vorgänge'!$F$8:$F$207,MATCH(141,'Offene Vorgänge'!$I$8:$I$207,0)),"")</x:f>
      </x:c>
      <x:c r="G148" s="50" t="str">
        <x:f>IFERROR(INDEX('Offene Vorgänge'!$G$8:$G$207,MATCH(141,'Offene Vorgänge'!$I$8:$I$207,0)),"")</x:f>
      </x:c>
      <x:c r="H148" s="44" t="str">
        <x:f>IFERROR(INDEX('Offene Vorgänge'!$H$8:$H$207,MATCH(141,'Offene Vorgänge'!$I$8:$I$207,0)),"")</x:f>
      </x:c>
      <x:c r="I148" s="1"/>
      <x:c r="J148" s="1"/>
      <x:c r="K148" s="1"/>
      <x:c r="L148" s="1"/>
      <x:c r="M148" s="1"/>
      <x:c r="N148" s="1"/>
      <x:c r="O148" s="1"/>
      <x:c r="P148" s="1"/>
      <x:c r="Q148" s="1"/>
      <x:c r="R148" s="1"/>
      <x:c r="S148" s="1"/>
      <x:c r="T148" s="1"/>
    </x:row>
    <x:row r="149" ht="18" customHeight="1">
      <x:c r="A149" s="1"/>
      <x:c r="B149" s="47" t="str">
        <x:f>IF($E149="","",142)</x:f>
      </x:c>
      <x:c r="C149" s="49" t="str">
        <x:f>IFERROR(INDEX('Offene Vorgänge'!$C$8:$C$207,MATCH(142,'Offene Vorgänge'!$I$8:$I$207,0)),"")</x:f>
      </x:c>
      <x:c r="D149" s="50" t="str">
        <x:f>IFERROR(INDEX('Offene Vorgänge'!$D$8:$D$207,MATCH(142,'Offene Vorgänge'!$I$8:$I$207,0)),"")</x:f>
      </x:c>
      <x:c r="E149" s="44" t="str">
        <x:f>IFERROR(INDEX('Offene Vorgänge'!$E$8:$E$207,MATCH(142,'Offene Vorgänge'!$I$8:$I$207,0)),"")</x:f>
      </x:c>
      <x:c r="F149" s="50" t="str">
        <x:f>IFERROR(INDEX('Offene Vorgänge'!$F$8:$F$207,MATCH(142,'Offene Vorgänge'!$I$8:$I$207,0)),"")</x:f>
      </x:c>
      <x:c r="G149" s="50" t="str">
        <x:f>IFERROR(INDEX('Offene Vorgänge'!$G$8:$G$207,MATCH(142,'Offene Vorgänge'!$I$8:$I$207,0)),"")</x:f>
      </x:c>
      <x:c r="H149" s="44" t="str">
        <x:f>IFERROR(INDEX('Offene Vorgänge'!$H$8:$H$207,MATCH(142,'Offene Vorgänge'!$I$8:$I$207,0)),"")</x:f>
      </x:c>
      <x:c r="I149" s="1"/>
      <x:c r="J149" s="1"/>
      <x:c r="K149" s="1"/>
      <x:c r="L149" s="1"/>
      <x:c r="M149" s="1"/>
      <x:c r="N149" s="1"/>
      <x:c r="O149" s="1"/>
      <x:c r="P149" s="1"/>
      <x:c r="Q149" s="1"/>
      <x:c r="R149" s="1"/>
      <x:c r="S149" s="1"/>
      <x:c r="T149" s="1"/>
    </x:row>
    <x:row r="150" ht="18" customHeight="1">
      <x:c r="A150" s="1"/>
      <x:c r="B150" s="47" t="str">
        <x:f>IF($E150="","",143)</x:f>
      </x:c>
      <x:c r="C150" s="49" t="str">
        <x:f>IFERROR(INDEX('Offene Vorgänge'!$C$8:$C$207,MATCH(143,'Offene Vorgänge'!$I$8:$I$207,0)),"")</x:f>
      </x:c>
      <x:c r="D150" s="50" t="str">
        <x:f>IFERROR(INDEX('Offene Vorgänge'!$D$8:$D$207,MATCH(143,'Offene Vorgänge'!$I$8:$I$207,0)),"")</x:f>
      </x:c>
      <x:c r="E150" s="44" t="str">
        <x:f>IFERROR(INDEX('Offene Vorgänge'!$E$8:$E$207,MATCH(143,'Offene Vorgänge'!$I$8:$I$207,0)),"")</x:f>
      </x:c>
      <x:c r="F150" s="50" t="str">
        <x:f>IFERROR(INDEX('Offene Vorgänge'!$F$8:$F$207,MATCH(143,'Offene Vorgänge'!$I$8:$I$207,0)),"")</x:f>
      </x:c>
      <x:c r="G150" s="50" t="str">
        <x:f>IFERROR(INDEX('Offene Vorgänge'!$G$8:$G$207,MATCH(143,'Offene Vorgänge'!$I$8:$I$207,0)),"")</x:f>
      </x:c>
      <x:c r="H150" s="44" t="str">
        <x:f>IFERROR(INDEX('Offene Vorgänge'!$H$8:$H$207,MATCH(143,'Offene Vorgänge'!$I$8:$I$207,0)),"")</x:f>
      </x:c>
      <x:c r="I150" s="1"/>
      <x:c r="J150" s="1"/>
      <x:c r="K150" s="1"/>
      <x:c r="L150" s="1"/>
      <x:c r="M150" s="1"/>
      <x:c r="N150" s="1"/>
      <x:c r="O150" s="1"/>
      <x:c r="P150" s="1"/>
      <x:c r="Q150" s="1"/>
      <x:c r="R150" s="1"/>
      <x:c r="S150" s="1"/>
      <x:c r="T150" s="1"/>
    </x:row>
    <x:row r="151" ht="18" customHeight="1">
      <x:c r="A151" s="1"/>
      <x:c r="B151" s="47" t="str">
        <x:f>IF($E151="","",144)</x:f>
      </x:c>
      <x:c r="C151" s="49" t="str">
        <x:f>IFERROR(INDEX('Offene Vorgänge'!$C$8:$C$207,MATCH(144,'Offene Vorgänge'!$I$8:$I$207,0)),"")</x:f>
      </x:c>
      <x:c r="D151" s="50" t="str">
        <x:f>IFERROR(INDEX('Offene Vorgänge'!$D$8:$D$207,MATCH(144,'Offene Vorgänge'!$I$8:$I$207,0)),"")</x:f>
      </x:c>
      <x:c r="E151" s="44" t="str">
        <x:f>IFERROR(INDEX('Offene Vorgänge'!$E$8:$E$207,MATCH(144,'Offene Vorgänge'!$I$8:$I$207,0)),"")</x:f>
      </x:c>
      <x:c r="F151" s="50" t="str">
        <x:f>IFERROR(INDEX('Offene Vorgänge'!$F$8:$F$207,MATCH(144,'Offene Vorgänge'!$I$8:$I$207,0)),"")</x:f>
      </x:c>
      <x:c r="G151" s="50" t="str">
        <x:f>IFERROR(INDEX('Offene Vorgänge'!$G$8:$G$207,MATCH(144,'Offene Vorgänge'!$I$8:$I$207,0)),"")</x:f>
      </x:c>
      <x:c r="H151" s="44" t="str">
        <x:f>IFERROR(INDEX('Offene Vorgänge'!$H$8:$H$207,MATCH(144,'Offene Vorgänge'!$I$8:$I$207,0)),"")</x:f>
      </x:c>
      <x:c r="I151" s="1"/>
      <x:c r="J151" s="1"/>
      <x:c r="K151" s="1"/>
      <x:c r="L151" s="1"/>
      <x:c r="M151" s="1"/>
      <x:c r="N151" s="1"/>
      <x:c r="O151" s="1"/>
      <x:c r="P151" s="1"/>
      <x:c r="Q151" s="1"/>
      <x:c r="R151" s="1"/>
      <x:c r="S151" s="1"/>
      <x:c r="T151" s="1"/>
    </x:row>
    <x:row r="152" ht="18" customHeight="1">
      <x:c r="A152" s="1"/>
      <x:c r="B152" s="47" t="str">
        <x:f>IF($E152="","",145)</x:f>
      </x:c>
      <x:c r="C152" s="49" t="str">
        <x:f>IFERROR(INDEX('Offene Vorgänge'!$C$8:$C$207,MATCH(145,'Offene Vorgänge'!$I$8:$I$207,0)),"")</x:f>
      </x:c>
      <x:c r="D152" s="50" t="str">
        <x:f>IFERROR(INDEX('Offene Vorgänge'!$D$8:$D$207,MATCH(145,'Offene Vorgänge'!$I$8:$I$207,0)),"")</x:f>
      </x:c>
      <x:c r="E152" s="44" t="str">
        <x:f>IFERROR(INDEX('Offene Vorgänge'!$E$8:$E$207,MATCH(145,'Offene Vorgänge'!$I$8:$I$207,0)),"")</x:f>
      </x:c>
      <x:c r="F152" s="50" t="str">
        <x:f>IFERROR(INDEX('Offene Vorgänge'!$F$8:$F$207,MATCH(145,'Offene Vorgänge'!$I$8:$I$207,0)),"")</x:f>
      </x:c>
      <x:c r="G152" s="50" t="str">
        <x:f>IFERROR(INDEX('Offene Vorgänge'!$G$8:$G$207,MATCH(145,'Offene Vorgänge'!$I$8:$I$207,0)),"")</x:f>
      </x:c>
      <x:c r="H152" s="44" t="str">
        <x:f>IFERROR(INDEX('Offene Vorgänge'!$H$8:$H$207,MATCH(145,'Offene Vorgänge'!$I$8:$I$207,0)),"")</x:f>
      </x:c>
      <x:c r="I152" s="1"/>
      <x:c r="J152" s="1"/>
      <x:c r="K152" s="1"/>
      <x:c r="L152" s="1"/>
      <x:c r="M152" s="1"/>
      <x:c r="N152" s="1"/>
      <x:c r="O152" s="1"/>
      <x:c r="P152" s="1"/>
      <x:c r="Q152" s="1"/>
      <x:c r="R152" s="1"/>
      <x:c r="S152" s="1"/>
      <x:c r="T152" s="1"/>
    </x:row>
    <x:row r="153" ht="18" customHeight="1">
      <x:c r="A153" s="1"/>
      <x:c r="B153" s="47" t="str">
        <x:f>IF($E153="","",146)</x:f>
      </x:c>
      <x:c r="C153" s="49" t="str">
        <x:f>IFERROR(INDEX('Offene Vorgänge'!$C$8:$C$207,MATCH(146,'Offene Vorgänge'!$I$8:$I$207,0)),"")</x:f>
      </x:c>
      <x:c r="D153" s="50" t="str">
        <x:f>IFERROR(INDEX('Offene Vorgänge'!$D$8:$D$207,MATCH(146,'Offene Vorgänge'!$I$8:$I$207,0)),"")</x:f>
      </x:c>
      <x:c r="E153" s="44" t="str">
        <x:f>IFERROR(INDEX('Offene Vorgänge'!$E$8:$E$207,MATCH(146,'Offene Vorgänge'!$I$8:$I$207,0)),"")</x:f>
      </x:c>
      <x:c r="F153" s="50" t="str">
        <x:f>IFERROR(INDEX('Offene Vorgänge'!$F$8:$F$207,MATCH(146,'Offene Vorgänge'!$I$8:$I$207,0)),"")</x:f>
      </x:c>
      <x:c r="G153" s="50" t="str">
        <x:f>IFERROR(INDEX('Offene Vorgänge'!$G$8:$G$207,MATCH(146,'Offene Vorgänge'!$I$8:$I$207,0)),"")</x:f>
      </x:c>
      <x:c r="H153" s="44" t="str">
        <x:f>IFERROR(INDEX('Offene Vorgänge'!$H$8:$H$207,MATCH(146,'Offene Vorgänge'!$I$8:$I$207,0)),"")</x:f>
      </x:c>
      <x:c r="I153" s="1"/>
      <x:c r="J153" s="1"/>
      <x:c r="K153" s="1"/>
      <x:c r="L153" s="1"/>
      <x:c r="M153" s="1"/>
      <x:c r="N153" s="1"/>
      <x:c r="O153" s="1"/>
      <x:c r="P153" s="1"/>
      <x:c r="Q153" s="1"/>
      <x:c r="R153" s="1"/>
      <x:c r="S153" s="1"/>
      <x:c r="T153" s="1"/>
    </x:row>
    <x:row r="154" ht="18" customHeight="1">
      <x:c r="A154" s="1"/>
      <x:c r="B154" s="47" t="str">
        <x:f>IF($E154="","",147)</x:f>
      </x:c>
      <x:c r="C154" s="49" t="str">
        <x:f>IFERROR(INDEX('Offene Vorgänge'!$C$8:$C$207,MATCH(147,'Offene Vorgänge'!$I$8:$I$207,0)),"")</x:f>
      </x:c>
      <x:c r="D154" s="50" t="str">
        <x:f>IFERROR(INDEX('Offene Vorgänge'!$D$8:$D$207,MATCH(147,'Offene Vorgänge'!$I$8:$I$207,0)),"")</x:f>
      </x:c>
      <x:c r="E154" s="44" t="str">
        <x:f>IFERROR(INDEX('Offene Vorgänge'!$E$8:$E$207,MATCH(147,'Offene Vorgänge'!$I$8:$I$207,0)),"")</x:f>
      </x:c>
      <x:c r="F154" s="50" t="str">
        <x:f>IFERROR(INDEX('Offene Vorgänge'!$F$8:$F$207,MATCH(147,'Offene Vorgänge'!$I$8:$I$207,0)),"")</x:f>
      </x:c>
      <x:c r="G154" s="50" t="str">
        <x:f>IFERROR(INDEX('Offene Vorgänge'!$G$8:$G$207,MATCH(147,'Offene Vorgänge'!$I$8:$I$207,0)),"")</x:f>
      </x:c>
      <x:c r="H154" s="44" t="str">
        <x:f>IFERROR(INDEX('Offene Vorgänge'!$H$8:$H$207,MATCH(147,'Offene Vorgänge'!$I$8:$I$207,0)),"")</x:f>
      </x:c>
      <x:c r="I154" s="1"/>
      <x:c r="J154" s="1"/>
      <x:c r="K154" s="1"/>
      <x:c r="L154" s="1"/>
      <x:c r="M154" s="1"/>
      <x:c r="N154" s="1"/>
      <x:c r="O154" s="1"/>
      <x:c r="P154" s="1"/>
      <x:c r="Q154" s="1"/>
      <x:c r="R154" s="1"/>
      <x:c r="S154" s="1"/>
      <x:c r="T154" s="1"/>
    </x:row>
    <x:row r="155" ht="18" customHeight="1">
      <x:c r="A155" s="1"/>
      <x:c r="B155" s="47" t="str">
        <x:f>IF($E155="","",148)</x:f>
      </x:c>
      <x:c r="C155" s="49" t="str">
        <x:f>IFERROR(INDEX('Offene Vorgänge'!$C$8:$C$207,MATCH(148,'Offene Vorgänge'!$I$8:$I$207,0)),"")</x:f>
      </x:c>
      <x:c r="D155" s="50" t="str">
        <x:f>IFERROR(INDEX('Offene Vorgänge'!$D$8:$D$207,MATCH(148,'Offene Vorgänge'!$I$8:$I$207,0)),"")</x:f>
      </x:c>
      <x:c r="E155" s="44" t="str">
        <x:f>IFERROR(INDEX('Offene Vorgänge'!$E$8:$E$207,MATCH(148,'Offene Vorgänge'!$I$8:$I$207,0)),"")</x:f>
      </x:c>
      <x:c r="F155" s="50" t="str">
        <x:f>IFERROR(INDEX('Offene Vorgänge'!$F$8:$F$207,MATCH(148,'Offene Vorgänge'!$I$8:$I$207,0)),"")</x:f>
      </x:c>
      <x:c r="G155" s="50" t="str">
        <x:f>IFERROR(INDEX('Offene Vorgänge'!$G$8:$G$207,MATCH(148,'Offene Vorgänge'!$I$8:$I$207,0)),"")</x:f>
      </x:c>
      <x:c r="H155" s="44" t="str">
        <x:f>IFERROR(INDEX('Offene Vorgänge'!$H$8:$H$207,MATCH(148,'Offene Vorgänge'!$I$8:$I$207,0)),"")</x:f>
      </x:c>
      <x:c r="I155" s="1"/>
      <x:c r="J155" s="1"/>
      <x:c r="K155" s="1"/>
      <x:c r="L155" s="1"/>
      <x:c r="M155" s="1"/>
      <x:c r="N155" s="1"/>
      <x:c r="O155" s="1"/>
      <x:c r="P155" s="1"/>
      <x:c r="Q155" s="1"/>
      <x:c r="R155" s="1"/>
      <x:c r="S155" s="1"/>
      <x:c r="T155" s="1"/>
    </x:row>
    <x:row r="156" ht="18" customHeight="1">
      <x:c r="A156" s="1"/>
      <x:c r="B156" s="47" t="str">
        <x:f>IF($E156="","",149)</x:f>
      </x:c>
      <x:c r="C156" s="49" t="str">
        <x:f>IFERROR(INDEX('Offene Vorgänge'!$C$8:$C$207,MATCH(149,'Offene Vorgänge'!$I$8:$I$207,0)),"")</x:f>
      </x:c>
      <x:c r="D156" s="50" t="str">
        <x:f>IFERROR(INDEX('Offene Vorgänge'!$D$8:$D$207,MATCH(149,'Offene Vorgänge'!$I$8:$I$207,0)),"")</x:f>
      </x:c>
      <x:c r="E156" s="44" t="str">
        <x:f>IFERROR(INDEX('Offene Vorgänge'!$E$8:$E$207,MATCH(149,'Offene Vorgänge'!$I$8:$I$207,0)),"")</x:f>
      </x:c>
      <x:c r="F156" s="50" t="str">
        <x:f>IFERROR(INDEX('Offene Vorgänge'!$F$8:$F$207,MATCH(149,'Offene Vorgänge'!$I$8:$I$207,0)),"")</x:f>
      </x:c>
      <x:c r="G156" s="50" t="str">
        <x:f>IFERROR(INDEX('Offene Vorgänge'!$G$8:$G$207,MATCH(149,'Offene Vorgänge'!$I$8:$I$207,0)),"")</x:f>
      </x:c>
      <x:c r="H156" s="44" t="str">
        <x:f>IFERROR(INDEX('Offene Vorgänge'!$H$8:$H$207,MATCH(149,'Offene Vorgänge'!$I$8:$I$207,0)),"")</x:f>
      </x:c>
      <x:c r="I156" s="1"/>
      <x:c r="J156" s="1"/>
      <x:c r="K156" s="1"/>
      <x:c r="L156" s="1"/>
      <x:c r="M156" s="1"/>
      <x:c r="N156" s="1"/>
      <x:c r="O156" s="1"/>
      <x:c r="P156" s="1"/>
      <x:c r="Q156" s="1"/>
      <x:c r="R156" s="1"/>
      <x:c r="S156" s="1"/>
      <x:c r="T156" s="1"/>
    </x:row>
    <x:row r="157" ht="18" customHeight="1">
      <x:c r="A157" s="1"/>
      <x:c r="B157" s="47" t="str">
        <x:f>IF($E157="","",150)</x:f>
      </x:c>
      <x:c r="C157" s="49" t="str">
        <x:f>IFERROR(INDEX('Offene Vorgänge'!$C$8:$C$207,MATCH(150,'Offene Vorgänge'!$I$8:$I$207,0)),"")</x:f>
      </x:c>
      <x:c r="D157" s="50" t="str">
        <x:f>IFERROR(INDEX('Offene Vorgänge'!$D$8:$D$207,MATCH(150,'Offene Vorgänge'!$I$8:$I$207,0)),"")</x:f>
      </x:c>
      <x:c r="E157" s="44" t="str">
        <x:f>IFERROR(INDEX('Offene Vorgänge'!$E$8:$E$207,MATCH(150,'Offene Vorgänge'!$I$8:$I$207,0)),"")</x:f>
      </x:c>
      <x:c r="F157" s="50" t="str">
        <x:f>IFERROR(INDEX('Offene Vorgänge'!$F$8:$F$207,MATCH(150,'Offene Vorgänge'!$I$8:$I$207,0)),"")</x:f>
      </x:c>
      <x:c r="G157" s="50" t="str">
        <x:f>IFERROR(INDEX('Offene Vorgänge'!$G$8:$G$207,MATCH(150,'Offene Vorgänge'!$I$8:$I$207,0)),"")</x:f>
      </x:c>
      <x:c r="H157" s="44" t="str">
        <x:f>IFERROR(INDEX('Offene Vorgänge'!$H$8:$H$207,MATCH(150,'Offene Vorgänge'!$I$8:$I$207,0)),"")</x:f>
      </x:c>
      <x:c r="I157" s="1"/>
      <x:c r="J157" s="1"/>
      <x:c r="K157" s="1"/>
      <x:c r="L157" s="1"/>
      <x:c r="M157" s="1"/>
      <x:c r="N157" s="1"/>
      <x:c r="O157" s="1"/>
      <x:c r="P157" s="1"/>
      <x:c r="Q157" s="1"/>
      <x:c r="R157" s="1"/>
      <x:c r="S157" s="1"/>
      <x:c r="T157" s="1"/>
    </x:row>
    <x:row r="158" ht="18" customHeight="1">
      <x:c r="A158" s="1"/>
      <x:c r="B158" s="47" t="str">
        <x:f>IF($E158="","",151)</x:f>
      </x:c>
      <x:c r="C158" s="49" t="str">
        <x:f>IFERROR(INDEX('Offene Vorgänge'!$C$8:$C$207,MATCH(151,'Offene Vorgänge'!$I$8:$I$207,0)),"")</x:f>
      </x:c>
      <x:c r="D158" s="50" t="str">
        <x:f>IFERROR(INDEX('Offene Vorgänge'!$D$8:$D$207,MATCH(151,'Offene Vorgänge'!$I$8:$I$207,0)),"")</x:f>
      </x:c>
      <x:c r="E158" s="44" t="str">
        <x:f>IFERROR(INDEX('Offene Vorgänge'!$E$8:$E$207,MATCH(151,'Offene Vorgänge'!$I$8:$I$207,0)),"")</x:f>
      </x:c>
      <x:c r="F158" s="50" t="str">
        <x:f>IFERROR(INDEX('Offene Vorgänge'!$F$8:$F$207,MATCH(151,'Offene Vorgänge'!$I$8:$I$207,0)),"")</x:f>
      </x:c>
      <x:c r="G158" s="50" t="str">
        <x:f>IFERROR(INDEX('Offene Vorgänge'!$G$8:$G$207,MATCH(151,'Offene Vorgänge'!$I$8:$I$207,0)),"")</x:f>
      </x:c>
      <x:c r="H158" s="44" t="str">
        <x:f>IFERROR(INDEX('Offene Vorgänge'!$H$8:$H$207,MATCH(151,'Offene Vorgänge'!$I$8:$I$207,0)),"")</x:f>
      </x:c>
      <x:c r="I158" s="1"/>
      <x:c r="J158" s="1"/>
      <x:c r="K158" s="1"/>
      <x:c r="L158" s="1"/>
      <x:c r="M158" s="1"/>
      <x:c r="N158" s="1"/>
      <x:c r="O158" s="1"/>
      <x:c r="P158" s="1"/>
      <x:c r="Q158" s="1"/>
      <x:c r="R158" s="1"/>
      <x:c r="S158" s="1"/>
      <x:c r="T158" s="1"/>
    </x:row>
    <x:row r="159" ht="18" customHeight="1">
      <x:c r="A159" s="1"/>
      <x:c r="B159" s="47" t="str">
        <x:f>IF($E159="","",152)</x:f>
      </x:c>
      <x:c r="C159" s="49" t="str">
        <x:f>IFERROR(INDEX('Offene Vorgänge'!$C$8:$C$207,MATCH(152,'Offene Vorgänge'!$I$8:$I$207,0)),"")</x:f>
      </x:c>
      <x:c r="D159" s="50" t="str">
        <x:f>IFERROR(INDEX('Offene Vorgänge'!$D$8:$D$207,MATCH(152,'Offene Vorgänge'!$I$8:$I$207,0)),"")</x:f>
      </x:c>
      <x:c r="E159" s="44" t="str">
        <x:f>IFERROR(INDEX('Offene Vorgänge'!$E$8:$E$207,MATCH(152,'Offene Vorgänge'!$I$8:$I$207,0)),"")</x:f>
      </x:c>
      <x:c r="F159" s="50" t="str">
        <x:f>IFERROR(INDEX('Offene Vorgänge'!$F$8:$F$207,MATCH(152,'Offene Vorgänge'!$I$8:$I$207,0)),"")</x:f>
      </x:c>
      <x:c r="G159" s="50" t="str">
        <x:f>IFERROR(INDEX('Offene Vorgänge'!$G$8:$G$207,MATCH(152,'Offene Vorgänge'!$I$8:$I$207,0)),"")</x:f>
      </x:c>
      <x:c r="H159" s="44" t="str">
        <x:f>IFERROR(INDEX('Offene Vorgänge'!$H$8:$H$207,MATCH(152,'Offene Vorgänge'!$I$8:$I$207,0)),"")</x:f>
      </x:c>
      <x:c r="I159" s="1"/>
      <x:c r="J159" s="1"/>
      <x:c r="K159" s="1"/>
      <x:c r="L159" s="1"/>
      <x:c r="M159" s="1"/>
      <x:c r="N159" s="1"/>
      <x:c r="O159" s="1"/>
      <x:c r="P159" s="1"/>
      <x:c r="Q159" s="1"/>
      <x:c r="R159" s="1"/>
      <x:c r="S159" s="1"/>
      <x:c r="T159" s="1"/>
    </x:row>
    <x:row r="160" ht="18" customHeight="1">
      <x:c r="A160" s="1"/>
      <x:c r="B160" s="47" t="str">
        <x:f>IF($E160="","",153)</x:f>
      </x:c>
      <x:c r="C160" s="49" t="str">
        <x:f>IFERROR(INDEX('Offene Vorgänge'!$C$8:$C$207,MATCH(153,'Offene Vorgänge'!$I$8:$I$207,0)),"")</x:f>
      </x:c>
      <x:c r="D160" s="50" t="str">
        <x:f>IFERROR(INDEX('Offene Vorgänge'!$D$8:$D$207,MATCH(153,'Offene Vorgänge'!$I$8:$I$207,0)),"")</x:f>
      </x:c>
      <x:c r="E160" s="44" t="str">
        <x:f>IFERROR(INDEX('Offene Vorgänge'!$E$8:$E$207,MATCH(153,'Offene Vorgänge'!$I$8:$I$207,0)),"")</x:f>
      </x:c>
      <x:c r="F160" s="50" t="str">
        <x:f>IFERROR(INDEX('Offene Vorgänge'!$F$8:$F$207,MATCH(153,'Offene Vorgänge'!$I$8:$I$207,0)),"")</x:f>
      </x:c>
      <x:c r="G160" s="50" t="str">
        <x:f>IFERROR(INDEX('Offene Vorgänge'!$G$8:$G$207,MATCH(153,'Offene Vorgänge'!$I$8:$I$207,0)),"")</x:f>
      </x:c>
      <x:c r="H160" s="44" t="str">
        <x:f>IFERROR(INDEX('Offene Vorgänge'!$H$8:$H$207,MATCH(153,'Offene Vorgänge'!$I$8:$I$207,0)),"")</x:f>
      </x:c>
      <x:c r="I160" s="1"/>
      <x:c r="J160" s="1"/>
      <x:c r="K160" s="1"/>
      <x:c r="L160" s="1"/>
      <x:c r="M160" s="1"/>
      <x:c r="N160" s="1"/>
      <x:c r="O160" s="1"/>
      <x:c r="P160" s="1"/>
      <x:c r="Q160" s="1"/>
      <x:c r="R160" s="1"/>
      <x:c r="S160" s="1"/>
      <x:c r="T160" s="1"/>
    </x:row>
    <x:row r="161" ht="18" customHeight="1">
      <x:c r="A161" s="1"/>
      <x:c r="B161" s="47" t="str">
        <x:f>IF($E161="","",154)</x:f>
      </x:c>
      <x:c r="C161" s="49" t="str">
        <x:f>IFERROR(INDEX('Offene Vorgänge'!$C$8:$C$207,MATCH(154,'Offene Vorgänge'!$I$8:$I$207,0)),"")</x:f>
      </x:c>
      <x:c r="D161" s="50" t="str">
        <x:f>IFERROR(INDEX('Offene Vorgänge'!$D$8:$D$207,MATCH(154,'Offene Vorgänge'!$I$8:$I$207,0)),"")</x:f>
      </x:c>
      <x:c r="E161" s="44" t="str">
        <x:f>IFERROR(INDEX('Offene Vorgänge'!$E$8:$E$207,MATCH(154,'Offene Vorgänge'!$I$8:$I$207,0)),"")</x:f>
      </x:c>
      <x:c r="F161" s="50" t="str">
        <x:f>IFERROR(INDEX('Offene Vorgänge'!$F$8:$F$207,MATCH(154,'Offene Vorgänge'!$I$8:$I$207,0)),"")</x:f>
      </x:c>
      <x:c r="G161" s="50" t="str">
        <x:f>IFERROR(INDEX('Offene Vorgänge'!$G$8:$G$207,MATCH(154,'Offene Vorgänge'!$I$8:$I$207,0)),"")</x:f>
      </x:c>
      <x:c r="H161" s="44" t="str">
        <x:f>IFERROR(INDEX('Offene Vorgänge'!$H$8:$H$207,MATCH(154,'Offene Vorgänge'!$I$8:$I$207,0)),"")</x:f>
      </x:c>
      <x:c r="I161" s="1"/>
      <x:c r="J161" s="1"/>
      <x:c r="K161" s="1"/>
      <x:c r="L161" s="1"/>
      <x:c r="M161" s="1"/>
      <x:c r="N161" s="1"/>
      <x:c r="O161" s="1"/>
      <x:c r="P161" s="1"/>
      <x:c r="Q161" s="1"/>
      <x:c r="R161" s="1"/>
      <x:c r="S161" s="1"/>
      <x:c r="T161" s="1"/>
    </x:row>
    <x:row r="162" ht="18" customHeight="1">
      <x:c r="A162" s="1"/>
      <x:c r="B162" s="47" t="str">
        <x:f>IF($E162="","",155)</x:f>
      </x:c>
      <x:c r="C162" s="49" t="str">
        <x:f>IFERROR(INDEX('Offene Vorgänge'!$C$8:$C$207,MATCH(155,'Offene Vorgänge'!$I$8:$I$207,0)),"")</x:f>
      </x:c>
      <x:c r="D162" s="50" t="str">
        <x:f>IFERROR(INDEX('Offene Vorgänge'!$D$8:$D$207,MATCH(155,'Offene Vorgänge'!$I$8:$I$207,0)),"")</x:f>
      </x:c>
      <x:c r="E162" s="44" t="str">
        <x:f>IFERROR(INDEX('Offene Vorgänge'!$E$8:$E$207,MATCH(155,'Offene Vorgänge'!$I$8:$I$207,0)),"")</x:f>
      </x:c>
      <x:c r="F162" s="50" t="str">
        <x:f>IFERROR(INDEX('Offene Vorgänge'!$F$8:$F$207,MATCH(155,'Offene Vorgänge'!$I$8:$I$207,0)),"")</x:f>
      </x:c>
      <x:c r="G162" s="50" t="str">
        <x:f>IFERROR(INDEX('Offene Vorgänge'!$G$8:$G$207,MATCH(155,'Offene Vorgänge'!$I$8:$I$207,0)),"")</x:f>
      </x:c>
      <x:c r="H162" s="44" t="str">
        <x:f>IFERROR(INDEX('Offene Vorgänge'!$H$8:$H$207,MATCH(155,'Offene Vorgänge'!$I$8:$I$207,0)),"")</x:f>
      </x:c>
      <x:c r="I162" s="1"/>
      <x:c r="J162" s="1"/>
      <x:c r="K162" s="1"/>
      <x:c r="L162" s="1"/>
      <x:c r="M162" s="1"/>
      <x:c r="N162" s="1"/>
      <x:c r="O162" s="1"/>
      <x:c r="P162" s="1"/>
      <x:c r="Q162" s="1"/>
      <x:c r="R162" s="1"/>
      <x:c r="S162" s="1"/>
      <x:c r="T162" s="1"/>
    </x:row>
    <x:row r="163" ht="18" customHeight="1">
      <x:c r="A163" s="1"/>
      <x:c r="B163" s="47" t="str">
        <x:f>IF($E163="","",156)</x:f>
      </x:c>
      <x:c r="C163" s="49" t="str">
        <x:f>IFERROR(INDEX('Offene Vorgänge'!$C$8:$C$207,MATCH(156,'Offene Vorgänge'!$I$8:$I$207,0)),"")</x:f>
      </x:c>
      <x:c r="D163" s="50" t="str">
        <x:f>IFERROR(INDEX('Offene Vorgänge'!$D$8:$D$207,MATCH(156,'Offene Vorgänge'!$I$8:$I$207,0)),"")</x:f>
      </x:c>
      <x:c r="E163" s="44" t="str">
        <x:f>IFERROR(INDEX('Offene Vorgänge'!$E$8:$E$207,MATCH(156,'Offene Vorgänge'!$I$8:$I$207,0)),"")</x:f>
      </x:c>
      <x:c r="F163" s="50" t="str">
        <x:f>IFERROR(INDEX('Offene Vorgänge'!$F$8:$F$207,MATCH(156,'Offene Vorgänge'!$I$8:$I$207,0)),"")</x:f>
      </x:c>
      <x:c r="G163" s="50" t="str">
        <x:f>IFERROR(INDEX('Offene Vorgänge'!$G$8:$G$207,MATCH(156,'Offene Vorgänge'!$I$8:$I$207,0)),"")</x:f>
      </x:c>
      <x:c r="H163" s="44" t="str">
        <x:f>IFERROR(INDEX('Offene Vorgänge'!$H$8:$H$207,MATCH(156,'Offene Vorgänge'!$I$8:$I$207,0)),"")</x:f>
      </x:c>
      <x:c r="I163" s="1"/>
      <x:c r="J163" s="1"/>
      <x:c r="K163" s="1"/>
      <x:c r="L163" s="1"/>
      <x:c r="M163" s="1"/>
      <x:c r="N163" s="1"/>
      <x:c r="O163" s="1"/>
      <x:c r="P163" s="1"/>
      <x:c r="Q163" s="1"/>
      <x:c r="R163" s="1"/>
      <x:c r="S163" s="1"/>
      <x:c r="T163" s="1"/>
    </x:row>
    <x:row r="164" ht="18" customHeight="1">
      <x:c r="A164" s="1"/>
      <x:c r="B164" s="47" t="str">
        <x:f>IF($E164="","",157)</x:f>
      </x:c>
      <x:c r="C164" s="49" t="str">
        <x:f>IFERROR(INDEX('Offene Vorgänge'!$C$8:$C$207,MATCH(157,'Offene Vorgänge'!$I$8:$I$207,0)),"")</x:f>
      </x:c>
      <x:c r="D164" s="50" t="str">
        <x:f>IFERROR(INDEX('Offene Vorgänge'!$D$8:$D$207,MATCH(157,'Offene Vorgänge'!$I$8:$I$207,0)),"")</x:f>
      </x:c>
      <x:c r="E164" s="44" t="str">
        <x:f>IFERROR(INDEX('Offene Vorgänge'!$E$8:$E$207,MATCH(157,'Offene Vorgänge'!$I$8:$I$207,0)),"")</x:f>
      </x:c>
      <x:c r="F164" s="50" t="str">
        <x:f>IFERROR(INDEX('Offene Vorgänge'!$F$8:$F$207,MATCH(157,'Offene Vorgänge'!$I$8:$I$207,0)),"")</x:f>
      </x:c>
      <x:c r="G164" s="50" t="str">
        <x:f>IFERROR(INDEX('Offene Vorgänge'!$G$8:$G$207,MATCH(157,'Offene Vorgänge'!$I$8:$I$207,0)),"")</x:f>
      </x:c>
      <x:c r="H164" s="44" t="str">
        <x:f>IFERROR(INDEX('Offene Vorgänge'!$H$8:$H$207,MATCH(157,'Offene Vorgänge'!$I$8:$I$207,0)),"")</x:f>
      </x:c>
      <x:c r="I164" s="1"/>
      <x:c r="J164" s="1"/>
      <x:c r="K164" s="1"/>
      <x:c r="L164" s="1"/>
      <x:c r="M164" s="1"/>
      <x:c r="N164" s="1"/>
      <x:c r="O164" s="1"/>
      <x:c r="P164" s="1"/>
      <x:c r="Q164" s="1"/>
      <x:c r="R164" s="1"/>
      <x:c r="S164" s="1"/>
      <x:c r="T164" s="1"/>
    </x:row>
    <x:row r="165" ht="18" customHeight="1">
      <x:c r="A165" s="1"/>
      <x:c r="B165" s="47" t="str">
        <x:f>IF($E165="","",158)</x:f>
      </x:c>
      <x:c r="C165" s="49" t="str">
        <x:f>IFERROR(INDEX('Offene Vorgänge'!$C$8:$C$207,MATCH(158,'Offene Vorgänge'!$I$8:$I$207,0)),"")</x:f>
      </x:c>
      <x:c r="D165" s="50" t="str">
        <x:f>IFERROR(INDEX('Offene Vorgänge'!$D$8:$D$207,MATCH(158,'Offene Vorgänge'!$I$8:$I$207,0)),"")</x:f>
      </x:c>
      <x:c r="E165" s="44" t="str">
        <x:f>IFERROR(INDEX('Offene Vorgänge'!$E$8:$E$207,MATCH(158,'Offene Vorgänge'!$I$8:$I$207,0)),"")</x:f>
      </x:c>
      <x:c r="F165" s="50" t="str">
        <x:f>IFERROR(INDEX('Offene Vorgänge'!$F$8:$F$207,MATCH(158,'Offene Vorgänge'!$I$8:$I$207,0)),"")</x:f>
      </x:c>
      <x:c r="G165" s="50" t="str">
        <x:f>IFERROR(INDEX('Offene Vorgänge'!$G$8:$G$207,MATCH(158,'Offene Vorgänge'!$I$8:$I$207,0)),"")</x:f>
      </x:c>
      <x:c r="H165" s="44" t="str">
        <x:f>IFERROR(INDEX('Offene Vorgänge'!$H$8:$H$207,MATCH(158,'Offene Vorgänge'!$I$8:$I$207,0)),"")</x:f>
      </x:c>
      <x:c r="I165" s="1"/>
      <x:c r="J165" s="1"/>
      <x:c r="K165" s="1"/>
      <x:c r="L165" s="1"/>
      <x:c r="M165" s="1"/>
      <x:c r="N165" s="1"/>
      <x:c r="O165" s="1"/>
      <x:c r="P165" s="1"/>
      <x:c r="Q165" s="1"/>
      <x:c r="R165" s="1"/>
      <x:c r="S165" s="1"/>
      <x:c r="T165" s="1"/>
    </x:row>
    <x:row r="166" ht="18" customHeight="1">
      <x:c r="A166" s="1"/>
      <x:c r="B166" s="47" t="str">
        <x:f>IF($E166="","",159)</x:f>
      </x:c>
      <x:c r="C166" s="49" t="str">
        <x:f>IFERROR(INDEX('Offene Vorgänge'!$C$8:$C$207,MATCH(159,'Offene Vorgänge'!$I$8:$I$207,0)),"")</x:f>
      </x:c>
      <x:c r="D166" s="50" t="str">
        <x:f>IFERROR(INDEX('Offene Vorgänge'!$D$8:$D$207,MATCH(159,'Offene Vorgänge'!$I$8:$I$207,0)),"")</x:f>
      </x:c>
      <x:c r="E166" s="44" t="str">
        <x:f>IFERROR(INDEX('Offene Vorgänge'!$E$8:$E$207,MATCH(159,'Offene Vorgänge'!$I$8:$I$207,0)),"")</x:f>
      </x:c>
      <x:c r="F166" s="50" t="str">
        <x:f>IFERROR(INDEX('Offene Vorgänge'!$F$8:$F$207,MATCH(159,'Offene Vorgänge'!$I$8:$I$207,0)),"")</x:f>
      </x:c>
      <x:c r="G166" s="50" t="str">
        <x:f>IFERROR(INDEX('Offene Vorgänge'!$G$8:$G$207,MATCH(159,'Offene Vorgänge'!$I$8:$I$207,0)),"")</x:f>
      </x:c>
      <x:c r="H166" s="44" t="str">
        <x:f>IFERROR(INDEX('Offene Vorgänge'!$H$8:$H$207,MATCH(159,'Offene Vorgänge'!$I$8:$I$207,0)),"")</x:f>
      </x:c>
      <x:c r="I166" s="1"/>
      <x:c r="J166" s="1"/>
      <x:c r="K166" s="1"/>
      <x:c r="L166" s="1"/>
      <x:c r="M166" s="1"/>
      <x:c r="N166" s="1"/>
      <x:c r="O166" s="1"/>
      <x:c r="P166" s="1"/>
      <x:c r="Q166" s="1"/>
      <x:c r="R166" s="1"/>
      <x:c r="S166" s="1"/>
      <x:c r="T166" s="1"/>
    </x:row>
    <x:row r="167" ht="18" customHeight="1">
      <x:c r="A167" s="1"/>
      <x:c r="B167" s="47" t="str">
        <x:f>IF($E167="","",160)</x:f>
      </x:c>
      <x:c r="C167" s="49" t="str">
        <x:f>IFERROR(INDEX('Offene Vorgänge'!$C$8:$C$207,MATCH(160,'Offene Vorgänge'!$I$8:$I$207,0)),"")</x:f>
      </x:c>
      <x:c r="D167" s="50" t="str">
        <x:f>IFERROR(INDEX('Offene Vorgänge'!$D$8:$D$207,MATCH(160,'Offene Vorgänge'!$I$8:$I$207,0)),"")</x:f>
      </x:c>
      <x:c r="E167" s="44" t="str">
        <x:f>IFERROR(INDEX('Offene Vorgänge'!$E$8:$E$207,MATCH(160,'Offene Vorgänge'!$I$8:$I$207,0)),"")</x:f>
      </x:c>
      <x:c r="F167" s="50" t="str">
        <x:f>IFERROR(INDEX('Offene Vorgänge'!$F$8:$F$207,MATCH(160,'Offene Vorgänge'!$I$8:$I$207,0)),"")</x:f>
      </x:c>
      <x:c r="G167" s="50" t="str">
        <x:f>IFERROR(INDEX('Offene Vorgänge'!$G$8:$G$207,MATCH(160,'Offene Vorgänge'!$I$8:$I$207,0)),"")</x:f>
      </x:c>
      <x:c r="H167" s="44" t="str">
        <x:f>IFERROR(INDEX('Offene Vorgänge'!$H$8:$H$207,MATCH(160,'Offene Vorgänge'!$I$8:$I$207,0)),"")</x:f>
      </x:c>
      <x:c r="I167" s="1"/>
      <x:c r="J167" s="1"/>
      <x:c r="K167" s="1"/>
      <x:c r="L167" s="1"/>
      <x:c r="M167" s="1"/>
      <x:c r="N167" s="1"/>
      <x:c r="O167" s="1"/>
      <x:c r="P167" s="1"/>
      <x:c r="Q167" s="1"/>
      <x:c r="R167" s="1"/>
      <x:c r="S167" s="1"/>
      <x:c r="T167" s="1"/>
    </x:row>
    <x:row r="168" ht="18" customHeight="1">
      <x:c r="A168" s="1"/>
      <x:c r="B168" s="47" t="str">
        <x:f>IF($E168="","",161)</x:f>
      </x:c>
      <x:c r="C168" s="49" t="str">
        <x:f>IFERROR(INDEX('Offene Vorgänge'!$C$8:$C$207,MATCH(161,'Offene Vorgänge'!$I$8:$I$207,0)),"")</x:f>
      </x:c>
      <x:c r="D168" s="50" t="str">
        <x:f>IFERROR(INDEX('Offene Vorgänge'!$D$8:$D$207,MATCH(161,'Offene Vorgänge'!$I$8:$I$207,0)),"")</x:f>
      </x:c>
      <x:c r="E168" s="44" t="str">
        <x:f>IFERROR(INDEX('Offene Vorgänge'!$E$8:$E$207,MATCH(161,'Offene Vorgänge'!$I$8:$I$207,0)),"")</x:f>
      </x:c>
      <x:c r="F168" s="50" t="str">
        <x:f>IFERROR(INDEX('Offene Vorgänge'!$F$8:$F$207,MATCH(161,'Offene Vorgänge'!$I$8:$I$207,0)),"")</x:f>
      </x:c>
      <x:c r="G168" s="50" t="str">
        <x:f>IFERROR(INDEX('Offene Vorgänge'!$G$8:$G$207,MATCH(161,'Offene Vorgänge'!$I$8:$I$207,0)),"")</x:f>
      </x:c>
      <x:c r="H168" s="44" t="str">
        <x:f>IFERROR(INDEX('Offene Vorgänge'!$H$8:$H$207,MATCH(161,'Offene Vorgänge'!$I$8:$I$207,0)),"")</x:f>
      </x:c>
      <x:c r="I168" s="1"/>
      <x:c r="J168" s="1"/>
      <x:c r="K168" s="1"/>
      <x:c r="L168" s="1"/>
      <x:c r="M168" s="1"/>
      <x:c r="N168" s="1"/>
      <x:c r="O168" s="1"/>
      <x:c r="P168" s="1"/>
      <x:c r="Q168" s="1"/>
      <x:c r="R168" s="1"/>
      <x:c r="S168" s="1"/>
      <x:c r="T168" s="1"/>
    </x:row>
    <x:row r="169" ht="18" customHeight="1">
      <x:c r="A169" s="1"/>
      <x:c r="B169" s="47" t="str">
        <x:f>IF($E169="","",162)</x:f>
      </x:c>
      <x:c r="C169" s="49" t="str">
        <x:f>IFERROR(INDEX('Offene Vorgänge'!$C$8:$C$207,MATCH(162,'Offene Vorgänge'!$I$8:$I$207,0)),"")</x:f>
      </x:c>
      <x:c r="D169" s="50" t="str">
        <x:f>IFERROR(INDEX('Offene Vorgänge'!$D$8:$D$207,MATCH(162,'Offene Vorgänge'!$I$8:$I$207,0)),"")</x:f>
      </x:c>
      <x:c r="E169" s="44" t="str">
        <x:f>IFERROR(INDEX('Offene Vorgänge'!$E$8:$E$207,MATCH(162,'Offene Vorgänge'!$I$8:$I$207,0)),"")</x:f>
      </x:c>
      <x:c r="F169" s="50" t="str">
        <x:f>IFERROR(INDEX('Offene Vorgänge'!$F$8:$F$207,MATCH(162,'Offene Vorgänge'!$I$8:$I$207,0)),"")</x:f>
      </x:c>
      <x:c r="G169" s="50" t="str">
        <x:f>IFERROR(INDEX('Offene Vorgänge'!$G$8:$G$207,MATCH(162,'Offene Vorgänge'!$I$8:$I$207,0)),"")</x:f>
      </x:c>
      <x:c r="H169" s="44" t="str">
        <x:f>IFERROR(INDEX('Offene Vorgänge'!$H$8:$H$207,MATCH(162,'Offene Vorgänge'!$I$8:$I$207,0)),"")</x:f>
      </x:c>
      <x:c r="I169" s="1"/>
      <x:c r="J169" s="1"/>
      <x:c r="K169" s="1"/>
      <x:c r="L169" s="1"/>
      <x:c r="M169" s="1"/>
      <x:c r="N169" s="1"/>
      <x:c r="O169" s="1"/>
      <x:c r="P169" s="1"/>
      <x:c r="Q169" s="1"/>
      <x:c r="R169" s="1"/>
      <x:c r="S169" s="1"/>
      <x:c r="T169" s="1"/>
    </x:row>
    <x:row r="170" ht="18" customHeight="1">
      <x:c r="A170" s="1"/>
      <x:c r="B170" s="47" t="str">
        <x:f>IF($E170="","",163)</x:f>
      </x:c>
      <x:c r="C170" s="49" t="str">
        <x:f>IFERROR(INDEX('Offene Vorgänge'!$C$8:$C$207,MATCH(163,'Offene Vorgänge'!$I$8:$I$207,0)),"")</x:f>
      </x:c>
      <x:c r="D170" s="50" t="str">
        <x:f>IFERROR(INDEX('Offene Vorgänge'!$D$8:$D$207,MATCH(163,'Offene Vorgänge'!$I$8:$I$207,0)),"")</x:f>
      </x:c>
      <x:c r="E170" s="44" t="str">
        <x:f>IFERROR(INDEX('Offene Vorgänge'!$E$8:$E$207,MATCH(163,'Offene Vorgänge'!$I$8:$I$207,0)),"")</x:f>
      </x:c>
      <x:c r="F170" s="50" t="str">
        <x:f>IFERROR(INDEX('Offene Vorgänge'!$F$8:$F$207,MATCH(163,'Offene Vorgänge'!$I$8:$I$207,0)),"")</x:f>
      </x:c>
      <x:c r="G170" s="50" t="str">
        <x:f>IFERROR(INDEX('Offene Vorgänge'!$G$8:$G$207,MATCH(163,'Offene Vorgänge'!$I$8:$I$207,0)),"")</x:f>
      </x:c>
      <x:c r="H170" s="44" t="str">
        <x:f>IFERROR(INDEX('Offene Vorgänge'!$H$8:$H$207,MATCH(163,'Offene Vorgänge'!$I$8:$I$207,0)),"")</x:f>
      </x:c>
      <x:c r="I170" s="1"/>
      <x:c r="J170" s="1"/>
      <x:c r="K170" s="1"/>
      <x:c r="L170" s="1"/>
      <x:c r="M170" s="1"/>
      <x:c r="N170" s="1"/>
      <x:c r="O170" s="1"/>
      <x:c r="P170" s="1"/>
      <x:c r="Q170" s="1"/>
      <x:c r="R170" s="1"/>
      <x:c r="S170" s="1"/>
      <x:c r="T170" s="1"/>
    </x:row>
    <x:row r="171" ht="18" customHeight="1">
      <x:c r="A171" s="1"/>
      <x:c r="B171" s="47" t="str">
        <x:f>IF($E171="","",164)</x:f>
      </x:c>
      <x:c r="C171" s="49" t="str">
        <x:f>IFERROR(INDEX('Offene Vorgänge'!$C$8:$C$207,MATCH(164,'Offene Vorgänge'!$I$8:$I$207,0)),"")</x:f>
      </x:c>
      <x:c r="D171" s="50" t="str">
        <x:f>IFERROR(INDEX('Offene Vorgänge'!$D$8:$D$207,MATCH(164,'Offene Vorgänge'!$I$8:$I$207,0)),"")</x:f>
      </x:c>
      <x:c r="E171" s="44" t="str">
        <x:f>IFERROR(INDEX('Offene Vorgänge'!$E$8:$E$207,MATCH(164,'Offene Vorgänge'!$I$8:$I$207,0)),"")</x:f>
      </x:c>
      <x:c r="F171" s="50" t="str">
        <x:f>IFERROR(INDEX('Offene Vorgänge'!$F$8:$F$207,MATCH(164,'Offene Vorgänge'!$I$8:$I$207,0)),"")</x:f>
      </x:c>
      <x:c r="G171" s="50" t="str">
        <x:f>IFERROR(INDEX('Offene Vorgänge'!$G$8:$G$207,MATCH(164,'Offene Vorgänge'!$I$8:$I$207,0)),"")</x:f>
      </x:c>
      <x:c r="H171" s="44" t="str">
        <x:f>IFERROR(INDEX('Offene Vorgänge'!$H$8:$H$207,MATCH(164,'Offene Vorgänge'!$I$8:$I$207,0)),"")</x:f>
      </x:c>
      <x:c r="I171" s="1"/>
      <x:c r="J171" s="1"/>
      <x:c r="K171" s="1"/>
      <x:c r="L171" s="1"/>
      <x:c r="M171" s="1"/>
      <x:c r="N171" s="1"/>
      <x:c r="O171" s="1"/>
      <x:c r="P171" s="1"/>
      <x:c r="Q171" s="1"/>
      <x:c r="R171" s="1"/>
      <x:c r="S171" s="1"/>
      <x:c r="T171" s="1"/>
    </x:row>
    <x:row r="172" ht="18" customHeight="1">
      <x:c r="A172" s="1"/>
      <x:c r="B172" s="47" t="str">
        <x:f>IF($E172="","",165)</x:f>
      </x:c>
      <x:c r="C172" s="49" t="str">
        <x:f>IFERROR(INDEX('Offene Vorgänge'!$C$8:$C$207,MATCH(165,'Offene Vorgänge'!$I$8:$I$207,0)),"")</x:f>
      </x:c>
      <x:c r="D172" s="50" t="str">
        <x:f>IFERROR(INDEX('Offene Vorgänge'!$D$8:$D$207,MATCH(165,'Offene Vorgänge'!$I$8:$I$207,0)),"")</x:f>
      </x:c>
      <x:c r="E172" s="44" t="str">
        <x:f>IFERROR(INDEX('Offene Vorgänge'!$E$8:$E$207,MATCH(165,'Offene Vorgänge'!$I$8:$I$207,0)),"")</x:f>
      </x:c>
      <x:c r="F172" s="50" t="str">
        <x:f>IFERROR(INDEX('Offene Vorgänge'!$F$8:$F$207,MATCH(165,'Offene Vorgänge'!$I$8:$I$207,0)),"")</x:f>
      </x:c>
      <x:c r="G172" s="50" t="str">
        <x:f>IFERROR(INDEX('Offene Vorgänge'!$G$8:$G$207,MATCH(165,'Offene Vorgänge'!$I$8:$I$207,0)),"")</x:f>
      </x:c>
      <x:c r="H172" s="44" t="str">
        <x:f>IFERROR(INDEX('Offene Vorgänge'!$H$8:$H$207,MATCH(165,'Offene Vorgänge'!$I$8:$I$207,0)),"")</x:f>
      </x:c>
      <x:c r="I172" s="1"/>
      <x:c r="J172" s="1"/>
      <x:c r="K172" s="1"/>
      <x:c r="L172" s="1"/>
      <x:c r="M172" s="1"/>
      <x:c r="N172" s="1"/>
      <x:c r="O172" s="1"/>
      <x:c r="P172" s="1"/>
      <x:c r="Q172" s="1"/>
      <x:c r="R172" s="1"/>
      <x:c r="S172" s="1"/>
      <x:c r="T172" s="1"/>
    </x:row>
    <x:row r="173" ht="18" customHeight="1">
      <x:c r="A173" s="1"/>
      <x:c r="B173" s="47" t="str">
        <x:f>IF($E173="","",166)</x:f>
      </x:c>
      <x:c r="C173" s="49" t="str">
        <x:f>IFERROR(INDEX('Offene Vorgänge'!$C$8:$C$207,MATCH(166,'Offene Vorgänge'!$I$8:$I$207,0)),"")</x:f>
      </x:c>
      <x:c r="D173" s="50" t="str">
        <x:f>IFERROR(INDEX('Offene Vorgänge'!$D$8:$D$207,MATCH(166,'Offene Vorgänge'!$I$8:$I$207,0)),"")</x:f>
      </x:c>
      <x:c r="E173" s="44" t="str">
        <x:f>IFERROR(INDEX('Offene Vorgänge'!$E$8:$E$207,MATCH(166,'Offene Vorgänge'!$I$8:$I$207,0)),"")</x:f>
      </x:c>
      <x:c r="F173" s="50" t="str">
        <x:f>IFERROR(INDEX('Offene Vorgänge'!$F$8:$F$207,MATCH(166,'Offene Vorgänge'!$I$8:$I$207,0)),"")</x:f>
      </x:c>
      <x:c r="G173" s="50" t="str">
        <x:f>IFERROR(INDEX('Offene Vorgänge'!$G$8:$G$207,MATCH(166,'Offene Vorgänge'!$I$8:$I$207,0)),"")</x:f>
      </x:c>
      <x:c r="H173" s="44" t="str">
        <x:f>IFERROR(INDEX('Offene Vorgänge'!$H$8:$H$207,MATCH(166,'Offene Vorgänge'!$I$8:$I$207,0)),"")</x:f>
      </x:c>
      <x:c r="I173" s="1"/>
      <x:c r="J173" s="1"/>
      <x:c r="K173" s="1"/>
      <x:c r="L173" s="1"/>
      <x:c r="M173" s="1"/>
      <x:c r="N173" s="1"/>
      <x:c r="O173" s="1"/>
      <x:c r="P173" s="1"/>
      <x:c r="Q173" s="1"/>
      <x:c r="R173" s="1"/>
      <x:c r="S173" s="1"/>
      <x:c r="T173" s="1"/>
    </x:row>
    <x:row r="174" ht="18" customHeight="1">
      <x:c r="A174" s="1"/>
      <x:c r="B174" s="47" t="str">
        <x:f>IF($E174="","",167)</x:f>
      </x:c>
      <x:c r="C174" s="49" t="str">
        <x:f>IFERROR(INDEX('Offene Vorgänge'!$C$8:$C$207,MATCH(167,'Offene Vorgänge'!$I$8:$I$207,0)),"")</x:f>
      </x:c>
      <x:c r="D174" s="50" t="str">
        <x:f>IFERROR(INDEX('Offene Vorgänge'!$D$8:$D$207,MATCH(167,'Offene Vorgänge'!$I$8:$I$207,0)),"")</x:f>
      </x:c>
      <x:c r="E174" s="44" t="str">
        <x:f>IFERROR(INDEX('Offene Vorgänge'!$E$8:$E$207,MATCH(167,'Offene Vorgänge'!$I$8:$I$207,0)),"")</x:f>
      </x:c>
      <x:c r="F174" s="50" t="str">
        <x:f>IFERROR(INDEX('Offene Vorgänge'!$F$8:$F$207,MATCH(167,'Offene Vorgänge'!$I$8:$I$207,0)),"")</x:f>
      </x:c>
      <x:c r="G174" s="50" t="str">
        <x:f>IFERROR(INDEX('Offene Vorgänge'!$G$8:$G$207,MATCH(167,'Offene Vorgänge'!$I$8:$I$207,0)),"")</x:f>
      </x:c>
      <x:c r="H174" s="44" t="str">
        <x:f>IFERROR(INDEX('Offene Vorgänge'!$H$8:$H$207,MATCH(167,'Offene Vorgänge'!$I$8:$I$207,0)),"")</x:f>
      </x:c>
      <x:c r="I174" s="1"/>
      <x:c r="J174" s="1"/>
      <x:c r="K174" s="1"/>
      <x:c r="L174" s="1"/>
      <x:c r="M174" s="1"/>
      <x:c r="N174" s="1"/>
      <x:c r="O174" s="1"/>
      <x:c r="P174" s="1"/>
      <x:c r="Q174" s="1"/>
      <x:c r="R174" s="1"/>
      <x:c r="S174" s="1"/>
      <x:c r="T174" s="1"/>
    </x:row>
    <x:row r="175" ht="18" customHeight="1">
      <x:c r="A175" s="1"/>
      <x:c r="B175" s="47" t="str">
        <x:f>IF($E175="","",168)</x:f>
      </x:c>
      <x:c r="C175" s="49" t="str">
        <x:f>IFERROR(INDEX('Offene Vorgänge'!$C$8:$C$207,MATCH(168,'Offene Vorgänge'!$I$8:$I$207,0)),"")</x:f>
      </x:c>
      <x:c r="D175" s="50" t="str">
        <x:f>IFERROR(INDEX('Offene Vorgänge'!$D$8:$D$207,MATCH(168,'Offene Vorgänge'!$I$8:$I$207,0)),"")</x:f>
      </x:c>
      <x:c r="E175" s="44" t="str">
        <x:f>IFERROR(INDEX('Offene Vorgänge'!$E$8:$E$207,MATCH(168,'Offene Vorgänge'!$I$8:$I$207,0)),"")</x:f>
      </x:c>
      <x:c r="F175" s="50" t="str">
        <x:f>IFERROR(INDEX('Offene Vorgänge'!$F$8:$F$207,MATCH(168,'Offene Vorgänge'!$I$8:$I$207,0)),"")</x:f>
      </x:c>
      <x:c r="G175" s="50" t="str">
        <x:f>IFERROR(INDEX('Offene Vorgänge'!$G$8:$G$207,MATCH(168,'Offene Vorgänge'!$I$8:$I$207,0)),"")</x:f>
      </x:c>
      <x:c r="H175" s="44" t="str">
        <x:f>IFERROR(INDEX('Offene Vorgänge'!$H$8:$H$207,MATCH(168,'Offene Vorgänge'!$I$8:$I$207,0)),"")</x:f>
      </x:c>
      <x:c r="I175" s="1"/>
      <x:c r="J175" s="1"/>
      <x:c r="K175" s="1"/>
      <x:c r="L175" s="1"/>
      <x:c r="M175" s="1"/>
      <x:c r="N175" s="1"/>
      <x:c r="O175" s="1"/>
      <x:c r="P175" s="1"/>
      <x:c r="Q175" s="1"/>
      <x:c r="R175" s="1"/>
      <x:c r="S175" s="1"/>
      <x:c r="T175" s="1"/>
    </x:row>
    <x:row r="176" ht="18" customHeight="1">
      <x:c r="A176" s="1"/>
      <x:c r="B176" s="47" t="str">
        <x:f>IF($E176="","",169)</x:f>
      </x:c>
      <x:c r="C176" s="49" t="str">
        <x:f>IFERROR(INDEX('Offene Vorgänge'!$C$8:$C$207,MATCH(169,'Offene Vorgänge'!$I$8:$I$207,0)),"")</x:f>
      </x:c>
      <x:c r="D176" s="50" t="str">
        <x:f>IFERROR(INDEX('Offene Vorgänge'!$D$8:$D$207,MATCH(169,'Offene Vorgänge'!$I$8:$I$207,0)),"")</x:f>
      </x:c>
      <x:c r="E176" s="44" t="str">
        <x:f>IFERROR(INDEX('Offene Vorgänge'!$E$8:$E$207,MATCH(169,'Offene Vorgänge'!$I$8:$I$207,0)),"")</x:f>
      </x:c>
      <x:c r="F176" s="50" t="str">
        <x:f>IFERROR(INDEX('Offene Vorgänge'!$F$8:$F$207,MATCH(169,'Offene Vorgänge'!$I$8:$I$207,0)),"")</x:f>
      </x:c>
      <x:c r="G176" s="50" t="str">
        <x:f>IFERROR(INDEX('Offene Vorgänge'!$G$8:$G$207,MATCH(169,'Offene Vorgänge'!$I$8:$I$207,0)),"")</x:f>
      </x:c>
      <x:c r="H176" s="44" t="str">
        <x:f>IFERROR(INDEX('Offene Vorgänge'!$H$8:$H$207,MATCH(169,'Offene Vorgänge'!$I$8:$I$207,0)),"")</x:f>
      </x:c>
      <x:c r="I176" s="1"/>
      <x:c r="J176" s="1"/>
      <x:c r="K176" s="1"/>
      <x:c r="L176" s="1"/>
      <x:c r="M176" s="1"/>
      <x:c r="N176" s="1"/>
      <x:c r="O176" s="1"/>
      <x:c r="P176" s="1"/>
      <x:c r="Q176" s="1"/>
      <x:c r="R176" s="1"/>
      <x:c r="S176" s="1"/>
      <x:c r="T176" s="1"/>
    </x:row>
    <x:row r="177" ht="18" customHeight="1">
      <x:c r="A177" s="1"/>
      <x:c r="B177" s="47" t="str">
        <x:f>IF($E177="","",170)</x:f>
      </x:c>
      <x:c r="C177" s="49" t="str">
        <x:f>IFERROR(INDEX('Offene Vorgänge'!$C$8:$C$207,MATCH(170,'Offene Vorgänge'!$I$8:$I$207,0)),"")</x:f>
      </x:c>
      <x:c r="D177" s="50" t="str">
        <x:f>IFERROR(INDEX('Offene Vorgänge'!$D$8:$D$207,MATCH(170,'Offene Vorgänge'!$I$8:$I$207,0)),"")</x:f>
      </x:c>
      <x:c r="E177" s="44" t="str">
        <x:f>IFERROR(INDEX('Offene Vorgänge'!$E$8:$E$207,MATCH(170,'Offene Vorgänge'!$I$8:$I$207,0)),"")</x:f>
      </x:c>
      <x:c r="F177" s="50" t="str">
        <x:f>IFERROR(INDEX('Offene Vorgänge'!$F$8:$F$207,MATCH(170,'Offene Vorgänge'!$I$8:$I$207,0)),"")</x:f>
      </x:c>
      <x:c r="G177" s="50" t="str">
        <x:f>IFERROR(INDEX('Offene Vorgänge'!$G$8:$G$207,MATCH(170,'Offene Vorgänge'!$I$8:$I$207,0)),"")</x:f>
      </x:c>
      <x:c r="H177" s="44" t="str">
        <x:f>IFERROR(INDEX('Offene Vorgänge'!$H$8:$H$207,MATCH(170,'Offene Vorgänge'!$I$8:$I$207,0)),"")</x:f>
      </x:c>
      <x:c r="I177" s="1"/>
      <x:c r="J177" s="1"/>
      <x:c r="K177" s="1"/>
      <x:c r="L177" s="1"/>
      <x:c r="M177" s="1"/>
      <x:c r="N177" s="1"/>
      <x:c r="O177" s="1"/>
      <x:c r="P177" s="1"/>
      <x:c r="Q177" s="1"/>
      <x:c r="R177" s="1"/>
      <x:c r="S177" s="1"/>
      <x:c r="T177" s="1"/>
    </x:row>
    <x:row r="178" ht="18" customHeight="1">
      <x:c r="A178" s="1"/>
      <x:c r="B178" s="47" t="str">
        <x:f>IF($E178="","",171)</x:f>
      </x:c>
      <x:c r="C178" s="49" t="str">
        <x:f>IFERROR(INDEX('Offene Vorgänge'!$C$8:$C$207,MATCH(171,'Offene Vorgänge'!$I$8:$I$207,0)),"")</x:f>
      </x:c>
      <x:c r="D178" s="50" t="str">
        <x:f>IFERROR(INDEX('Offene Vorgänge'!$D$8:$D$207,MATCH(171,'Offene Vorgänge'!$I$8:$I$207,0)),"")</x:f>
      </x:c>
      <x:c r="E178" s="44" t="str">
        <x:f>IFERROR(INDEX('Offene Vorgänge'!$E$8:$E$207,MATCH(171,'Offene Vorgänge'!$I$8:$I$207,0)),"")</x:f>
      </x:c>
      <x:c r="F178" s="50" t="str">
        <x:f>IFERROR(INDEX('Offene Vorgänge'!$F$8:$F$207,MATCH(171,'Offene Vorgänge'!$I$8:$I$207,0)),"")</x:f>
      </x:c>
      <x:c r="G178" s="50" t="str">
        <x:f>IFERROR(INDEX('Offene Vorgänge'!$G$8:$G$207,MATCH(171,'Offene Vorgänge'!$I$8:$I$207,0)),"")</x:f>
      </x:c>
      <x:c r="H178" s="44" t="str">
        <x:f>IFERROR(INDEX('Offene Vorgänge'!$H$8:$H$207,MATCH(171,'Offene Vorgänge'!$I$8:$I$207,0)),"")</x:f>
      </x:c>
      <x:c r="I178" s="1"/>
      <x:c r="J178" s="1"/>
      <x:c r="K178" s="1"/>
      <x:c r="L178" s="1"/>
      <x:c r="M178" s="1"/>
      <x:c r="N178" s="1"/>
      <x:c r="O178" s="1"/>
      <x:c r="P178" s="1"/>
      <x:c r="Q178" s="1"/>
      <x:c r="R178" s="1"/>
      <x:c r="S178" s="1"/>
      <x:c r="T178" s="1"/>
    </x:row>
    <x:row r="179" ht="18" customHeight="1">
      <x:c r="A179" s="1"/>
      <x:c r="B179" s="47" t="str">
        <x:f>IF($E179="","",172)</x:f>
      </x:c>
      <x:c r="C179" s="49" t="str">
        <x:f>IFERROR(INDEX('Offene Vorgänge'!$C$8:$C$207,MATCH(172,'Offene Vorgänge'!$I$8:$I$207,0)),"")</x:f>
      </x:c>
      <x:c r="D179" s="50" t="str">
        <x:f>IFERROR(INDEX('Offene Vorgänge'!$D$8:$D$207,MATCH(172,'Offene Vorgänge'!$I$8:$I$207,0)),"")</x:f>
      </x:c>
      <x:c r="E179" s="44" t="str">
        <x:f>IFERROR(INDEX('Offene Vorgänge'!$E$8:$E$207,MATCH(172,'Offene Vorgänge'!$I$8:$I$207,0)),"")</x:f>
      </x:c>
      <x:c r="F179" s="50" t="str">
        <x:f>IFERROR(INDEX('Offene Vorgänge'!$F$8:$F$207,MATCH(172,'Offene Vorgänge'!$I$8:$I$207,0)),"")</x:f>
      </x:c>
      <x:c r="G179" s="50" t="str">
        <x:f>IFERROR(INDEX('Offene Vorgänge'!$G$8:$G$207,MATCH(172,'Offene Vorgänge'!$I$8:$I$207,0)),"")</x:f>
      </x:c>
      <x:c r="H179" s="44" t="str">
        <x:f>IFERROR(INDEX('Offene Vorgänge'!$H$8:$H$207,MATCH(172,'Offene Vorgänge'!$I$8:$I$207,0)),"")</x:f>
      </x:c>
      <x:c r="I179" s="1"/>
      <x:c r="J179" s="1"/>
      <x:c r="K179" s="1"/>
      <x:c r="L179" s="1"/>
      <x:c r="M179" s="1"/>
      <x:c r="N179" s="1"/>
      <x:c r="O179" s="1"/>
      <x:c r="P179" s="1"/>
      <x:c r="Q179" s="1"/>
      <x:c r="R179" s="1"/>
      <x:c r="S179" s="1"/>
      <x:c r="T179" s="1"/>
    </x:row>
    <x:row r="180" ht="18" customHeight="1">
      <x:c r="A180" s="1"/>
      <x:c r="B180" s="47" t="str">
        <x:f>IF($E180="","",173)</x:f>
      </x:c>
      <x:c r="C180" s="49" t="str">
        <x:f>IFERROR(INDEX('Offene Vorgänge'!$C$8:$C$207,MATCH(173,'Offene Vorgänge'!$I$8:$I$207,0)),"")</x:f>
      </x:c>
      <x:c r="D180" s="50" t="str">
        <x:f>IFERROR(INDEX('Offene Vorgänge'!$D$8:$D$207,MATCH(173,'Offene Vorgänge'!$I$8:$I$207,0)),"")</x:f>
      </x:c>
      <x:c r="E180" s="44" t="str">
        <x:f>IFERROR(INDEX('Offene Vorgänge'!$E$8:$E$207,MATCH(173,'Offene Vorgänge'!$I$8:$I$207,0)),"")</x:f>
      </x:c>
      <x:c r="F180" s="50" t="str">
        <x:f>IFERROR(INDEX('Offene Vorgänge'!$F$8:$F$207,MATCH(173,'Offene Vorgänge'!$I$8:$I$207,0)),"")</x:f>
      </x:c>
      <x:c r="G180" s="50" t="str">
        <x:f>IFERROR(INDEX('Offene Vorgänge'!$G$8:$G$207,MATCH(173,'Offene Vorgänge'!$I$8:$I$207,0)),"")</x:f>
      </x:c>
      <x:c r="H180" s="44" t="str">
        <x:f>IFERROR(INDEX('Offene Vorgänge'!$H$8:$H$207,MATCH(173,'Offene Vorgänge'!$I$8:$I$207,0)),"")</x:f>
      </x:c>
      <x:c r="I180" s="1"/>
      <x:c r="J180" s="1"/>
      <x:c r="K180" s="1"/>
      <x:c r="L180" s="1"/>
      <x:c r="M180" s="1"/>
      <x:c r="N180" s="1"/>
      <x:c r="O180" s="1"/>
      <x:c r="P180" s="1"/>
      <x:c r="Q180" s="1"/>
      <x:c r="R180" s="1"/>
      <x:c r="S180" s="1"/>
      <x:c r="T180" s="1"/>
    </x:row>
    <x:row r="181" ht="18" customHeight="1">
      <x:c r="A181" s="1"/>
      <x:c r="B181" s="47" t="str">
        <x:f>IF($E181="","",174)</x:f>
      </x:c>
      <x:c r="C181" s="49" t="str">
        <x:f>IFERROR(INDEX('Offene Vorgänge'!$C$8:$C$207,MATCH(174,'Offene Vorgänge'!$I$8:$I$207,0)),"")</x:f>
      </x:c>
      <x:c r="D181" s="50" t="str">
        <x:f>IFERROR(INDEX('Offene Vorgänge'!$D$8:$D$207,MATCH(174,'Offene Vorgänge'!$I$8:$I$207,0)),"")</x:f>
      </x:c>
      <x:c r="E181" s="44" t="str">
        <x:f>IFERROR(INDEX('Offene Vorgänge'!$E$8:$E$207,MATCH(174,'Offene Vorgänge'!$I$8:$I$207,0)),"")</x:f>
      </x:c>
      <x:c r="F181" s="50" t="str">
        <x:f>IFERROR(INDEX('Offene Vorgänge'!$F$8:$F$207,MATCH(174,'Offene Vorgänge'!$I$8:$I$207,0)),"")</x:f>
      </x:c>
      <x:c r="G181" s="50" t="str">
        <x:f>IFERROR(INDEX('Offene Vorgänge'!$G$8:$G$207,MATCH(174,'Offene Vorgänge'!$I$8:$I$207,0)),"")</x:f>
      </x:c>
      <x:c r="H181" s="44" t="str">
        <x:f>IFERROR(INDEX('Offene Vorgänge'!$H$8:$H$207,MATCH(174,'Offene Vorgänge'!$I$8:$I$207,0)),"")</x:f>
      </x:c>
      <x:c r="I181" s="1"/>
      <x:c r="J181" s="1"/>
      <x:c r="K181" s="1"/>
      <x:c r="L181" s="1"/>
      <x:c r="M181" s="1"/>
      <x:c r="N181" s="1"/>
      <x:c r="O181" s="1"/>
      <x:c r="P181" s="1"/>
      <x:c r="Q181" s="1"/>
      <x:c r="R181" s="1"/>
      <x:c r="S181" s="1"/>
      <x:c r="T181" s="1"/>
    </x:row>
    <x:row r="182" ht="18" customHeight="1">
      <x:c r="A182" s="1"/>
      <x:c r="B182" s="47" t="str">
        <x:f>IF($E182="","",175)</x:f>
      </x:c>
      <x:c r="C182" s="49" t="str">
        <x:f>IFERROR(INDEX('Offene Vorgänge'!$C$8:$C$207,MATCH(175,'Offene Vorgänge'!$I$8:$I$207,0)),"")</x:f>
      </x:c>
      <x:c r="D182" s="50" t="str">
        <x:f>IFERROR(INDEX('Offene Vorgänge'!$D$8:$D$207,MATCH(175,'Offene Vorgänge'!$I$8:$I$207,0)),"")</x:f>
      </x:c>
      <x:c r="E182" s="44" t="str">
        <x:f>IFERROR(INDEX('Offene Vorgänge'!$E$8:$E$207,MATCH(175,'Offene Vorgänge'!$I$8:$I$207,0)),"")</x:f>
      </x:c>
      <x:c r="F182" s="50" t="str">
        <x:f>IFERROR(INDEX('Offene Vorgänge'!$F$8:$F$207,MATCH(175,'Offene Vorgänge'!$I$8:$I$207,0)),"")</x:f>
      </x:c>
      <x:c r="G182" s="50" t="str">
        <x:f>IFERROR(INDEX('Offene Vorgänge'!$G$8:$G$207,MATCH(175,'Offene Vorgänge'!$I$8:$I$207,0)),"")</x:f>
      </x:c>
      <x:c r="H182" s="44" t="str">
        <x:f>IFERROR(INDEX('Offene Vorgänge'!$H$8:$H$207,MATCH(175,'Offene Vorgänge'!$I$8:$I$207,0)),"")</x:f>
      </x:c>
      <x:c r="I182" s="1"/>
      <x:c r="J182" s="1"/>
      <x:c r="K182" s="1"/>
      <x:c r="L182" s="1"/>
      <x:c r="M182" s="1"/>
      <x:c r="N182" s="1"/>
      <x:c r="O182" s="1"/>
      <x:c r="P182" s="1"/>
      <x:c r="Q182" s="1"/>
      <x:c r="R182" s="1"/>
      <x:c r="S182" s="1"/>
      <x:c r="T182" s="1"/>
    </x:row>
    <x:row r="183" ht="18" customHeight="1">
      <x:c r="A183" s="1"/>
      <x:c r="B183" s="47" t="str">
        <x:f>IF($E183="","",176)</x:f>
      </x:c>
      <x:c r="C183" s="49" t="str">
        <x:f>IFERROR(INDEX('Offene Vorgänge'!$C$8:$C$207,MATCH(176,'Offene Vorgänge'!$I$8:$I$207,0)),"")</x:f>
      </x:c>
      <x:c r="D183" s="50" t="str">
        <x:f>IFERROR(INDEX('Offene Vorgänge'!$D$8:$D$207,MATCH(176,'Offene Vorgänge'!$I$8:$I$207,0)),"")</x:f>
      </x:c>
      <x:c r="E183" s="44" t="str">
        <x:f>IFERROR(INDEX('Offene Vorgänge'!$E$8:$E$207,MATCH(176,'Offene Vorgänge'!$I$8:$I$207,0)),"")</x:f>
      </x:c>
      <x:c r="F183" s="50" t="str">
        <x:f>IFERROR(INDEX('Offene Vorgänge'!$F$8:$F$207,MATCH(176,'Offene Vorgänge'!$I$8:$I$207,0)),"")</x:f>
      </x:c>
      <x:c r="G183" s="50" t="str">
        <x:f>IFERROR(INDEX('Offene Vorgänge'!$G$8:$G$207,MATCH(176,'Offene Vorgänge'!$I$8:$I$207,0)),"")</x:f>
      </x:c>
      <x:c r="H183" s="44" t="str">
        <x:f>IFERROR(INDEX('Offene Vorgänge'!$H$8:$H$207,MATCH(176,'Offene Vorgänge'!$I$8:$I$207,0)),"")</x:f>
      </x:c>
      <x:c r="I183" s="1"/>
      <x:c r="J183" s="1"/>
      <x:c r="K183" s="1"/>
      <x:c r="L183" s="1"/>
      <x:c r="M183" s="1"/>
      <x:c r="N183" s="1"/>
      <x:c r="O183" s="1"/>
      <x:c r="P183" s="1"/>
      <x:c r="Q183" s="1"/>
      <x:c r="R183" s="1"/>
      <x:c r="S183" s="1"/>
      <x:c r="T183" s="1"/>
    </x:row>
    <x:row r="184" ht="18" customHeight="1">
      <x:c r="A184" s="1"/>
      <x:c r="B184" s="47" t="str">
        <x:f>IF($E184="","",177)</x:f>
      </x:c>
      <x:c r="C184" s="49" t="str">
        <x:f>IFERROR(INDEX('Offene Vorgänge'!$C$8:$C$207,MATCH(177,'Offene Vorgänge'!$I$8:$I$207,0)),"")</x:f>
      </x:c>
      <x:c r="D184" s="50" t="str">
        <x:f>IFERROR(INDEX('Offene Vorgänge'!$D$8:$D$207,MATCH(177,'Offene Vorgänge'!$I$8:$I$207,0)),"")</x:f>
      </x:c>
      <x:c r="E184" s="44" t="str">
        <x:f>IFERROR(INDEX('Offene Vorgänge'!$E$8:$E$207,MATCH(177,'Offene Vorgänge'!$I$8:$I$207,0)),"")</x:f>
      </x:c>
      <x:c r="F184" s="50" t="str">
        <x:f>IFERROR(INDEX('Offene Vorgänge'!$F$8:$F$207,MATCH(177,'Offene Vorgänge'!$I$8:$I$207,0)),"")</x:f>
      </x:c>
      <x:c r="G184" s="50" t="str">
        <x:f>IFERROR(INDEX('Offene Vorgänge'!$G$8:$G$207,MATCH(177,'Offene Vorgänge'!$I$8:$I$207,0)),"")</x:f>
      </x:c>
      <x:c r="H184" s="44" t="str">
        <x:f>IFERROR(INDEX('Offene Vorgänge'!$H$8:$H$207,MATCH(177,'Offene Vorgänge'!$I$8:$I$207,0)),"")</x:f>
      </x:c>
      <x:c r="I184" s="1"/>
      <x:c r="J184" s="1"/>
      <x:c r="K184" s="1"/>
      <x:c r="L184" s="1"/>
      <x:c r="M184" s="1"/>
      <x:c r="N184" s="1"/>
      <x:c r="O184" s="1"/>
      <x:c r="P184" s="1"/>
      <x:c r="Q184" s="1"/>
      <x:c r="R184" s="1"/>
      <x:c r="S184" s="1"/>
      <x:c r="T184" s="1"/>
    </x:row>
    <x:row r="185" ht="18" customHeight="1">
      <x:c r="A185" s="1"/>
      <x:c r="B185" s="47" t="str">
        <x:f>IF($E185="","",178)</x:f>
      </x:c>
      <x:c r="C185" s="49" t="str">
        <x:f>IFERROR(INDEX('Offene Vorgänge'!$C$8:$C$207,MATCH(178,'Offene Vorgänge'!$I$8:$I$207,0)),"")</x:f>
      </x:c>
      <x:c r="D185" s="50" t="str">
        <x:f>IFERROR(INDEX('Offene Vorgänge'!$D$8:$D$207,MATCH(178,'Offene Vorgänge'!$I$8:$I$207,0)),"")</x:f>
      </x:c>
      <x:c r="E185" s="44" t="str">
        <x:f>IFERROR(INDEX('Offene Vorgänge'!$E$8:$E$207,MATCH(178,'Offene Vorgänge'!$I$8:$I$207,0)),"")</x:f>
      </x:c>
      <x:c r="F185" s="50" t="str">
        <x:f>IFERROR(INDEX('Offene Vorgänge'!$F$8:$F$207,MATCH(178,'Offene Vorgänge'!$I$8:$I$207,0)),"")</x:f>
      </x:c>
      <x:c r="G185" s="50" t="str">
        <x:f>IFERROR(INDEX('Offene Vorgänge'!$G$8:$G$207,MATCH(178,'Offene Vorgänge'!$I$8:$I$207,0)),"")</x:f>
      </x:c>
      <x:c r="H185" s="44" t="str">
        <x:f>IFERROR(INDEX('Offene Vorgänge'!$H$8:$H$207,MATCH(178,'Offene Vorgänge'!$I$8:$I$207,0)),"")</x:f>
      </x:c>
      <x:c r="I185" s="1"/>
      <x:c r="J185" s="1"/>
      <x:c r="K185" s="1"/>
      <x:c r="L185" s="1"/>
      <x:c r="M185" s="1"/>
      <x:c r="N185" s="1"/>
      <x:c r="O185" s="1"/>
      <x:c r="P185" s="1"/>
      <x:c r="Q185" s="1"/>
      <x:c r="R185" s="1"/>
      <x:c r="S185" s="1"/>
      <x:c r="T185" s="1"/>
    </x:row>
    <x:row r="186" ht="18" customHeight="1">
      <x:c r="A186" s="1"/>
      <x:c r="B186" s="47" t="str">
        <x:f>IF($E186="","",179)</x:f>
      </x:c>
      <x:c r="C186" s="49" t="str">
        <x:f>IFERROR(INDEX('Offene Vorgänge'!$C$8:$C$207,MATCH(179,'Offene Vorgänge'!$I$8:$I$207,0)),"")</x:f>
      </x:c>
      <x:c r="D186" s="50" t="str">
        <x:f>IFERROR(INDEX('Offene Vorgänge'!$D$8:$D$207,MATCH(179,'Offene Vorgänge'!$I$8:$I$207,0)),"")</x:f>
      </x:c>
      <x:c r="E186" s="44" t="str">
        <x:f>IFERROR(INDEX('Offene Vorgänge'!$E$8:$E$207,MATCH(179,'Offene Vorgänge'!$I$8:$I$207,0)),"")</x:f>
      </x:c>
      <x:c r="F186" s="50" t="str">
        <x:f>IFERROR(INDEX('Offene Vorgänge'!$F$8:$F$207,MATCH(179,'Offene Vorgänge'!$I$8:$I$207,0)),"")</x:f>
      </x:c>
      <x:c r="G186" s="50" t="str">
        <x:f>IFERROR(INDEX('Offene Vorgänge'!$G$8:$G$207,MATCH(179,'Offene Vorgänge'!$I$8:$I$207,0)),"")</x:f>
      </x:c>
      <x:c r="H186" s="44" t="str">
        <x:f>IFERROR(INDEX('Offene Vorgänge'!$H$8:$H$207,MATCH(179,'Offene Vorgänge'!$I$8:$I$207,0)),"")</x:f>
      </x:c>
      <x:c r="I186" s="1"/>
      <x:c r="J186" s="1"/>
      <x:c r="K186" s="1"/>
      <x:c r="L186" s="1"/>
      <x:c r="M186" s="1"/>
      <x:c r="N186" s="1"/>
      <x:c r="O186" s="1"/>
      <x:c r="P186" s="1"/>
      <x:c r="Q186" s="1"/>
      <x:c r="R186" s="1"/>
      <x:c r="S186" s="1"/>
      <x:c r="T186" s="1"/>
    </x:row>
    <x:row r="187" ht="18" customHeight="1">
      <x:c r="A187" s="1"/>
      <x:c r="B187" s="47" t="str">
        <x:f>IF($E187="","",180)</x:f>
      </x:c>
      <x:c r="C187" s="49" t="str">
        <x:f>IFERROR(INDEX('Offene Vorgänge'!$C$8:$C$207,MATCH(180,'Offene Vorgänge'!$I$8:$I$207,0)),"")</x:f>
      </x:c>
      <x:c r="D187" s="50" t="str">
        <x:f>IFERROR(INDEX('Offene Vorgänge'!$D$8:$D$207,MATCH(180,'Offene Vorgänge'!$I$8:$I$207,0)),"")</x:f>
      </x:c>
      <x:c r="E187" s="44" t="str">
        <x:f>IFERROR(INDEX('Offene Vorgänge'!$E$8:$E$207,MATCH(180,'Offene Vorgänge'!$I$8:$I$207,0)),"")</x:f>
      </x:c>
      <x:c r="F187" s="50" t="str">
        <x:f>IFERROR(INDEX('Offene Vorgänge'!$F$8:$F$207,MATCH(180,'Offene Vorgänge'!$I$8:$I$207,0)),"")</x:f>
      </x:c>
      <x:c r="G187" s="50" t="str">
        <x:f>IFERROR(INDEX('Offene Vorgänge'!$G$8:$G$207,MATCH(180,'Offene Vorgänge'!$I$8:$I$207,0)),"")</x:f>
      </x:c>
      <x:c r="H187" s="44" t="str">
        <x:f>IFERROR(INDEX('Offene Vorgänge'!$H$8:$H$207,MATCH(180,'Offene Vorgänge'!$I$8:$I$207,0)),"")</x:f>
      </x:c>
      <x:c r="I187" s="1"/>
      <x:c r="J187" s="1"/>
      <x:c r="K187" s="1"/>
      <x:c r="L187" s="1"/>
      <x:c r="M187" s="1"/>
      <x:c r="N187" s="1"/>
      <x:c r="O187" s="1"/>
      <x:c r="P187" s="1"/>
      <x:c r="Q187" s="1"/>
      <x:c r="R187" s="1"/>
      <x:c r="S187" s="1"/>
      <x:c r="T187" s="1"/>
    </x:row>
    <x:row r="188" ht="18" customHeight="1">
      <x:c r="A188" s="1"/>
      <x:c r="B188" s="47" t="str">
        <x:f>IF($E188="","",181)</x:f>
      </x:c>
      <x:c r="C188" s="49" t="str">
        <x:f>IFERROR(INDEX('Offene Vorgänge'!$C$8:$C$207,MATCH(181,'Offene Vorgänge'!$I$8:$I$207,0)),"")</x:f>
      </x:c>
      <x:c r="D188" s="50" t="str">
        <x:f>IFERROR(INDEX('Offene Vorgänge'!$D$8:$D$207,MATCH(181,'Offene Vorgänge'!$I$8:$I$207,0)),"")</x:f>
      </x:c>
      <x:c r="E188" s="44" t="str">
        <x:f>IFERROR(INDEX('Offene Vorgänge'!$E$8:$E$207,MATCH(181,'Offene Vorgänge'!$I$8:$I$207,0)),"")</x:f>
      </x:c>
      <x:c r="F188" s="50" t="str">
        <x:f>IFERROR(INDEX('Offene Vorgänge'!$F$8:$F$207,MATCH(181,'Offene Vorgänge'!$I$8:$I$207,0)),"")</x:f>
      </x:c>
      <x:c r="G188" s="50" t="str">
        <x:f>IFERROR(INDEX('Offene Vorgänge'!$G$8:$G$207,MATCH(181,'Offene Vorgänge'!$I$8:$I$207,0)),"")</x:f>
      </x:c>
      <x:c r="H188" s="44" t="str">
        <x:f>IFERROR(INDEX('Offene Vorgänge'!$H$8:$H$207,MATCH(181,'Offene Vorgänge'!$I$8:$I$207,0)),"")</x:f>
      </x:c>
      <x:c r="I188" s="1"/>
      <x:c r="J188" s="1"/>
      <x:c r="K188" s="1"/>
      <x:c r="L188" s="1"/>
      <x:c r="M188" s="1"/>
      <x:c r="N188" s="1"/>
      <x:c r="O188" s="1"/>
      <x:c r="P188" s="1"/>
      <x:c r="Q188" s="1"/>
      <x:c r="R188" s="1"/>
      <x:c r="S188" s="1"/>
      <x:c r="T188" s="1"/>
    </x:row>
    <x:row r="189" ht="18" customHeight="1">
      <x:c r="A189" s="1"/>
      <x:c r="B189" s="47" t="str">
        <x:f>IF($E189="","",182)</x:f>
      </x:c>
      <x:c r="C189" s="49" t="str">
        <x:f>IFERROR(INDEX('Offene Vorgänge'!$C$8:$C$207,MATCH(182,'Offene Vorgänge'!$I$8:$I$207,0)),"")</x:f>
      </x:c>
      <x:c r="D189" s="50" t="str">
        <x:f>IFERROR(INDEX('Offene Vorgänge'!$D$8:$D$207,MATCH(182,'Offene Vorgänge'!$I$8:$I$207,0)),"")</x:f>
      </x:c>
      <x:c r="E189" s="44" t="str">
        <x:f>IFERROR(INDEX('Offene Vorgänge'!$E$8:$E$207,MATCH(182,'Offene Vorgänge'!$I$8:$I$207,0)),"")</x:f>
      </x:c>
      <x:c r="F189" s="50" t="str">
        <x:f>IFERROR(INDEX('Offene Vorgänge'!$F$8:$F$207,MATCH(182,'Offene Vorgänge'!$I$8:$I$207,0)),"")</x:f>
      </x:c>
      <x:c r="G189" s="50" t="str">
        <x:f>IFERROR(INDEX('Offene Vorgänge'!$G$8:$G$207,MATCH(182,'Offene Vorgänge'!$I$8:$I$207,0)),"")</x:f>
      </x:c>
      <x:c r="H189" s="44" t="str">
        <x:f>IFERROR(INDEX('Offene Vorgänge'!$H$8:$H$207,MATCH(182,'Offene Vorgänge'!$I$8:$I$207,0)),"")</x:f>
      </x:c>
      <x:c r="I189" s="1"/>
      <x:c r="J189" s="1"/>
      <x:c r="K189" s="1"/>
      <x:c r="L189" s="1"/>
      <x:c r="M189" s="1"/>
      <x:c r="N189" s="1"/>
      <x:c r="O189" s="1"/>
      <x:c r="P189" s="1"/>
      <x:c r="Q189" s="1"/>
      <x:c r="R189" s="1"/>
      <x:c r="S189" s="1"/>
      <x:c r="T189" s="1"/>
    </x:row>
    <x:row r="190" ht="18" customHeight="1">
      <x:c r="A190" s="1"/>
      <x:c r="B190" s="47" t="str">
        <x:f>IF($E190="","",183)</x:f>
      </x:c>
      <x:c r="C190" s="49" t="str">
        <x:f>IFERROR(INDEX('Offene Vorgänge'!$C$8:$C$207,MATCH(183,'Offene Vorgänge'!$I$8:$I$207,0)),"")</x:f>
      </x:c>
      <x:c r="D190" s="50" t="str">
        <x:f>IFERROR(INDEX('Offene Vorgänge'!$D$8:$D$207,MATCH(183,'Offene Vorgänge'!$I$8:$I$207,0)),"")</x:f>
      </x:c>
      <x:c r="E190" s="44" t="str">
        <x:f>IFERROR(INDEX('Offene Vorgänge'!$E$8:$E$207,MATCH(183,'Offene Vorgänge'!$I$8:$I$207,0)),"")</x:f>
      </x:c>
      <x:c r="F190" s="50" t="str">
        <x:f>IFERROR(INDEX('Offene Vorgänge'!$F$8:$F$207,MATCH(183,'Offene Vorgänge'!$I$8:$I$207,0)),"")</x:f>
      </x:c>
      <x:c r="G190" s="50" t="str">
        <x:f>IFERROR(INDEX('Offene Vorgänge'!$G$8:$G$207,MATCH(183,'Offene Vorgänge'!$I$8:$I$207,0)),"")</x:f>
      </x:c>
      <x:c r="H190" s="44" t="str">
        <x:f>IFERROR(INDEX('Offene Vorgänge'!$H$8:$H$207,MATCH(183,'Offene Vorgänge'!$I$8:$I$207,0)),"")</x:f>
      </x:c>
      <x:c r="I190" s="1"/>
      <x:c r="J190" s="1"/>
      <x:c r="K190" s="1"/>
      <x:c r="L190" s="1"/>
      <x:c r="M190" s="1"/>
      <x:c r="N190" s="1"/>
      <x:c r="O190" s="1"/>
      <x:c r="P190" s="1"/>
      <x:c r="Q190" s="1"/>
      <x:c r="R190" s="1"/>
      <x:c r="S190" s="1"/>
      <x:c r="T190" s="1"/>
    </x:row>
    <x:row r="191" ht="18" customHeight="1">
      <x:c r="A191" s="1"/>
      <x:c r="B191" s="47" t="str">
        <x:f>IF($E191="","",184)</x:f>
      </x:c>
      <x:c r="C191" s="49" t="str">
        <x:f>IFERROR(INDEX('Offene Vorgänge'!$C$8:$C$207,MATCH(184,'Offene Vorgänge'!$I$8:$I$207,0)),"")</x:f>
      </x:c>
      <x:c r="D191" s="50" t="str">
        <x:f>IFERROR(INDEX('Offene Vorgänge'!$D$8:$D$207,MATCH(184,'Offene Vorgänge'!$I$8:$I$207,0)),"")</x:f>
      </x:c>
      <x:c r="E191" s="44" t="str">
        <x:f>IFERROR(INDEX('Offene Vorgänge'!$E$8:$E$207,MATCH(184,'Offene Vorgänge'!$I$8:$I$207,0)),"")</x:f>
      </x:c>
      <x:c r="F191" s="50" t="str">
        <x:f>IFERROR(INDEX('Offene Vorgänge'!$F$8:$F$207,MATCH(184,'Offene Vorgänge'!$I$8:$I$207,0)),"")</x:f>
      </x:c>
      <x:c r="G191" s="50" t="str">
        <x:f>IFERROR(INDEX('Offene Vorgänge'!$G$8:$G$207,MATCH(184,'Offene Vorgänge'!$I$8:$I$207,0)),"")</x:f>
      </x:c>
      <x:c r="H191" s="44" t="str">
        <x:f>IFERROR(INDEX('Offene Vorgänge'!$H$8:$H$207,MATCH(184,'Offene Vorgänge'!$I$8:$I$207,0)),"")</x:f>
      </x:c>
      <x:c r="I191" s="1"/>
      <x:c r="J191" s="1"/>
      <x:c r="K191" s="1"/>
      <x:c r="L191" s="1"/>
      <x:c r="M191" s="1"/>
      <x:c r="N191" s="1"/>
      <x:c r="O191" s="1"/>
      <x:c r="P191" s="1"/>
      <x:c r="Q191" s="1"/>
      <x:c r="R191" s="1"/>
      <x:c r="S191" s="1"/>
      <x:c r="T191" s="1"/>
    </x:row>
    <x:row r="192" ht="18" customHeight="1">
      <x:c r="A192" s="1"/>
      <x:c r="B192" s="47" t="str">
        <x:f>IF($E192="","",185)</x:f>
      </x:c>
      <x:c r="C192" s="49" t="str">
        <x:f>IFERROR(INDEX('Offene Vorgänge'!$C$8:$C$207,MATCH(185,'Offene Vorgänge'!$I$8:$I$207,0)),"")</x:f>
      </x:c>
      <x:c r="D192" s="50" t="str">
        <x:f>IFERROR(INDEX('Offene Vorgänge'!$D$8:$D$207,MATCH(185,'Offene Vorgänge'!$I$8:$I$207,0)),"")</x:f>
      </x:c>
      <x:c r="E192" s="44" t="str">
        <x:f>IFERROR(INDEX('Offene Vorgänge'!$E$8:$E$207,MATCH(185,'Offene Vorgänge'!$I$8:$I$207,0)),"")</x:f>
      </x:c>
      <x:c r="F192" s="50" t="str">
        <x:f>IFERROR(INDEX('Offene Vorgänge'!$F$8:$F$207,MATCH(185,'Offene Vorgänge'!$I$8:$I$207,0)),"")</x:f>
      </x:c>
      <x:c r="G192" s="50" t="str">
        <x:f>IFERROR(INDEX('Offene Vorgänge'!$G$8:$G$207,MATCH(185,'Offene Vorgänge'!$I$8:$I$207,0)),"")</x:f>
      </x:c>
      <x:c r="H192" s="44" t="str">
        <x:f>IFERROR(INDEX('Offene Vorgänge'!$H$8:$H$207,MATCH(185,'Offene Vorgänge'!$I$8:$I$207,0)),"")</x:f>
      </x:c>
      <x:c r="I192" s="1"/>
      <x:c r="J192" s="1"/>
      <x:c r="K192" s="1"/>
      <x:c r="L192" s="1"/>
      <x:c r="M192" s="1"/>
      <x:c r="N192" s="1"/>
      <x:c r="O192" s="1"/>
      <x:c r="P192" s="1"/>
      <x:c r="Q192" s="1"/>
      <x:c r="R192" s="1"/>
      <x:c r="S192" s="1"/>
      <x:c r="T192" s="1"/>
    </x:row>
    <x:row r="193" ht="18" customHeight="1">
      <x:c r="A193" s="1"/>
      <x:c r="B193" s="47" t="str">
        <x:f>IF($E193="","",186)</x:f>
      </x:c>
      <x:c r="C193" s="49" t="str">
        <x:f>IFERROR(INDEX('Offene Vorgänge'!$C$8:$C$207,MATCH(186,'Offene Vorgänge'!$I$8:$I$207,0)),"")</x:f>
      </x:c>
      <x:c r="D193" s="50" t="str">
        <x:f>IFERROR(INDEX('Offene Vorgänge'!$D$8:$D$207,MATCH(186,'Offene Vorgänge'!$I$8:$I$207,0)),"")</x:f>
      </x:c>
      <x:c r="E193" s="44" t="str">
        <x:f>IFERROR(INDEX('Offene Vorgänge'!$E$8:$E$207,MATCH(186,'Offene Vorgänge'!$I$8:$I$207,0)),"")</x:f>
      </x:c>
      <x:c r="F193" s="50" t="str">
        <x:f>IFERROR(INDEX('Offene Vorgänge'!$F$8:$F$207,MATCH(186,'Offene Vorgänge'!$I$8:$I$207,0)),"")</x:f>
      </x:c>
      <x:c r="G193" s="50" t="str">
        <x:f>IFERROR(INDEX('Offene Vorgänge'!$G$8:$G$207,MATCH(186,'Offene Vorgänge'!$I$8:$I$207,0)),"")</x:f>
      </x:c>
      <x:c r="H193" s="44" t="str">
        <x:f>IFERROR(INDEX('Offene Vorgänge'!$H$8:$H$207,MATCH(186,'Offene Vorgänge'!$I$8:$I$207,0)),"")</x:f>
      </x:c>
      <x:c r="I193" s="1"/>
      <x:c r="J193" s="1"/>
      <x:c r="K193" s="1"/>
      <x:c r="L193" s="1"/>
      <x:c r="M193" s="1"/>
      <x:c r="N193" s="1"/>
      <x:c r="O193" s="1"/>
      <x:c r="P193" s="1"/>
      <x:c r="Q193" s="1"/>
      <x:c r="R193" s="1"/>
      <x:c r="S193" s="1"/>
      <x:c r="T193" s="1"/>
    </x:row>
    <x:row r="194" ht="18" customHeight="1">
      <x:c r="A194" s="1"/>
      <x:c r="B194" s="47" t="str">
        <x:f>IF($E194="","",187)</x:f>
      </x:c>
      <x:c r="C194" s="49" t="str">
        <x:f>IFERROR(INDEX('Offene Vorgänge'!$C$8:$C$207,MATCH(187,'Offene Vorgänge'!$I$8:$I$207,0)),"")</x:f>
      </x:c>
      <x:c r="D194" s="50" t="str">
        <x:f>IFERROR(INDEX('Offene Vorgänge'!$D$8:$D$207,MATCH(187,'Offene Vorgänge'!$I$8:$I$207,0)),"")</x:f>
      </x:c>
      <x:c r="E194" s="44" t="str">
        <x:f>IFERROR(INDEX('Offene Vorgänge'!$E$8:$E$207,MATCH(187,'Offene Vorgänge'!$I$8:$I$207,0)),"")</x:f>
      </x:c>
      <x:c r="F194" s="50" t="str">
        <x:f>IFERROR(INDEX('Offene Vorgänge'!$F$8:$F$207,MATCH(187,'Offene Vorgänge'!$I$8:$I$207,0)),"")</x:f>
      </x:c>
      <x:c r="G194" s="50" t="str">
        <x:f>IFERROR(INDEX('Offene Vorgänge'!$G$8:$G$207,MATCH(187,'Offene Vorgänge'!$I$8:$I$207,0)),"")</x:f>
      </x:c>
      <x:c r="H194" s="44" t="str">
        <x:f>IFERROR(INDEX('Offene Vorgänge'!$H$8:$H$207,MATCH(187,'Offene Vorgänge'!$I$8:$I$207,0)),"")</x:f>
      </x:c>
      <x:c r="I194" s="1"/>
      <x:c r="J194" s="1"/>
      <x:c r="K194" s="1"/>
      <x:c r="L194" s="1"/>
      <x:c r="M194" s="1"/>
      <x:c r="N194" s="1"/>
      <x:c r="O194" s="1"/>
      <x:c r="P194" s="1"/>
      <x:c r="Q194" s="1"/>
      <x:c r="R194" s="1"/>
      <x:c r="S194" s="1"/>
      <x:c r="T194" s="1"/>
    </x:row>
    <x:row r="195" ht="18" customHeight="1">
      <x:c r="A195" s="1"/>
      <x:c r="B195" s="47" t="str">
        <x:f>IF($E195="","",188)</x:f>
      </x:c>
      <x:c r="C195" s="49" t="str">
        <x:f>IFERROR(INDEX('Offene Vorgänge'!$C$8:$C$207,MATCH(188,'Offene Vorgänge'!$I$8:$I$207,0)),"")</x:f>
      </x:c>
      <x:c r="D195" s="50" t="str">
        <x:f>IFERROR(INDEX('Offene Vorgänge'!$D$8:$D$207,MATCH(188,'Offene Vorgänge'!$I$8:$I$207,0)),"")</x:f>
      </x:c>
      <x:c r="E195" s="44" t="str">
        <x:f>IFERROR(INDEX('Offene Vorgänge'!$E$8:$E$207,MATCH(188,'Offene Vorgänge'!$I$8:$I$207,0)),"")</x:f>
      </x:c>
      <x:c r="F195" s="50" t="str">
        <x:f>IFERROR(INDEX('Offene Vorgänge'!$F$8:$F$207,MATCH(188,'Offene Vorgänge'!$I$8:$I$207,0)),"")</x:f>
      </x:c>
      <x:c r="G195" s="50" t="str">
        <x:f>IFERROR(INDEX('Offene Vorgänge'!$G$8:$G$207,MATCH(188,'Offene Vorgänge'!$I$8:$I$207,0)),"")</x:f>
      </x:c>
      <x:c r="H195" s="44" t="str">
        <x:f>IFERROR(INDEX('Offene Vorgänge'!$H$8:$H$207,MATCH(188,'Offene Vorgänge'!$I$8:$I$207,0)),"")</x:f>
      </x:c>
      <x:c r="I195" s="1"/>
      <x:c r="J195" s="1"/>
      <x:c r="K195" s="1"/>
      <x:c r="L195" s="1"/>
      <x:c r="M195" s="1"/>
      <x:c r="N195" s="1"/>
      <x:c r="O195" s="1"/>
      <x:c r="P195" s="1"/>
      <x:c r="Q195" s="1"/>
      <x:c r="R195" s="1"/>
      <x:c r="S195" s="1"/>
      <x:c r="T195" s="1"/>
    </x:row>
    <x:row r="196" ht="18" customHeight="1">
      <x:c r="A196" s="1"/>
      <x:c r="B196" s="47" t="str">
        <x:f>IF($E196="","",189)</x:f>
      </x:c>
      <x:c r="C196" s="49" t="str">
        <x:f>IFERROR(INDEX('Offene Vorgänge'!$C$8:$C$207,MATCH(189,'Offene Vorgänge'!$I$8:$I$207,0)),"")</x:f>
      </x:c>
      <x:c r="D196" s="50" t="str">
        <x:f>IFERROR(INDEX('Offene Vorgänge'!$D$8:$D$207,MATCH(189,'Offene Vorgänge'!$I$8:$I$207,0)),"")</x:f>
      </x:c>
      <x:c r="E196" s="44" t="str">
        <x:f>IFERROR(INDEX('Offene Vorgänge'!$E$8:$E$207,MATCH(189,'Offene Vorgänge'!$I$8:$I$207,0)),"")</x:f>
      </x:c>
      <x:c r="F196" s="50" t="str">
        <x:f>IFERROR(INDEX('Offene Vorgänge'!$F$8:$F$207,MATCH(189,'Offene Vorgänge'!$I$8:$I$207,0)),"")</x:f>
      </x:c>
      <x:c r="G196" s="50" t="str">
        <x:f>IFERROR(INDEX('Offene Vorgänge'!$G$8:$G$207,MATCH(189,'Offene Vorgänge'!$I$8:$I$207,0)),"")</x:f>
      </x:c>
      <x:c r="H196" s="44" t="str">
        <x:f>IFERROR(INDEX('Offene Vorgänge'!$H$8:$H$207,MATCH(189,'Offene Vorgänge'!$I$8:$I$207,0)),"")</x:f>
      </x:c>
      <x:c r="I196" s="1"/>
      <x:c r="J196" s="1"/>
      <x:c r="K196" s="1"/>
      <x:c r="L196" s="1"/>
      <x:c r="M196" s="1"/>
      <x:c r="N196" s="1"/>
      <x:c r="O196" s="1"/>
      <x:c r="P196" s="1"/>
      <x:c r="Q196" s="1"/>
      <x:c r="R196" s="1"/>
      <x:c r="S196" s="1"/>
      <x:c r="T196" s="1"/>
    </x:row>
    <x:row r="197" ht="18" customHeight="1">
      <x:c r="A197" s="1"/>
      <x:c r="B197" s="47" t="str">
        <x:f>IF($E197="","",190)</x:f>
      </x:c>
      <x:c r="C197" s="49" t="str">
        <x:f>IFERROR(INDEX('Offene Vorgänge'!$C$8:$C$207,MATCH(190,'Offene Vorgänge'!$I$8:$I$207,0)),"")</x:f>
      </x:c>
      <x:c r="D197" s="50" t="str">
        <x:f>IFERROR(INDEX('Offene Vorgänge'!$D$8:$D$207,MATCH(190,'Offene Vorgänge'!$I$8:$I$207,0)),"")</x:f>
      </x:c>
      <x:c r="E197" s="44" t="str">
        <x:f>IFERROR(INDEX('Offene Vorgänge'!$E$8:$E$207,MATCH(190,'Offene Vorgänge'!$I$8:$I$207,0)),"")</x:f>
      </x:c>
      <x:c r="F197" s="50" t="str">
        <x:f>IFERROR(INDEX('Offene Vorgänge'!$F$8:$F$207,MATCH(190,'Offene Vorgänge'!$I$8:$I$207,0)),"")</x:f>
      </x:c>
      <x:c r="G197" s="50" t="str">
        <x:f>IFERROR(INDEX('Offene Vorgänge'!$G$8:$G$207,MATCH(190,'Offene Vorgänge'!$I$8:$I$207,0)),"")</x:f>
      </x:c>
      <x:c r="H197" s="44" t="str">
        <x:f>IFERROR(INDEX('Offene Vorgänge'!$H$8:$H$207,MATCH(190,'Offene Vorgänge'!$I$8:$I$207,0)),"")</x:f>
      </x:c>
      <x:c r="I197" s="1"/>
      <x:c r="J197" s="1"/>
      <x:c r="K197" s="1"/>
      <x:c r="L197" s="1"/>
      <x:c r="M197" s="1"/>
      <x:c r="N197" s="1"/>
      <x:c r="O197" s="1"/>
      <x:c r="P197" s="1"/>
      <x:c r="Q197" s="1"/>
      <x:c r="R197" s="1"/>
      <x:c r="S197" s="1"/>
      <x:c r="T197" s="1"/>
    </x:row>
    <x:row r="198" ht="18" customHeight="1">
      <x:c r="A198" s="1"/>
      <x:c r="B198" s="47" t="str">
        <x:f>IF($E198="","",191)</x:f>
      </x:c>
      <x:c r="C198" s="49" t="str">
        <x:f>IFERROR(INDEX('Offene Vorgänge'!$C$8:$C$207,MATCH(191,'Offene Vorgänge'!$I$8:$I$207,0)),"")</x:f>
      </x:c>
      <x:c r="D198" s="50" t="str">
        <x:f>IFERROR(INDEX('Offene Vorgänge'!$D$8:$D$207,MATCH(191,'Offene Vorgänge'!$I$8:$I$207,0)),"")</x:f>
      </x:c>
      <x:c r="E198" s="44" t="str">
        <x:f>IFERROR(INDEX('Offene Vorgänge'!$E$8:$E$207,MATCH(191,'Offene Vorgänge'!$I$8:$I$207,0)),"")</x:f>
      </x:c>
      <x:c r="F198" s="50" t="str">
        <x:f>IFERROR(INDEX('Offene Vorgänge'!$F$8:$F$207,MATCH(191,'Offene Vorgänge'!$I$8:$I$207,0)),"")</x:f>
      </x:c>
      <x:c r="G198" s="50" t="str">
        <x:f>IFERROR(INDEX('Offene Vorgänge'!$G$8:$G$207,MATCH(191,'Offene Vorgänge'!$I$8:$I$207,0)),"")</x:f>
      </x:c>
      <x:c r="H198" s="44" t="str">
        <x:f>IFERROR(INDEX('Offene Vorgänge'!$H$8:$H$207,MATCH(191,'Offene Vorgänge'!$I$8:$I$207,0)),"")</x:f>
      </x:c>
      <x:c r="I198" s="1"/>
      <x:c r="J198" s="1"/>
      <x:c r="K198" s="1"/>
      <x:c r="L198" s="1"/>
      <x:c r="M198" s="1"/>
      <x:c r="N198" s="1"/>
      <x:c r="O198" s="1"/>
      <x:c r="P198" s="1"/>
      <x:c r="Q198" s="1"/>
      <x:c r="R198" s="1"/>
      <x:c r="S198" s="1"/>
      <x:c r="T198" s="1"/>
    </x:row>
    <x:row r="199" ht="18" customHeight="1">
      <x:c r="A199" s="1"/>
      <x:c r="B199" s="47" t="str">
        <x:f>IF($E199="","",192)</x:f>
      </x:c>
      <x:c r="C199" s="49" t="str">
        <x:f>IFERROR(INDEX('Offene Vorgänge'!$C$8:$C$207,MATCH(192,'Offene Vorgänge'!$I$8:$I$207,0)),"")</x:f>
      </x:c>
      <x:c r="D199" s="50" t="str">
        <x:f>IFERROR(INDEX('Offene Vorgänge'!$D$8:$D$207,MATCH(192,'Offene Vorgänge'!$I$8:$I$207,0)),"")</x:f>
      </x:c>
      <x:c r="E199" s="44" t="str">
        <x:f>IFERROR(INDEX('Offene Vorgänge'!$E$8:$E$207,MATCH(192,'Offene Vorgänge'!$I$8:$I$207,0)),"")</x:f>
      </x:c>
      <x:c r="F199" s="50" t="str">
        <x:f>IFERROR(INDEX('Offene Vorgänge'!$F$8:$F$207,MATCH(192,'Offene Vorgänge'!$I$8:$I$207,0)),"")</x:f>
      </x:c>
      <x:c r="G199" s="50" t="str">
        <x:f>IFERROR(INDEX('Offene Vorgänge'!$G$8:$G$207,MATCH(192,'Offene Vorgänge'!$I$8:$I$207,0)),"")</x:f>
      </x:c>
      <x:c r="H199" s="44" t="str">
        <x:f>IFERROR(INDEX('Offene Vorgänge'!$H$8:$H$207,MATCH(192,'Offene Vorgänge'!$I$8:$I$207,0)),"")</x:f>
      </x:c>
      <x:c r="I199" s="1"/>
      <x:c r="J199" s="1"/>
      <x:c r="K199" s="1"/>
      <x:c r="L199" s="1"/>
      <x:c r="M199" s="1"/>
      <x:c r="N199" s="1"/>
      <x:c r="O199" s="1"/>
      <x:c r="P199" s="1"/>
      <x:c r="Q199" s="1"/>
      <x:c r="R199" s="1"/>
      <x:c r="S199" s="1"/>
      <x:c r="T199" s="1"/>
    </x:row>
    <x:row r="200" ht="18" customHeight="1">
      <x:c r="A200" s="1"/>
      <x:c r="B200" s="47" t="str">
        <x:f>IF($E200="","",193)</x:f>
      </x:c>
      <x:c r="C200" s="49" t="str">
        <x:f>IFERROR(INDEX('Offene Vorgänge'!$C$8:$C$207,MATCH(193,'Offene Vorgänge'!$I$8:$I$207,0)),"")</x:f>
      </x:c>
      <x:c r="D200" s="50" t="str">
        <x:f>IFERROR(INDEX('Offene Vorgänge'!$D$8:$D$207,MATCH(193,'Offene Vorgänge'!$I$8:$I$207,0)),"")</x:f>
      </x:c>
      <x:c r="E200" s="44" t="str">
        <x:f>IFERROR(INDEX('Offene Vorgänge'!$E$8:$E$207,MATCH(193,'Offene Vorgänge'!$I$8:$I$207,0)),"")</x:f>
      </x:c>
      <x:c r="F200" s="50" t="str">
        <x:f>IFERROR(INDEX('Offene Vorgänge'!$F$8:$F$207,MATCH(193,'Offene Vorgänge'!$I$8:$I$207,0)),"")</x:f>
      </x:c>
      <x:c r="G200" s="50" t="str">
        <x:f>IFERROR(INDEX('Offene Vorgänge'!$G$8:$G$207,MATCH(193,'Offene Vorgänge'!$I$8:$I$207,0)),"")</x:f>
      </x:c>
      <x:c r="H200" s="44" t="str">
        <x:f>IFERROR(INDEX('Offene Vorgänge'!$H$8:$H$207,MATCH(193,'Offene Vorgänge'!$I$8:$I$207,0)),"")</x:f>
      </x:c>
      <x:c r="I200" s="1"/>
      <x:c r="J200" s="1"/>
      <x:c r="K200" s="1"/>
      <x:c r="L200" s="1"/>
      <x:c r="M200" s="1"/>
      <x:c r="N200" s="1"/>
      <x:c r="O200" s="1"/>
      <x:c r="P200" s="1"/>
      <x:c r="Q200" s="1"/>
      <x:c r="R200" s="1"/>
      <x:c r="S200" s="1"/>
      <x:c r="T200" s="1"/>
    </x:row>
    <x:row r="201" ht="18" customHeight="1">
      <x:c r="A201" s="1"/>
      <x:c r="B201" s="47" t="str">
        <x:f>IF($E201="","",194)</x:f>
      </x:c>
      <x:c r="C201" s="49" t="str">
        <x:f>IFERROR(INDEX('Offene Vorgänge'!$C$8:$C$207,MATCH(194,'Offene Vorgänge'!$I$8:$I$207,0)),"")</x:f>
      </x:c>
      <x:c r="D201" s="50" t="str">
        <x:f>IFERROR(INDEX('Offene Vorgänge'!$D$8:$D$207,MATCH(194,'Offene Vorgänge'!$I$8:$I$207,0)),"")</x:f>
      </x:c>
      <x:c r="E201" s="44" t="str">
        <x:f>IFERROR(INDEX('Offene Vorgänge'!$E$8:$E$207,MATCH(194,'Offene Vorgänge'!$I$8:$I$207,0)),"")</x:f>
      </x:c>
      <x:c r="F201" s="50" t="str">
        <x:f>IFERROR(INDEX('Offene Vorgänge'!$F$8:$F$207,MATCH(194,'Offene Vorgänge'!$I$8:$I$207,0)),"")</x:f>
      </x:c>
      <x:c r="G201" s="50" t="str">
        <x:f>IFERROR(INDEX('Offene Vorgänge'!$G$8:$G$207,MATCH(194,'Offene Vorgänge'!$I$8:$I$207,0)),"")</x:f>
      </x:c>
      <x:c r="H201" s="44" t="str">
        <x:f>IFERROR(INDEX('Offene Vorgänge'!$H$8:$H$207,MATCH(194,'Offene Vorgänge'!$I$8:$I$207,0)),"")</x:f>
      </x:c>
      <x:c r="I201" s="1"/>
      <x:c r="J201" s="1"/>
      <x:c r="K201" s="1"/>
      <x:c r="L201" s="1"/>
      <x:c r="M201" s="1"/>
      <x:c r="N201" s="1"/>
      <x:c r="O201" s="1"/>
      <x:c r="P201" s="1"/>
      <x:c r="Q201" s="1"/>
      <x:c r="R201" s="1"/>
      <x:c r="S201" s="1"/>
      <x:c r="T201" s="1"/>
    </x:row>
    <x:row r="202" ht="18" customHeight="1">
      <x:c r="A202" s="1"/>
      <x:c r="B202" s="47" t="str">
        <x:f>IF($E202="","",195)</x:f>
      </x:c>
      <x:c r="C202" s="49" t="str">
        <x:f>IFERROR(INDEX('Offene Vorgänge'!$C$8:$C$207,MATCH(195,'Offene Vorgänge'!$I$8:$I$207,0)),"")</x:f>
      </x:c>
      <x:c r="D202" s="50" t="str">
        <x:f>IFERROR(INDEX('Offene Vorgänge'!$D$8:$D$207,MATCH(195,'Offene Vorgänge'!$I$8:$I$207,0)),"")</x:f>
      </x:c>
      <x:c r="E202" s="44" t="str">
        <x:f>IFERROR(INDEX('Offene Vorgänge'!$E$8:$E$207,MATCH(195,'Offene Vorgänge'!$I$8:$I$207,0)),"")</x:f>
      </x:c>
      <x:c r="F202" s="50" t="str">
        <x:f>IFERROR(INDEX('Offene Vorgänge'!$F$8:$F$207,MATCH(195,'Offene Vorgänge'!$I$8:$I$207,0)),"")</x:f>
      </x:c>
      <x:c r="G202" s="50" t="str">
        <x:f>IFERROR(INDEX('Offene Vorgänge'!$G$8:$G$207,MATCH(195,'Offene Vorgänge'!$I$8:$I$207,0)),"")</x:f>
      </x:c>
      <x:c r="H202" s="44" t="str">
        <x:f>IFERROR(INDEX('Offene Vorgänge'!$H$8:$H$207,MATCH(195,'Offene Vorgänge'!$I$8:$I$207,0)),"")</x:f>
      </x:c>
      <x:c r="I202" s="1"/>
      <x:c r="J202" s="1"/>
      <x:c r="K202" s="1"/>
      <x:c r="L202" s="1"/>
      <x:c r="M202" s="1"/>
      <x:c r="N202" s="1"/>
      <x:c r="O202" s="1"/>
      <x:c r="P202" s="1"/>
      <x:c r="Q202" s="1"/>
      <x:c r="R202" s="1"/>
      <x:c r="S202" s="1"/>
      <x:c r="T202" s="1"/>
    </x:row>
    <x:row r="203" ht="18" customHeight="1">
      <x:c r="A203" s="1"/>
      <x:c r="B203" s="47" t="str">
        <x:f>IF($E203="","",196)</x:f>
      </x:c>
      <x:c r="C203" s="49" t="str">
        <x:f>IFERROR(INDEX('Offene Vorgänge'!$C$8:$C$207,MATCH(196,'Offene Vorgänge'!$I$8:$I$207,0)),"")</x:f>
      </x:c>
      <x:c r="D203" s="50" t="str">
        <x:f>IFERROR(INDEX('Offene Vorgänge'!$D$8:$D$207,MATCH(196,'Offene Vorgänge'!$I$8:$I$207,0)),"")</x:f>
      </x:c>
      <x:c r="E203" s="44" t="str">
        <x:f>IFERROR(INDEX('Offene Vorgänge'!$E$8:$E$207,MATCH(196,'Offene Vorgänge'!$I$8:$I$207,0)),"")</x:f>
      </x:c>
      <x:c r="F203" s="50" t="str">
        <x:f>IFERROR(INDEX('Offene Vorgänge'!$F$8:$F$207,MATCH(196,'Offene Vorgänge'!$I$8:$I$207,0)),"")</x:f>
      </x:c>
      <x:c r="G203" s="50" t="str">
        <x:f>IFERROR(INDEX('Offene Vorgänge'!$G$8:$G$207,MATCH(196,'Offene Vorgänge'!$I$8:$I$207,0)),"")</x:f>
      </x:c>
      <x:c r="H203" s="44" t="str">
        <x:f>IFERROR(INDEX('Offene Vorgänge'!$H$8:$H$207,MATCH(196,'Offene Vorgänge'!$I$8:$I$207,0)),"")</x:f>
      </x:c>
      <x:c r="I203" s="1"/>
      <x:c r="J203" s="1"/>
      <x:c r="K203" s="1"/>
      <x:c r="L203" s="1"/>
      <x:c r="M203" s="1"/>
      <x:c r="N203" s="1"/>
      <x:c r="O203" s="1"/>
      <x:c r="P203" s="1"/>
      <x:c r="Q203" s="1"/>
      <x:c r="R203" s="1"/>
      <x:c r="S203" s="1"/>
      <x:c r="T203" s="1"/>
    </x:row>
    <x:row r="204" ht="18" customHeight="1">
      <x:c r="A204" s="1"/>
      <x:c r="B204" s="47" t="str">
        <x:f>IF($E204="","",197)</x:f>
      </x:c>
      <x:c r="C204" s="49" t="str">
        <x:f>IFERROR(INDEX('Offene Vorgänge'!$C$8:$C$207,MATCH(197,'Offene Vorgänge'!$I$8:$I$207,0)),"")</x:f>
      </x:c>
      <x:c r="D204" s="50" t="str">
        <x:f>IFERROR(INDEX('Offene Vorgänge'!$D$8:$D$207,MATCH(197,'Offene Vorgänge'!$I$8:$I$207,0)),"")</x:f>
      </x:c>
      <x:c r="E204" s="44" t="str">
        <x:f>IFERROR(INDEX('Offene Vorgänge'!$E$8:$E$207,MATCH(197,'Offene Vorgänge'!$I$8:$I$207,0)),"")</x:f>
      </x:c>
      <x:c r="F204" s="50" t="str">
        <x:f>IFERROR(INDEX('Offene Vorgänge'!$F$8:$F$207,MATCH(197,'Offene Vorgänge'!$I$8:$I$207,0)),"")</x:f>
      </x:c>
      <x:c r="G204" s="50" t="str">
        <x:f>IFERROR(INDEX('Offene Vorgänge'!$G$8:$G$207,MATCH(197,'Offene Vorgänge'!$I$8:$I$207,0)),"")</x:f>
      </x:c>
      <x:c r="H204" s="44" t="str">
        <x:f>IFERROR(INDEX('Offene Vorgänge'!$H$8:$H$207,MATCH(197,'Offene Vorgänge'!$I$8:$I$207,0)),"")</x:f>
      </x:c>
      <x:c r="I204" s="1"/>
      <x:c r="J204" s="1"/>
      <x:c r="K204" s="1"/>
      <x:c r="L204" s="1"/>
      <x:c r="M204" s="1"/>
      <x:c r="N204" s="1"/>
      <x:c r="O204" s="1"/>
      <x:c r="P204" s="1"/>
      <x:c r="Q204" s="1"/>
      <x:c r="R204" s="1"/>
      <x:c r="S204" s="1"/>
      <x:c r="T204" s="1"/>
    </x:row>
    <x:row r="205" ht="18" customHeight="1">
      <x:c r="A205" s="1"/>
      <x:c r="B205" s="47" t="str">
        <x:f>IF($E205="","",198)</x:f>
      </x:c>
      <x:c r="C205" s="49" t="str">
        <x:f>IFERROR(INDEX('Offene Vorgänge'!$C$8:$C$207,MATCH(198,'Offene Vorgänge'!$I$8:$I$207,0)),"")</x:f>
      </x:c>
      <x:c r="D205" s="50" t="str">
        <x:f>IFERROR(INDEX('Offene Vorgänge'!$D$8:$D$207,MATCH(198,'Offene Vorgänge'!$I$8:$I$207,0)),"")</x:f>
      </x:c>
      <x:c r="E205" s="44" t="str">
        <x:f>IFERROR(INDEX('Offene Vorgänge'!$E$8:$E$207,MATCH(198,'Offene Vorgänge'!$I$8:$I$207,0)),"")</x:f>
      </x:c>
      <x:c r="F205" s="50" t="str">
        <x:f>IFERROR(INDEX('Offene Vorgänge'!$F$8:$F$207,MATCH(198,'Offene Vorgänge'!$I$8:$I$207,0)),"")</x:f>
      </x:c>
      <x:c r="G205" s="50" t="str">
        <x:f>IFERROR(INDEX('Offene Vorgänge'!$G$8:$G$207,MATCH(198,'Offene Vorgänge'!$I$8:$I$207,0)),"")</x:f>
      </x:c>
      <x:c r="H205" s="44" t="str">
        <x:f>IFERROR(INDEX('Offene Vorgänge'!$H$8:$H$207,MATCH(198,'Offene Vorgänge'!$I$8:$I$207,0)),"")</x:f>
      </x:c>
      <x:c r="I205" s="1"/>
      <x:c r="J205" s="1"/>
      <x:c r="K205" s="1"/>
      <x:c r="L205" s="1"/>
      <x:c r="M205" s="1"/>
      <x:c r="N205" s="1"/>
      <x:c r="O205" s="1"/>
      <x:c r="P205" s="1"/>
      <x:c r="Q205" s="1"/>
      <x:c r="R205" s="1"/>
      <x:c r="S205" s="1"/>
      <x:c r="T205" s="1"/>
    </x:row>
    <x:row r="206" ht="18" customHeight="1">
      <x:c r="A206" s="1"/>
      <x:c r="B206" s="47" t="str">
        <x:f>IF($E206="","",199)</x:f>
      </x:c>
      <x:c r="C206" s="49" t="str">
        <x:f>IFERROR(INDEX('Offene Vorgänge'!$C$8:$C$207,MATCH(199,'Offene Vorgänge'!$I$8:$I$207,0)),"")</x:f>
      </x:c>
      <x:c r="D206" s="50" t="str">
        <x:f>IFERROR(INDEX('Offene Vorgänge'!$D$8:$D$207,MATCH(199,'Offene Vorgänge'!$I$8:$I$207,0)),"")</x:f>
      </x:c>
      <x:c r="E206" s="44" t="str">
        <x:f>IFERROR(INDEX('Offene Vorgänge'!$E$8:$E$207,MATCH(199,'Offene Vorgänge'!$I$8:$I$207,0)),"")</x:f>
      </x:c>
      <x:c r="F206" s="50" t="str">
        <x:f>IFERROR(INDEX('Offene Vorgänge'!$F$8:$F$207,MATCH(199,'Offene Vorgänge'!$I$8:$I$207,0)),"")</x:f>
      </x:c>
      <x:c r="G206" s="50" t="str">
        <x:f>IFERROR(INDEX('Offene Vorgänge'!$G$8:$G$207,MATCH(199,'Offene Vorgänge'!$I$8:$I$207,0)),"")</x:f>
      </x:c>
      <x:c r="H206" s="44" t="str">
        <x:f>IFERROR(INDEX('Offene Vorgänge'!$H$8:$H$207,MATCH(199,'Offene Vorgänge'!$I$8:$I$207,0)),"")</x:f>
      </x:c>
      <x:c r="I206" s="1"/>
      <x:c r="J206" s="1"/>
      <x:c r="K206" s="1"/>
      <x:c r="L206" s="1"/>
      <x:c r="M206" s="1"/>
      <x:c r="N206" s="1"/>
      <x:c r="O206" s="1"/>
      <x:c r="P206" s="1"/>
      <x:c r="Q206" s="1"/>
      <x:c r="R206" s="1"/>
      <x:c r="S206" s="1"/>
      <x:c r="T206" s="1"/>
    </x:row>
    <x:row r="207" ht="18" customHeight="1">
      <x:c r="A207" s="1"/>
      <x:c r="B207" s="47" t="str">
        <x:f>IF($E207="","",200)</x:f>
      </x:c>
      <x:c r="C207" s="49" t="str">
        <x:f>IFERROR(INDEX('Offene Vorgänge'!$C$8:$C$207,MATCH(200,'Offene Vorgänge'!$I$8:$I$207,0)),"")</x:f>
      </x:c>
      <x:c r="D207" s="50" t="str">
        <x:f>IFERROR(INDEX('Offene Vorgänge'!$D$8:$D$207,MATCH(200,'Offene Vorgänge'!$I$8:$I$207,0)),"")</x:f>
      </x:c>
      <x:c r="E207" s="44" t="str">
        <x:f>IFERROR(INDEX('Offene Vorgänge'!$E$8:$E$207,MATCH(200,'Offene Vorgänge'!$I$8:$I$207,0)),"")</x:f>
      </x:c>
      <x:c r="F207" s="50" t="str">
        <x:f>IFERROR(INDEX('Offene Vorgänge'!$F$8:$F$207,MATCH(200,'Offene Vorgänge'!$I$8:$I$207,0)),"")</x:f>
      </x:c>
      <x:c r="G207" s="50" t="str">
        <x:f>IFERROR(INDEX('Offene Vorgänge'!$G$8:$G$207,MATCH(200,'Offene Vorgänge'!$I$8:$I$207,0)),"")</x:f>
      </x:c>
      <x:c r="H207" s="44" t="str">
        <x:f>IFERROR(INDEX('Offene Vorgänge'!$H$8:$H$207,MATCH(200,'Offene Vorgänge'!$I$8:$I$207,0)),"")</x:f>
      </x:c>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row r="221" ht="18" customHeight="1">
      <x:c r="A221" s="1"/>
      <x:c r="B221" s="1"/>
      <x:c r="C221" s="1"/>
      <x:c r="D221" s="1"/>
      <x:c r="E221" s="1"/>
      <x:c r="F221" s="1"/>
      <x:c r="G221" s="1"/>
      <x:c r="H221" s="1"/>
      <x:c r="I221" s="1"/>
      <x:c r="J221" s="1"/>
      <x:c r="K221" s="1"/>
      <x:c r="L221" s="1"/>
      <x:c r="M221" s="1"/>
      <x:c r="N221" s="1"/>
      <x:c r="O221" s="1"/>
      <x:c r="P221" s="1"/>
      <x:c r="Q221" s="1"/>
      <x:c r="R221" s="1"/>
      <x:c r="S221" s="1"/>
      <x:c r="T221" s="1"/>
    </x:row>
    <x:row r="222" ht="18" customHeight="1">
      <x:c r="A222" s="1"/>
      <x:c r="B222" s="1"/>
      <x:c r="C222" s="1"/>
      <x:c r="D222" s="1"/>
      <x:c r="E222" s="1"/>
      <x:c r="F222" s="1"/>
      <x:c r="G222" s="1"/>
      <x:c r="H222" s="1"/>
      <x:c r="I222" s="1"/>
      <x:c r="J222" s="1"/>
      <x:c r="K222" s="1"/>
      <x:c r="L222" s="1"/>
      <x:c r="M222" s="1"/>
      <x:c r="N222" s="1"/>
      <x:c r="O222" s="1"/>
      <x:c r="P222" s="1"/>
      <x:c r="Q222" s="1"/>
      <x:c r="R222" s="1"/>
      <x:c r="S222" s="1"/>
      <x:c r="T222" s="1"/>
    </x:row>
  </x:sheetData>
  <x:mergeCells>
    <x:mergeCell ref="B3:H3"/>
    <x:mergeCell ref="B4:H4"/>
  </x:mergeCell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6" hidden="0" customWidth="1"/>
    <x:col min="3" max="3" width="23" hidden="0" customWidth="1"/>
    <x:col min="4" max="4" width="43.0099983215332" hidden="0" customWidth="1"/>
    <x:col min="5" max="5" width="13" hidden="0" customWidth="1"/>
    <x:col min="6" max="6" width="13" hidden="0" customWidth="1"/>
    <x:col min="7" max="7" width="35.0099983215332" hidden="0" customWidth="1"/>
    <x:col min="8" max="8" width="8.050000190734863"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Klasse</x:v>
      </x:c>
      <x:c r="C3" s="5"/>
      <x:c r="D3" s="5"/>
      <x:c r="E3" s="5"/>
      <x:c r="F3" s="5"/>
      <x:c r="G3" s="5"/>
      <x:c r="H3" s="1"/>
      <x:c r="I3" s="1"/>
      <x:c r="J3" s="1"/>
      <x:c r="K3" s="1"/>
      <x:c r="L3" s="1"/>
      <x:c r="M3" s="1"/>
      <x:c r="N3" s="1"/>
      <x:c r="O3" s="1"/>
      <x:c r="P3" s="1"/>
      <x:c r="Q3" s="1"/>
      <x:c r="R3" s="1"/>
      <x:c r="S3" s="1"/>
      <x:c r="T3" s="1"/>
    </x:row>
    <x:row r="4" ht="20.017499923706055" customHeight="1">
      <x:c r="A4" s="1"/>
      <x:c r="B4" s="8" t="str">
        <x:v>Organisatorische Minimalliste · sensible Angaben nur, wenn erforderlich und zulässig</x:v>
      </x:c>
      <x:c r="C4" s="8"/>
      <x:c r="D4" s="8"/>
      <x:c r="E4" s="8"/>
      <x:c r="F4" s="8"/>
      <x:c r="G4" s="8"/>
      <x:c r="H4" s="1"/>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14" t="str">
        <x:v>Nr.</x:v>
      </x:c>
      <x:c r="C7" s="14" t="str">
        <x:v>Name</x:v>
      </x:c>
      <x:c r="D7" s="14" t="str">
        <x:v>Organisationshinweis</x:v>
      </x:c>
      <x:c r="E7" s="14" t="str">
        <x:v>Eintritt</x:v>
      </x:c>
      <x:c r="F7" s="14" t="str">
        <x:v>Austritt</x:v>
      </x:c>
      <x:c r="G7" s="14" t="str">
        <x:v>Offizieller Ablageort</x:v>
      </x:c>
      <x:c r="H7" s="1"/>
      <x:c r="I7" s="1"/>
      <x:c r="J7" s="1"/>
      <x:c r="K7" s="1"/>
      <x:c r="L7" s="1"/>
      <x:c r="M7" s="1"/>
      <x:c r="N7" s="1"/>
      <x:c r="O7" s="1"/>
      <x:c r="P7" s="1"/>
      <x:c r="Q7" s="1"/>
      <x:c r="R7" s="1"/>
      <x:c r="S7" s="1"/>
      <x:c r="T7" s="1"/>
    </x:row>
    <x:row r="8" ht="18" customHeight="1">
      <x:c r="A8" s="1"/>
      <x:c r="B8" s="19" t="n">
        <x:v>1</x:v>
      </x:c>
      <x:c r="C8" s="55" t="str">
        <x:v>Anna Beispiel</x:v>
      </x:c>
      <x:c r="D8" s="31" t="str">
        <x:v>Beispieldatensatz · später löschen</x:v>
      </x:c>
      <x:c r="E8" s="32" t="str"/>
      <x:c r="F8" s="32" t="str"/>
      <x:c r="G8" s="27" t="str">
        <x:v>Schülerakte / Schulverwaltung</x:v>
      </x:c>
      <x:c r="H8" s="1"/>
      <x:c r="I8" s="1"/>
      <x:c r="J8" s="1"/>
      <x:c r="K8" s="1"/>
      <x:c r="L8" s="1"/>
      <x:c r="M8" s="1"/>
      <x:c r="N8" s="1"/>
      <x:c r="O8" s="1"/>
      <x:c r="P8" s="1"/>
      <x:c r="Q8" s="1"/>
      <x:c r="R8" s="1"/>
      <x:c r="S8" s="1"/>
      <x:c r="T8" s="1"/>
    </x:row>
    <x:row r="9" ht="18" customHeight="1">
      <x:c r="A9" s="1"/>
      <x:c r="B9" s="19" t="n">
        <x:v>2</x:v>
      </x:c>
      <x:c r="C9" s="55" t="str">
        <x:v>Ben Beispiel</x:v>
      </x:c>
      <x:c r="D9" s="31" t="str">
        <x:v>Beispieldatensatz · später löschen</x:v>
      </x:c>
      <x:c r="E9" s="32" t="str"/>
      <x:c r="F9" s="32" t="str"/>
      <x:c r="G9" s="27" t="str">
        <x:v>Schülerakte / Schulverwaltung</x:v>
      </x:c>
      <x:c r="H9" s="1"/>
      <x:c r="I9" s="1"/>
      <x:c r="J9" s="1"/>
      <x:c r="K9" s="1"/>
      <x:c r="L9" s="1"/>
      <x:c r="M9" s="1"/>
      <x:c r="N9" s="1"/>
      <x:c r="O9" s="1"/>
      <x:c r="P9" s="1"/>
      <x:c r="Q9" s="1"/>
      <x:c r="R9" s="1"/>
      <x:c r="S9" s="1"/>
      <x:c r="T9" s="1"/>
    </x:row>
    <x:row r="10" ht="18" customHeight="1">
      <x:c r="A10" s="1"/>
      <x:c r="B10" s="19" t="n">
        <x:v>3</x:v>
      </x:c>
      <x:c r="C10" s="55" t="str">
        <x:v>Carla Beispiel</x:v>
      </x:c>
      <x:c r="D10" s="31" t="str">
        <x:v>Beispieldatensatz · später löschen</x:v>
      </x:c>
      <x:c r="E10" s="32" t="str"/>
      <x:c r="F10" s="32" t="str"/>
      <x:c r="G10" s="27" t="str">
        <x:v>Schülerakte / Schulverwaltung</x:v>
      </x:c>
      <x:c r="H10" s="1"/>
      <x:c r="I10" s="1"/>
      <x:c r="J10" s="1"/>
      <x:c r="K10" s="1"/>
      <x:c r="L10" s="1"/>
      <x:c r="M10" s="1"/>
      <x:c r="N10" s="1"/>
      <x:c r="O10" s="1"/>
      <x:c r="P10" s="1"/>
      <x:c r="Q10" s="1"/>
      <x:c r="R10" s="1"/>
      <x:c r="S10" s="1"/>
      <x:c r="T10" s="1"/>
    </x:row>
    <x:row r="11" ht="18" customHeight="1">
      <x:c r="A11" s="1"/>
      <x:c r="B11" s="19" t="n">
        <x:v>4</x:v>
      </x:c>
      <x:c r="C11" s="55"/>
      <x:c r="D11" s="31"/>
      <x:c r="E11" s="32"/>
      <x:c r="F11" s="32"/>
      <x:c r="G11" s="27"/>
      <x:c r="H11" s="1"/>
      <x:c r="I11" s="1"/>
      <x:c r="J11" s="1"/>
      <x:c r="K11" s="1"/>
      <x:c r="L11" s="1"/>
      <x:c r="M11" s="1"/>
      <x:c r="N11" s="1"/>
      <x:c r="O11" s="1"/>
      <x:c r="P11" s="1"/>
      <x:c r="Q11" s="1"/>
      <x:c r="R11" s="1"/>
      <x:c r="S11" s="1"/>
      <x:c r="T11" s="1"/>
    </x:row>
    <x:row r="12" ht="18" customHeight="1">
      <x:c r="A12" s="1"/>
      <x:c r="B12" s="19" t="n">
        <x:v>5</x:v>
      </x:c>
      <x:c r="C12" s="55"/>
      <x:c r="D12" s="31"/>
      <x:c r="E12" s="32"/>
      <x:c r="F12" s="32"/>
      <x:c r="G12" s="27"/>
      <x:c r="H12" s="1"/>
      <x:c r="I12" s="1"/>
      <x:c r="J12" s="1"/>
      <x:c r="K12" s="1"/>
      <x:c r="L12" s="1"/>
      <x:c r="M12" s="1"/>
      <x:c r="N12" s="1"/>
      <x:c r="O12" s="1"/>
      <x:c r="P12" s="1"/>
      <x:c r="Q12" s="1"/>
      <x:c r="R12" s="1"/>
      <x:c r="S12" s="1"/>
      <x:c r="T12" s="1"/>
    </x:row>
    <x:row r="13" ht="18" customHeight="1">
      <x:c r="A13" s="1"/>
      <x:c r="B13" s="19" t="n">
        <x:v>6</x:v>
      </x:c>
      <x:c r="C13" s="55"/>
      <x:c r="D13" s="31"/>
      <x:c r="E13" s="32"/>
      <x:c r="F13" s="32"/>
      <x:c r="G13" s="27"/>
      <x:c r="H13" s="1"/>
      <x:c r="I13" s="1"/>
      <x:c r="J13" s="1"/>
      <x:c r="K13" s="1"/>
      <x:c r="L13" s="1"/>
      <x:c r="M13" s="1"/>
      <x:c r="N13" s="1"/>
      <x:c r="O13" s="1"/>
      <x:c r="P13" s="1"/>
      <x:c r="Q13" s="1"/>
      <x:c r="R13" s="1"/>
      <x:c r="S13" s="1"/>
      <x:c r="T13" s="1"/>
    </x:row>
    <x:row r="14" ht="18" customHeight="1">
      <x:c r="A14" s="1"/>
      <x:c r="B14" s="19" t="n">
        <x:v>7</x:v>
      </x:c>
      <x:c r="C14" s="55"/>
      <x:c r="D14" s="31"/>
      <x:c r="E14" s="32"/>
      <x:c r="F14" s="32"/>
      <x:c r="G14" s="27"/>
      <x:c r="H14" s="1"/>
      <x:c r="I14" s="1"/>
      <x:c r="J14" s="1"/>
      <x:c r="K14" s="1"/>
      <x:c r="L14" s="1"/>
      <x:c r="M14" s="1"/>
      <x:c r="N14" s="1"/>
      <x:c r="O14" s="1"/>
      <x:c r="P14" s="1"/>
      <x:c r="Q14" s="1"/>
      <x:c r="R14" s="1"/>
      <x:c r="S14" s="1"/>
      <x:c r="T14" s="1"/>
    </x:row>
    <x:row r="15" ht="18" customHeight="1">
      <x:c r="A15" s="1"/>
      <x:c r="B15" s="19" t="n">
        <x:v>8</x:v>
      </x:c>
      <x:c r="C15" s="55"/>
      <x:c r="D15" s="31"/>
      <x:c r="E15" s="32"/>
      <x:c r="F15" s="32"/>
      <x:c r="G15" s="27"/>
      <x:c r="H15" s="1"/>
      <x:c r="I15" s="1"/>
      <x:c r="J15" s="1"/>
      <x:c r="K15" s="1"/>
      <x:c r="L15" s="1"/>
      <x:c r="M15" s="1"/>
      <x:c r="N15" s="1"/>
      <x:c r="O15" s="1"/>
      <x:c r="P15" s="1"/>
      <x:c r="Q15" s="1"/>
      <x:c r="R15" s="1"/>
      <x:c r="S15" s="1"/>
      <x:c r="T15" s="1"/>
    </x:row>
    <x:row r="16" ht="18" customHeight="1">
      <x:c r="A16" s="1"/>
      <x:c r="B16" s="19" t="n">
        <x:v>9</x:v>
      </x:c>
      <x:c r="C16" s="55"/>
      <x:c r="D16" s="31"/>
      <x:c r="E16" s="32"/>
      <x:c r="F16" s="32"/>
      <x:c r="G16" s="27"/>
      <x:c r="H16" s="1"/>
      <x:c r="I16" s="1"/>
      <x:c r="J16" s="1"/>
      <x:c r="K16" s="1"/>
      <x:c r="L16" s="1"/>
      <x:c r="M16" s="1"/>
      <x:c r="N16" s="1"/>
      <x:c r="O16" s="1"/>
      <x:c r="P16" s="1"/>
      <x:c r="Q16" s="1"/>
      <x:c r="R16" s="1"/>
      <x:c r="S16" s="1"/>
      <x:c r="T16" s="1"/>
    </x:row>
    <x:row r="17" ht="18" customHeight="1">
      <x:c r="A17" s="1"/>
      <x:c r="B17" s="19" t="n">
        <x:v>10</x:v>
      </x:c>
      <x:c r="C17" s="55"/>
      <x:c r="D17" s="31"/>
      <x:c r="E17" s="32"/>
      <x:c r="F17" s="32"/>
      <x:c r="G17" s="27"/>
      <x:c r="H17" s="1"/>
      <x:c r="I17" s="1"/>
      <x:c r="J17" s="1"/>
      <x:c r="K17" s="1"/>
      <x:c r="L17" s="1"/>
      <x:c r="M17" s="1"/>
      <x:c r="N17" s="1"/>
      <x:c r="O17" s="1"/>
      <x:c r="P17" s="1"/>
      <x:c r="Q17" s="1"/>
      <x:c r="R17" s="1"/>
      <x:c r="S17" s="1"/>
      <x:c r="T17" s="1"/>
    </x:row>
    <x:row r="18" ht="18" customHeight="1">
      <x:c r="A18" s="1"/>
      <x:c r="B18" s="19" t="n">
        <x:v>11</x:v>
      </x:c>
      <x:c r="C18" s="55"/>
      <x:c r="D18" s="31"/>
      <x:c r="E18" s="32"/>
      <x:c r="F18" s="32"/>
      <x:c r="G18" s="27"/>
      <x:c r="H18" s="1"/>
      <x:c r="I18" s="1"/>
      <x:c r="J18" s="1"/>
      <x:c r="K18" s="1"/>
      <x:c r="L18" s="1"/>
      <x:c r="M18" s="1"/>
      <x:c r="N18" s="1"/>
      <x:c r="O18" s="1"/>
      <x:c r="P18" s="1"/>
      <x:c r="Q18" s="1"/>
      <x:c r="R18" s="1"/>
      <x:c r="S18" s="1"/>
      <x:c r="T18" s="1"/>
    </x:row>
    <x:row r="19" ht="18" customHeight="1">
      <x:c r="A19" s="1"/>
      <x:c r="B19" s="19" t="n">
        <x:v>12</x:v>
      </x:c>
      <x:c r="C19" s="55"/>
      <x:c r="D19" s="31"/>
      <x:c r="E19" s="32"/>
      <x:c r="F19" s="32"/>
      <x:c r="G19" s="27"/>
      <x:c r="H19" s="1"/>
      <x:c r="I19" s="1"/>
      <x:c r="J19" s="1"/>
      <x:c r="K19" s="1"/>
      <x:c r="L19" s="1"/>
      <x:c r="M19" s="1"/>
      <x:c r="N19" s="1"/>
      <x:c r="O19" s="1"/>
      <x:c r="P19" s="1"/>
      <x:c r="Q19" s="1"/>
      <x:c r="R19" s="1"/>
      <x:c r="S19" s="1"/>
      <x:c r="T19" s="1"/>
    </x:row>
    <x:row r="20" ht="18" customHeight="1">
      <x:c r="A20" s="1"/>
      <x:c r="B20" s="19" t="n">
        <x:v>13</x:v>
      </x:c>
      <x:c r="C20" s="55"/>
      <x:c r="D20" s="31"/>
      <x:c r="E20" s="32"/>
      <x:c r="F20" s="32"/>
      <x:c r="G20" s="27"/>
      <x:c r="H20" s="1"/>
      <x:c r="I20" s="1"/>
      <x:c r="J20" s="1"/>
      <x:c r="K20" s="1"/>
      <x:c r="L20" s="1"/>
      <x:c r="M20" s="1"/>
      <x:c r="N20" s="1"/>
      <x:c r="O20" s="1"/>
      <x:c r="P20" s="1"/>
      <x:c r="Q20" s="1"/>
      <x:c r="R20" s="1"/>
      <x:c r="S20" s="1"/>
      <x:c r="T20" s="1"/>
    </x:row>
    <x:row r="21" ht="18" customHeight="1">
      <x:c r="A21" s="1"/>
      <x:c r="B21" s="19" t="n">
        <x:v>14</x:v>
      </x:c>
      <x:c r="C21" s="55"/>
      <x:c r="D21" s="31"/>
      <x:c r="E21" s="32"/>
      <x:c r="F21" s="32"/>
      <x:c r="G21" s="27"/>
      <x:c r="H21" s="1"/>
      <x:c r="I21" s="1"/>
      <x:c r="J21" s="1"/>
      <x:c r="K21" s="1"/>
      <x:c r="L21" s="1"/>
      <x:c r="M21" s="1"/>
      <x:c r="N21" s="1"/>
      <x:c r="O21" s="1"/>
      <x:c r="P21" s="1"/>
      <x:c r="Q21" s="1"/>
      <x:c r="R21" s="1"/>
      <x:c r="S21" s="1"/>
      <x:c r="T21" s="1"/>
    </x:row>
    <x:row r="22" ht="18" customHeight="1">
      <x:c r="A22" s="1"/>
      <x:c r="B22" s="19" t="n">
        <x:v>15</x:v>
      </x:c>
      <x:c r="C22" s="55"/>
      <x:c r="D22" s="31"/>
      <x:c r="E22" s="32"/>
      <x:c r="F22" s="32"/>
      <x:c r="G22" s="27"/>
      <x:c r="H22" s="1"/>
      <x:c r="I22" s="1"/>
      <x:c r="J22" s="1"/>
      <x:c r="K22" s="1"/>
      <x:c r="L22" s="1"/>
      <x:c r="M22" s="1"/>
      <x:c r="N22" s="1"/>
      <x:c r="O22" s="1"/>
      <x:c r="P22" s="1"/>
      <x:c r="Q22" s="1"/>
      <x:c r="R22" s="1"/>
      <x:c r="S22" s="1"/>
      <x:c r="T22" s="1"/>
    </x:row>
    <x:row r="23" ht="18" customHeight="1">
      <x:c r="A23" s="1"/>
      <x:c r="B23" s="19" t="n">
        <x:v>16</x:v>
      </x:c>
      <x:c r="C23" s="55"/>
      <x:c r="D23" s="31"/>
      <x:c r="E23" s="32"/>
      <x:c r="F23" s="32"/>
      <x:c r="G23" s="27"/>
      <x:c r="H23" s="1"/>
      <x:c r="I23" s="1"/>
      <x:c r="J23" s="1"/>
      <x:c r="K23" s="1"/>
      <x:c r="L23" s="1"/>
      <x:c r="M23" s="1"/>
      <x:c r="N23" s="1"/>
      <x:c r="O23" s="1"/>
      <x:c r="P23" s="1"/>
      <x:c r="Q23" s="1"/>
      <x:c r="R23" s="1"/>
      <x:c r="S23" s="1"/>
      <x:c r="T23" s="1"/>
    </x:row>
    <x:row r="24" ht="18" customHeight="1">
      <x:c r="A24" s="1"/>
      <x:c r="B24" s="19" t="n">
        <x:v>17</x:v>
      </x:c>
      <x:c r="C24" s="55"/>
      <x:c r="D24" s="31"/>
      <x:c r="E24" s="32"/>
      <x:c r="F24" s="32"/>
      <x:c r="G24" s="27"/>
      <x:c r="H24" s="1"/>
      <x:c r="I24" s="1"/>
      <x:c r="J24" s="1"/>
      <x:c r="K24" s="1"/>
      <x:c r="L24" s="1"/>
      <x:c r="M24" s="1"/>
      <x:c r="N24" s="1"/>
      <x:c r="O24" s="1"/>
      <x:c r="P24" s="1"/>
      <x:c r="Q24" s="1"/>
      <x:c r="R24" s="1"/>
      <x:c r="S24" s="1"/>
      <x:c r="T24" s="1"/>
    </x:row>
    <x:row r="25" ht="18" customHeight="1">
      <x:c r="A25" s="1"/>
      <x:c r="B25" s="19" t="n">
        <x:v>18</x:v>
      </x:c>
      <x:c r="C25" s="55"/>
      <x:c r="D25" s="31"/>
      <x:c r="E25" s="32"/>
      <x:c r="F25" s="32"/>
      <x:c r="G25" s="27"/>
      <x:c r="H25" s="1"/>
      <x:c r="I25" s="1"/>
      <x:c r="J25" s="1"/>
      <x:c r="K25" s="1"/>
      <x:c r="L25" s="1"/>
      <x:c r="M25" s="1"/>
      <x:c r="N25" s="1"/>
      <x:c r="O25" s="1"/>
      <x:c r="P25" s="1"/>
      <x:c r="Q25" s="1"/>
      <x:c r="R25" s="1"/>
      <x:c r="S25" s="1"/>
      <x:c r="T25" s="1"/>
    </x:row>
    <x:row r="26" ht="18" customHeight="1">
      <x:c r="A26" s="1"/>
      <x:c r="B26" s="19" t="n">
        <x:v>19</x:v>
      </x:c>
      <x:c r="C26" s="55"/>
      <x:c r="D26" s="31"/>
      <x:c r="E26" s="32"/>
      <x:c r="F26" s="32"/>
      <x:c r="G26" s="27"/>
      <x:c r="H26" s="1"/>
      <x:c r="I26" s="1"/>
      <x:c r="J26" s="1"/>
      <x:c r="K26" s="1"/>
      <x:c r="L26" s="1"/>
      <x:c r="M26" s="1"/>
      <x:c r="N26" s="1"/>
      <x:c r="O26" s="1"/>
      <x:c r="P26" s="1"/>
      <x:c r="Q26" s="1"/>
      <x:c r="R26" s="1"/>
      <x:c r="S26" s="1"/>
      <x:c r="T26" s="1"/>
    </x:row>
    <x:row r="27" ht="18" customHeight="1">
      <x:c r="A27" s="1"/>
      <x:c r="B27" s="19" t="n">
        <x:v>20</x:v>
      </x:c>
      <x:c r="C27" s="55"/>
      <x:c r="D27" s="31"/>
      <x:c r="E27" s="32"/>
      <x:c r="F27" s="32"/>
      <x:c r="G27" s="27"/>
      <x:c r="H27" s="1"/>
      <x:c r="I27" s="1"/>
      <x:c r="J27" s="1"/>
      <x:c r="K27" s="1"/>
      <x:c r="L27" s="1"/>
      <x:c r="M27" s="1"/>
      <x:c r="N27" s="1"/>
      <x:c r="O27" s="1"/>
      <x:c r="P27" s="1"/>
      <x:c r="Q27" s="1"/>
      <x:c r="R27" s="1"/>
      <x:c r="S27" s="1"/>
      <x:c r="T27" s="1"/>
    </x:row>
    <x:row r="28" ht="18" customHeight="1">
      <x:c r="A28" s="1"/>
      <x:c r="B28" s="19" t="n">
        <x:v>21</x:v>
      </x:c>
      <x:c r="C28" s="55"/>
      <x:c r="D28" s="31"/>
      <x:c r="E28" s="32"/>
      <x:c r="F28" s="32"/>
      <x:c r="G28" s="27"/>
      <x:c r="H28" s="1"/>
      <x:c r="I28" s="1"/>
      <x:c r="J28" s="1"/>
      <x:c r="K28" s="1"/>
      <x:c r="L28" s="1"/>
      <x:c r="M28" s="1"/>
      <x:c r="N28" s="1"/>
      <x:c r="O28" s="1"/>
      <x:c r="P28" s="1"/>
      <x:c r="Q28" s="1"/>
      <x:c r="R28" s="1"/>
      <x:c r="S28" s="1"/>
      <x:c r="T28" s="1"/>
    </x:row>
    <x:row r="29" ht="18" customHeight="1">
      <x:c r="A29" s="1"/>
      <x:c r="B29" s="19" t="n">
        <x:v>22</x:v>
      </x:c>
      <x:c r="C29" s="55"/>
      <x:c r="D29" s="31"/>
      <x:c r="E29" s="32"/>
      <x:c r="F29" s="32"/>
      <x:c r="G29" s="27"/>
      <x:c r="H29" s="1"/>
      <x:c r="I29" s="1"/>
      <x:c r="J29" s="1"/>
      <x:c r="K29" s="1"/>
      <x:c r="L29" s="1"/>
      <x:c r="M29" s="1"/>
      <x:c r="N29" s="1"/>
      <x:c r="O29" s="1"/>
      <x:c r="P29" s="1"/>
      <x:c r="Q29" s="1"/>
      <x:c r="R29" s="1"/>
      <x:c r="S29" s="1"/>
      <x:c r="T29" s="1"/>
    </x:row>
    <x:row r="30" ht="18" customHeight="1">
      <x:c r="A30" s="1"/>
      <x:c r="B30" s="19" t="n">
        <x:v>23</x:v>
      </x:c>
      <x:c r="C30" s="55"/>
      <x:c r="D30" s="31"/>
      <x:c r="E30" s="32"/>
      <x:c r="F30" s="32"/>
      <x:c r="G30" s="27"/>
      <x:c r="H30" s="1"/>
      <x:c r="I30" s="1"/>
      <x:c r="J30" s="1"/>
      <x:c r="K30" s="1"/>
      <x:c r="L30" s="1"/>
      <x:c r="M30" s="1"/>
      <x:c r="N30" s="1"/>
      <x:c r="O30" s="1"/>
      <x:c r="P30" s="1"/>
      <x:c r="Q30" s="1"/>
      <x:c r="R30" s="1"/>
      <x:c r="S30" s="1"/>
      <x:c r="T30" s="1"/>
    </x:row>
    <x:row r="31" ht="18" customHeight="1">
      <x:c r="A31" s="1"/>
      <x:c r="B31" s="19" t="n">
        <x:v>24</x:v>
      </x:c>
      <x:c r="C31" s="55"/>
      <x:c r="D31" s="31"/>
      <x:c r="E31" s="32"/>
      <x:c r="F31" s="32"/>
      <x:c r="G31" s="27"/>
      <x:c r="H31" s="1"/>
      <x:c r="I31" s="1"/>
      <x:c r="J31" s="1"/>
      <x:c r="K31" s="1"/>
      <x:c r="L31" s="1"/>
      <x:c r="M31" s="1"/>
      <x:c r="N31" s="1"/>
      <x:c r="O31" s="1"/>
      <x:c r="P31" s="1"/>
      <x:c r="Q31" s="1"/>
      <x:c r="R31" s="1"/>
      <x:c r="S31" s="1"/>
      <x:c r="T31" s="1"/>
    </x:row>
    <x:row r="32" ht="18" customHeight="1">
      <x:c r="A32" s="1"/>
      <x:c r="B32" s="19" t="n">
        <x:v>25</x:v>
      </x:c>
      <x:c r="C32" s="55"/>
      <x:c r="D32" s="31"/>
      <x:c r="E32" s="32"/>
      <x:c r="F32" s="32"/>
      <x:c r="G32" s="27"/>
      <x:c r="H32" s="1"/>
      <x:c r="I32" s="1"/>
      <x:c r="J32" s="1"/>
      <x:c r="K32" s="1"/>
      <x:c r="L32" s="1"/>
      <x:c r="M32" s="1"/>
      <x:c r="N32" s="1"/>
      <x:c r="O32" s="1"/>
      <x:c r="P32" s="1"/>
      <x:c r="Q32" s="1"/>
      <x:c r="R32" s="1"/>
      <x:c r="S32" s="1"/>
      <x:c r="T32" s="1"/>
    </x:row>
    <x:row r="33" ht="18" customHeight="1">
      <x:c r="A33" s="1"/>
      <x:c r="B33" s="19" t="n">
        <x:v>26</x:v>
      </x:c>
      <x:c r="C33" s="55"/>
      <x:c r="D33" s="31"/>
      <x:c r="E33" s="32"/>
      <x:c r="F33" s="32"/>
      <x:c r="G33" s="27"/>
      <x:c r="H33" s="1"/>
      <x:c r="I33" s="1"/>
      <x:c r="J33" s="1"/>
      <x:c r="K33" s="1"/>
      <x:c r="L33" s="1"/>
      <x:c r="M33" s="1"/>
      <x:c r="N33" s="1"/>
      <x:c r="O33" s="1"/>
      <x:c r="P33" s="1"/>
      <x:c r="Q33" s="1"/>
      <x:c r="R33" s="1"/>
      <x:c r="S33" s="1"/>
      <x:c r="T33" s="1"/>
    </x:row>
    <x:row r="34" ht="18" customHeight="1">
      <x:c r="A34" s="1"/>
      <x:c r="B34" s="19" t="n">
        <x:v>27</x:v>
      </x:c>
      <x:c r="C34" s="55"/>
      <x:c r="D34" s="31"/>
      <x:c r="E34" s="32"/>
      <x:c r="F34" s="32"/>
      <x:c r="G34" s="27"/>
      <x:c r="H34" s="1"/>
      <x:c r="I34" s="1"/>
      <x:c r="J34" s="1"/>
      <x:c r="K34" s="1"/>
      <x:c r="L34" s="1"/>
      <x:c r="M34" s="1"/>
      <x:c r="N34" s="1"/>
      <x:c r="O34" s="1"/>
      <x:c r="P34" s="1"/>
      <x:c r="Q34" s="1"/>
      <x:c r="R34" s="1"/>
      <x:c r="S34" s="1"/>
      <x:c r="T34" s="1"/>
    </x:row>
    <x:row r="35" ht="18" customHeight="1">
      <x:c r="A35" s="1"/>
      <x:c r="B35" s="19" t="n">
        <x:v>28</x:v>
      </x:c>
      <x:c r="C35" s="55"/>
      <x:c r="D35" s="31"/>
      <x:c r="E35" s="32"/>
      <x:c r="F35" s="32"/>
      <x:c r="G35" s="27"/>
      <x:c r="H35" s="1"/>
      <x:c r="I35" s="1"/>
      <x:c r="J35" s="1"/>
      <x:c r="K35" s="1"/>
      <x:c r="L35" s="1"/>
      <x:c r="M35" s="1"/>
      <x:c r="N35" s="1"/>
      <x:c r="O35" s="1"/>
      <x:c r="P35" s="1"/>
      <x:c r="Q35" s="1"/>
      <x:c r="R35" s="1"/>
      <x:c r="S35" s="1"/>
      <x:c r="T35" s="1"/>
    </x:row>
    <x:row r="36" ht="18" customHeight="1">
      <x:c r="A36" s="1"/>
      <x:c r="B36" s="19" t="n">
        <x:v>29</x:v>
      </x:c>
      <x:c r="C36" s="55"/>
      <x:c r="D36" s="31"/>
      <x:c r="E36" s="32"/>
      <x:c r="F36" s="32"/>
      <x:c r="G36" s="27"/>
      <x:c r="H36" s="1"/>
      <x:c r="I36" s="1"/>
      <x:c r="J36" s="1"/>
      <x:c r="K36" s="1"/>
      <x:c r="L36" s="1"/>
      <x:c r="M36" s="1"/>
      <x:c r="N36" s="1"/>
      <x:c r="O36" s="1"/>
      <x:c r="P36" s="1"/>
      <x:c r="Q36" s="1"/>
      <x:c r="R36" s="1"/>
      <x:c r="S36" s="1"/>
      <x:c r="T36" s="1"/>
    </x:row>
    <x:row r="37" ht="18" customHeight="1">
      <x:c r="A37" s="1"/>
      <x:c r="B37" s="19" t="n">
        <x:v>30</x:v>
      </x:c>
      <x:c r="C37" s="55"/>
      <x:c r="D37" s="31"/>
      <x:c r="E37" s="32"/>
      <x:c r="F37" s="32"/>
      <x:c r="G37" s="27"/>
      <x:c r="H37" s="1"/>
      <x:c r="I37" s="1"/>
      <x:c r="J37" s="1"/>
      <x:c r="K37" s="1"/>
      <x:c r="L37" s="1"/>
      <x:c r="M37" s="1"/>
      <x:c r="N37" s="1"/>
      <x:c r="O37" s="1"/>
      <x:c r="P37" s="1"/>
      <x:c r="Q37" s="1"/>
      <x:c r="R37" s="1"/>
      <x:c r="S37" s="1"/>
      <x:c r="T37" s="1"/>
    </x:row>
    <x:row r="38" ht="18" customHeight="1">
      <x:c r="A38" s="1"/>
      <x:c r="B38" s="19" t="n">
        <x:v>31</x:v>
      </x:c>
      <x:c r="C38" s="55"/>
      <x:c r="D38" s="31"/>
      <x:c r="E38" s="32"/>
      <x:c r="F38" s="32"/>
      <x:c r="G38" s="27"/>
      <x:c r="H38" s="1"/>
      <x:c r="I38" s="1"/>
      <x:c r="J38" s="1"/>
      <x:c r="K38" s="1"/>
      <x:c r="L38" s="1"/>
      <x:c r="M38" s="1"/>
      <x:c r="N38" s="1"/>
      <x:c r="O38" s="1"/>
      <x:c r="P38" s="1"/>
      <x:c r="Q38" s="1"/>
      <x:c r="R38" s="1"/>
      <x:c r="S38" s="1"/>
      <x:c r="T38" s="1"/>
    </x:row>
    <x:row r="39" ht="18" customHeight="1">
      <x:c r="A39" s="1"/>
      <x:c r="B39" s="19" t="n">
        <x:v>32</x:v>
      </x:c>
      <x:c r="C39" s="55"/>
      <x:c r="D39" s="31"/>
      <x:c r="E39" s="32"/>
      <x:c r="F39" s="32"/>
      <x:c r="G39" s="27"/>
      <x:c r="H39" s="1"/>
      <x:c r="I39" s="1"/>
      <x:c r="J39" s="1"/>
      <x:c r="K39" s="1"/>
      <x:c r="L39" s="1"/>
      <x:c r="M39" s="1"/>
      <x:c r="N39" s="1"/>
      <x:c r="O39" s="1"/>
      <x:c r="P39" s="1"/>
      <x:c r="Q39" s="1"/>
      <x:c r="R39" s="1"/>
      <x:c r="S39" s="1"/>
      <x:c r="T39" s="1"/>
    </x:row>
    <x:row r="40" ht="18" customHeight="1">
      <x:c r="A40" s="1"/>
      <x:c r="B40" s="19" t="n">
        <x:v>33</x:v>
      </x:c>
      <x:c r="C40" s="55"/>
      <x:c r="D40" s="31"/>
      <x:c r="E40" s="32"/>
      <x:c r="F40" s="32"/>
      <x:c r="G40" s="27"/>
      <x:c r="H40" s="1"/>
      <x:c r="I40" s="1"/>
      <x:c r="J40" s="1"/>
      <x:c r="K40" s="1"/>
      <x:c r="L40" s="1"/>
      <x:c r="M40" s="1"/>
      <x:c r="N40" s="1"/>
      <x:c r="O40" s="1"/>
      <x:c r="P40" s="1"/>
      <x:c r="Q40" s="1"/>
      <x:c r="R40" s="1"/>
      <x:c r="S40" s="1"/>
      <x:c r="T40" s="1"/>
    </x:row>
    <x:row r="41" ht="18" customHeight="1">
      <x:c r="A41" s="1"/>
      <x:c r="B41" s="19" t="n">
        <x:v>34</x:v>
      </x:c>
      <x:c r="C41" s="55"/>
      <x:c r="D41" s="31"/>
      <x:c r="E41" s="32"/>
      <x:c r="F41" s="32"/>
      <x:c r="G41" s="27"/>
      <x:c r="H41" s="1"/>
      <x:c r="I41" s="1"/>
      <x:c r="J41" s="1"/>
      <x:c r="K41" s="1"/>
      <x:c r="L41" s="1"/>
      <x:c r="M41" s="1"/>
      <x:c r="N41" s="1"/>
      <x:c r="O41" s="1"/>
      <x:c r="P41" s="1"/>
      <x:c r="Q41" s="1"/>
      <x:c r="R41" s="1"/>
      <x:c r="S41" s="1"/>
      <x:c r="T41" s="1"/>
    </x:row>
    <x:row r="42" ht="18" customHeight="1">
      <x:c r="A42" s="1"/>
      <x:c r="B42" s="19" t="n">
        <x:v>35</x:v>
      </x:c>
      <x:c r="C42" s="55"/>
      <x:c r="D42" s="31"/>
      <x:c r="E42" s="32"/>
      <x:c r="F42" s="32"/>
      <x:c r="G42" s="27"/>
      <x:c r="H42" s="1"/>
      <x:c r="I42" s="1"/>
      <x:c r="J42" s="1"/>
      <x:c r="K42" s="1"/>
      <x:c r="L42" s="1"/>
      <x:c r="M42" s="1"/>
      <x:c r="N42" s="1"/>
      <x:c r="O42" s="1"/>
      <x:c r="P42" s="1"/>
      <x:c r="Q42" s="1"/>
      <x:c r="R42" s="1"/>
      <x:c r="S42" s="1"/>
      <x:c r="T42" s="1"/>
    </x:row>
    <x:row r="43" ht="18" customHeight="1">
      <x:c r="A43" s="1"/>
      <x:c r="B43" s="19" t="n">
        <x:v>36</x:v>
      </x:c>
      <x:c r="C43" s="55"/>
      <x:c r="D43" s="31"/>
      <x:c r="E43" s="32"/>
      <x:c r="F43" s="32"/>
      <x:c r="G43" s="27"/>
      <x:c r="H43" s="1"/>
      <x:c r="I43" s="1"/>
      <x:c r="J43" s="1"/>
      <x:c r="K43" s="1"/>
      <x:c r="L43" s="1"/>
      <x:c r="M43" s="1"/>
      <x:c r="N43" s="1"/>
      <x:c r="O43" s="1"/>
      <x:c r="P43" s="1"/>
      <x:c r="Q43" s="1"/>
      <x:c r="R43" s="1"/>
      <x:c r="S43" s="1"/>
      <x:c r="T43" s="1"/>
    </x:row>
    <x:row r="44" ht="18" customHeight="1">
      <x:c r="A44" s="1"/>
      <x:c r="B44" s="19" t="n">
        <x:v>37</x:v>
      </x:c>
      <x:c r="C44" s="55"/>
      <x:c r="D44" s="31"/>
      <x:c r="E44" s="32"/>
      <x:c r="F44" s="32"/>
      <x:c r="G44" s="27"/>
      <x:c r="H44" s="1"/>
      <x:c r="I44" s="1"/>
      <x:c r="J44" s="1"/>
      <x:c r="K44" s="1"/>
      <x:c r="L44" s="1"/>
      <x:c r="M44" s="1"/>
      <x:c r="N44" s="1"/>
      <x:c r="O44" s="1"/>
      <x:c r="P44" s="1"/>
      <x:c r="Q44" s="1"/>
      <x:c r="R44" s="1"/>
      <x:c r="S44" s="1"/>
      <x:c r="T44" s="1"/>
    </x:row>
    <x:row r="45" ht="18" customHeight="1">
      <x:c r="A45" s="1"/>
      <x:c r="B45" s="19" t="n">
        <x:v>38</x:v>
      </x:c>
      <x:c r="C45" s="55"/>
      <x:c r="D45" s="31"/>
      <x:c r="E45" s="32"/>
      <x:c r="F45" s="32"/>
      <x:c r="G45" s="27"/>
      <x:c r="H45" s="1"/>
      <x:c r="I45" s="1"/>
      <x:c r="J45" s="1"/>
      <x:c r="K45" s="1"/>
      <x:c r="L45" s="1"/>
      <x:c r="M45" s="1"/>
      <x:c r="N45" s="1"/>
      <x:c r="O45" s="1"/>
      <x:c r="P45" s="1"/>
      <x:c r="Q45" s="1"/>
      <x:c r="R45" s="1"/>
      <x:c r="S45" s="1"/>
      <x:c r="T45" s="1"/>
    </x:row>
    <x:row r="46" ht="18" customHeight="1">
      <x:c r="A46" s="1"/>
      <x:c r="B46" s="19" t="n">
        <x:v>39</x:v>
      </x:c>
      <x:c r="C46" s="55"/>
      <x:c r="D46" s="31"/>
      <x:c r="E46" s="32"/>
      <x:c r="F46" s="32"/>
      <x:c r="G46" s="27"/>
      <x:c r="H46" s="1"/>
      <x:c r="I46" s="1"/>
      <x:c r="J46" s="1"/>
      <x:c r="K46" s="1"/>
      <x:c r="L46" s="1"/>
      <x:c r="M46" s="1"/>
      <x:c r="N46" s="1"/>
      <x:c r="O46" s="1"/>
      <x:c r="P46" s="1"/>
      <x:c r="Q46" s="1"/>
      <x:c r="R46" s="1"/>
      <x:c r="S46" s="1"/>
      <x:c r="T46" s="1"/>
    </x:row>
    <x:row r="47" ht="18" customHeight="1">
      <x:c r="A47" s="1"/>
      <x:c r="B47" s="19" t="n">
        <x:v>40</x:v>
      </x:c>
      <x:c r="C47" s="55"/>
      <x:c r="D47" s="31"/>
      <x:c r="E47" s="32"/>
      <x:c r="F47" s="32"/>
      <x:c r="G47" s="27"/>
      <x:c r="H47" s="1"/>
      <x:c r="I47" s="1"/>
      <x:c r="J47" s="1"/>
      <x:c r="K47" s="1"/>
      <x:c r="L47" s="1"/>
      <x:c r="M47" s="1"/>
      <x:c r="N47" s="1"/>
      <x:c r="O47" s="1"/>
      <x:c r="P47" s="1"/>
      <x:c r="Q47" s="1"/>
      <x:c r="R47" s="1"/>
      <x:c r="S47" s="1"/>
      <x:c r="T47" s="1"/>
    </x:row>
    <x:row r="48" ht="18" customHeight="1">
      <x:c r="A48" s="1"/>
      <x:c r="B48" s="1"/>
      <x:c r="C48" s="1"/>
      <x:c r="D48" s="1"/>
      <x:c r="E48" s="1"/>
      <x:c r="F48" s="1"/>
      <x:c r="G48" s="1"/>
      <x:c r="H48" s="1"/>
      <x:c r="I48" s="1"/>
      <x:c r="J48" s="1"/>
      <x:c r="K48" s="1"/>
      <x:c r="L48" s="1"/>
      <x:c r="M48" s="1"/>
      <x:c r="N48" s="1"/>
      <x:c r="O48" s="1"/>
      <x:c r="P48" s="1"/>
      <x:c r="Q48" s="1"/>
      <x:c r="R48" s="1"/>
      <x:c r="S48" s="1"/>
      <x:c r="T48" s="1"/>
    </x:row>
    <x:row r="49" ht="18" customHeight="1">
      <x:c r="A49" s="1"/>
      <x:c r="B49" s="1"/>
      <x:c r="C49" s="1"/>
      <x:c r="D49" s="1"/>
      <x:c r="E49" s="1"/>
      <x:c r="F49" s="1"/>
      <x:c r="G49" s="1"/>
      <x:c r="H49" s="1"/>
      <x:c r="I49" s="1"/>
      <x:c r="J49" s="1"/>
      <x:c r="K49" s="1"/>
      <x:c r="L49" s="1"/>
      <x:c r="M49" s="1"/>
      <x:c r="N49" s="1"/>
      <x:c r="O49" s="1"/>
      <x:c r="P49" s="1"/>
      <x:c r="Q49" s="1"/>
      <x:c r="R49" s="1"/>
      <x:c r="S49" s="1"/>
      <x:c r="T49" s="1"/>
    </x:row>
    <x:row r="50" ht="18" customHeight="1">
      <x:c r="A50" s="1"/>
      <x:c r="B50" s="1"/>
      <x:c r="C50" s="1"/>
      <x:c r="D50" s="1"/>
      <x:c r="E50" s="1"/>
      <x:c r="F50" s="1"/>
      <x:c r="G50" s="1"/>
      <x:c r="H50" s="1"/>
      <x:c r="I50" s="1"/>
      <x:c r="J50" s="1"/>
      <x:c r="K50" s="1"/>
      <x:c r="L50" s="1"/>
      <x:c r="M50" s="1"/>
      <x:c r="N50" s="1"/>
      <x:c r="O50" s="1"/>
      <x:c r="P50" s="1"/>
      <x:c r="Q50" s="1"/>
      <x:c r="R50" s="1"/>
      <x:c r="S50" s="1"/>
      <x:c r="T50" s="1"/>
    </x:row>
    <x:row r="51" ht="18" customHeight="1">
      <x:c r="A51" s="1"/>
      <x:c r="B51" s="1"/>
      <x:c r="C51" s="1"/>
      <x:c r="D51" s="1"/>
      <x:c r="E51" s="1"/>
      <x:c r="F51" s="1"/>
      <x:c r="G51" s="1"/>
      <x:c r="H51" s="1"/>
      <x:c r="I51" s="1"/>
      <x:c r="J51" s="1"/>
      <x:c r="K51" s="1"/>
      <x:c r="L51" s="1"/>
      <x:c r="M51" s="1"/>
      <x:c r="N51" s="1"/>
      <x:c r="O51" s="1"/>
      <x:c r="P51" s="1"/>
      <x:c r="Q51" s="1"/>
      <x:c r="R51" s="1"/>
      <x:c r="S51" s="1"/>
      <x:c r="T51" s="1"/>
    </x:row>
    <x:row r="52" ht="18" customHeight="1">
      <x:c r="A52" s="1"/>
      <x:c r="B52" s="1"/>
      <x:c r="C52" s="1"/>
      <x:c r="D52" s="1"/>
      <x:c r="E52" s="1"/>
      <x:c r="F52" s="1"/>
      <x:c r="G52" s="1"/>
      <x:c r="H52" s="1"/>
      <x:c r="I52" s="1"/>
      <x:c r="J52" s="1"/>
      <x:c r="K52" s="1"/>
      <x:c r="L52" s="1"/>
      <x:c r="M52" s="1"/>
      <x:c r="N52" s="1"/>
      <x:c r="O52" s="1"/>
      <x:c r="P52" s="1"/>
      <x:c r="Q52" s="1"/>
      <x:c r="R52" s="1"/>
      <x:c r="S52" s="1"/>
      <x:c r="T52" s="1"/>
    </x:row>
    <x:row r="53" ht="18" customHeight="1">
      <x:c r="A53" s="1"/>
      <x:c r="B53" s="1"/>
      <x:c r="C53" s="1"/>
      <x:c r="D53" s="1"/>
      <x:c r="E53" s="1"/>
      <x:c r="F53" s="1"/>
      <x:c r="G53" s="1"/>
      <x:c r="H53" s="1"/>
      <x:c r="I53" s="1"/>
      <x:c r="J53" s="1"/>
      <x:c r="K53" s="1"/>
      <x:c r="L53" s="1"/>
      <x:c r="M53" s="1"/>
      <x:c r="N53" s="1"/>
      <x:c r="O53" s="1"/>
      <x:c r="P53" s="1"/>
      <x:c r="Q53" s="1"/>
      <x:c r="R53" s="1"/>
      <x:c r="S53" s="1"/>
      <x:c r="T53" s="1"/>
    </x:row>
    <x:row r="54" ht="18" customHeight="1">
      <x:c r="A54" s="1"/>
      <x:c r="B54" s="1"/>
      <x:c r="C54" s="1"/>
      <x:c r="D54" s="1"/>
      <x:c r="E54" s="1"/>
      <x:c r="F54" s="1"/>
      <x:c r="G54" s="1"/>
      <x:c r="H54" s="1"/>
      <x:c r="I54" s="1"/>
      <x:c r="J54" s="1"/>
      <x:c r="K54" s="1"/>
      <x:c r="L54" s="1"/>
      <x:c r="M54" s="1"/>
      <x:c r="N54" s="1"/>
      <x:c r="O54" s="1"/>
      <x:c r="P54" s="1"/>
      <x:c r="Q54" s="1"/>
      <x:c r="R54" s="1"/>
      <x:c r="S54" s="1"/>
      <x:c r="T54" s="1"/>
    </x:row>
    <x:row r="55" ht="18" customHeight="1">
      <x:c r="A55" s="1"/>
      <x:c r="B55" s="1"/>
      <x:c r="C55" s="1"/>
      <x:c r="D55" s="1"/>
      <x:c r="E55" s="1"/>
      <x:c r="F55" s="1"/>
      <x:c r="G55" s="1"/>
      <x:c r="H55" s="1"/>
      <x:c r="I55" s="1"/>
      <x:c r="J55" s="1"/>
      <x:c r="K55" s="1"/>
      <x:c r="L55" s="1"/>
      <x:c r="M55" s="1"/>
      <x:c r="N55" s="1"/>
      <x:c r="O55" s="1"/>
      <x:c r="P55" s="1"/>
      <x:c r="Q55" s="1"/>
      <x:c r="R55" s="1"/>
      <x:c r="S55" s="1"/>
      <x:c r="T55" s="1"/>
    </x:row>
    <x:row r="56" ht="18" customHeight="1">
      <x:c r="A56" s="1"/>
      <x:c r="B56" s="1"/>
      <x:c r="C56" s="1"/>
      <x:c r="D56" s="1"/>
      <x:c r="E56" s="1"/>
      <x:c r="F56" s="1"/>
      <x:c r="G56" s="1"/>
      <x:c r="H56" s="1"/>
      <x:c r="I56" s="1"/>
      <x:c r="J56" s="1"/>
      <x:c r="K56" s="1"/>
      <x:c r="L56" s="1"/>
      <x:c r="M56" s="1"/>
      <x:c r="N56" s="1"/>
      <x:c r="O56" s="1"/>
      <x:c r="P56" s="1"/>
      <x:c r="Q56" s="1"/>
      <x:c r="R56" s="1"/>
      <x:c r="S56" s="1"/>
      <x:c r="T56" s="1"/>
    </x:row>
    <x:row r="57" ht="18" customHeight="1">
      <x:c r="A57" s="1"/>
      <x:c r="B57" s="1"/>
      <x:c r="C57" s="1"/>
      <x:c r="D57" s="1"/>
      <x:c r="E57" s="1"/>
      <x:c r="F57" s="1"/>
      <x:c r="G57" s="1"/>
      <x:c r="H57" s="1"/>
      <x:c r="I57" s="1"/>
      <x:c r="J57" s="1"/>
      <x:c r="K57" s="1"/>
      <x:c r="L57" s="1"/>
      <x:c r="M57" s="1"/>
      <x:c r="N57" s="1"/>
      <x:c r="O57" s="1"/>
      <x:c r="P57" s="1"/>
      <x:c r="Q57" s="1"/>
      <x:c r="R57" s="1"/>
      <x:c r="S57" s="1"/>
      <x:c r="T57" s="1"/>
    </x:row>
    <x:row r="58" ht="18" customHeight="1">
      <x:c r="A58" s="1"/>
      <x:c r="B58" s="1"/>
      <x:c r="C58" s="1"/>
      <x:c r="D58" s="1"/>
      <x:c r="E58" s="1"/>
      <x:c r="F58" s="1"/>
      <x:c r="G58" s="1"/>
      <x:c r="H58" s="1"/>
      <x:c r="I58" s="1"/>
      <x:c r="J58" s="1"/>
      <x:c r="K58" s="1"/>
      <x:c r="L58" s="1"/>
      <x:c r="M58" s="1"/>
      <x:c r="N58" s="1"/>
      <x:c r="O58" s="1"/>
      <x:c r="P58" s="1"/>
      <x:c r="Q58" s="1"/>
      <x:c r="R58" s="1"/>
      <x:c r="S58" s="1"/>
      <x:c r="T58" s="1"/>
    </x:row>
    <x:row r="59" ht="18" customHeight="1">
      <x:c r="A59" s="1"/>
      <x:c r="B59" s="1"/>
      <x:c r="C59" s="1"/>
      <x:c r="D59" s="1"/>
      <x:c r="E59" s="1"/>
      <x:c r="F59" s="1"/>
      <x:c r="G59" s="1"/>
      <x:c r="H59" s="1"/>
      <x:c r="I59" s="1"/>
      <x:c r="J59" s="1"/>
      <x:c r="K59" s="1"/>
      <x:c r="L59" s="1"/>
      <x:c r="M59" s="1"/>
      <x:c r="N59" s="1"/>
      <x:c r="O59" s="1"/>
      <x:c r="P59" s="1"/>
      <x:c r="Q59" s="1"/>
      <x:c r="R59" s="1"/>
      <x:c r="S59" s="1"/>
      <x:c r="T59" s="1"/>
    </x:row>
    <x:row r="60" ht="18" customHeight="1">
      <x:c r="A60" s="1"/>
      <x:c r="B60" s="1"/>
      <x:c r="C60" s="1"/>
      <x:c r="D60" s="1"/>
      <x:c r="E60" s="1"/>
      <x:c r="F60" s="1"/>
      <x:c r="G60" s="1"/>
      <x:c r="H60" s="1"/>
      <x:c r="I60" s="1"/>
      <x:c r="J60" s="1"/>
      <x:c r="K60" s="1"/>
      <x:c r="L60" s="1"/>
      <x:c r="M60" s="1"/>
      <x:c r="N60" s="1"/>
      <x:c r="O60" s="1"/>
      <x:c r="P60" s="1"/>
      <x:c r="Q60" s="1"/>
      <x:c r="R60" s="1"/>
      <x:c r="S60" s="1"/>
      <x:c r="T60" s="1"/>
    </x:row>
    <x:row r="61" ht="18" customHeight="1">
      <x:c r="A61" s="1"/>
      <x:c r="B61" s="1"/>
      <x:c r="C61" s="1"/>
      <x:c r="D61" s="1"/>
      <x:c r="E61" s="1"/>
      <x:c r="F61" s="1"/>
      <x:c r="G61" s="1"/>
      <x:c r="H61" s="1"/>
      <x:c r="I61" s="1"/>
      <x:c r="J61" s="1"/>
      <x:c r="K61" s="1"/>
      <x:c r="L61" s="1"/>
      <x:c r="M61" s="1"/>
      <x:c r="N61" s="1"/>
      <x:c r="O61" s="1"/>
      <x:c r="P61" s="1"/>
      <x:c r="Q61" s="1"/>
      <x:c r="R61" s="1"/>
      <x:c r="S61" s="1"/>
      <x:c r="T61" s="1"/>
    </x:row>
    <x:row r="62" ht="18" customHeight="1">
      <x:c r="A62" s="1"/>
      <x:c r="B62" s="1"/>
      <x:c r="C62" s="1"/>
      <x:c r="D62" s="1"/>
      <x:c r="E62" s="1"/>
      <x:c r="F62" s="1"/>
      <x:c r="G62" s="1"/>
      <x:c r="H62" s="1"/>
      <x:c r="I62" s="1"/>
      <x:c r="J62" s="1"/>
      <x:c r="K62" s="1"/>
      <x:c r="L62" s="1"/>
      <x:c r="M62" s="1"/>
      <x:c r="N62" s="1"/>
      <x:c r="O62" s="1"/>
      <x:c r="P62" s="1"/>
      <x:c r="Q62" s="1"/>
      <x:c r="R62" s="1"/>
      <x:c r="S62" s="1"/>
      <x:c r="T62" s="1"/>
    </x:row>
    <x:row r="63" ht="18" customHeight="1">
      <x:c r="A63" s="1"/>
      <x:c r="B63" s="1"/>
      <x:c r="C63" s="1"/>
      <x:c r="D63" s="1"/>
      <x:c r="E63" s="1"/>
      <x:c r="F63" s="1"/>
      <x:c r="G63" s="1"/>
      <x:c r="H63" s="1"/>
      <x:c r="I63" s="1"/>
      <x:c r="J63" s="1"/>
      <x:c r="K63" s="1"/>
      <x:c r="L63" s="1"/>
      <x:c r="M63" s="1"/>
      <x:c r="N63" s="1"/>
      <x:c r="O63" s="1"/>
      <x:c r="P63" s="1"/>
      <x:c r="Q63" s="1"/>
      <x:c r="R63" s="1"/>
      <x:c r="S63" s="1"/>
      <x:c r="T63" s="1"/>
    </x:row>
    <x:row r="64" ht="18" customHeight="1">
      <x:c r="A64" s="1"/>
      <x:c r="B64" s="1"/>
      <x:c r="C64" s="1"/>
      <x:c r="D64" s="1"/>
      <x:c r="E64" s="1"/>
      <x:c r="F64" s="1"/>
      <x:c r="G64" s="1"/>
      <x:c r="H64" s="1"/>
      <x:c r="I64" s="1"/>
      <x:c r="J64" s="1"/>
      <x:c r="K64" s="1"/>
      <x:c r="L64" s="1"/>
      <x:c r="M64" s="1"/>
      <x:c r="N64" s="1"/>
      <x:c r="O64" s="1"/>
      <x:c r="P64" s="1"/>
      <x:c r="Q64" s="1"/>
      <x:c r="R64" s="1"/>
      <x:c r="S64" s="1"/>
      <x:c r="T64" s="1"/>
    </x:row>
    <x:row r="65" ht="18" customHeight="1">
      <x:c r="A65" s="1"/>
      <x:c r="B65" s="1"/>
      <x:c r="C65" s="1"/>
      <x:c r="D65" s="1"/>
      <x:c r="E65" s="1"/>
      <x:c r="F65" s="1"/>
      <x:c r="G65" s="1"/>
      <x:c r="H65" s="1"/>
      <x:c r="I65" s="1"/>
      <x:c r="J65" s="1"/>
      <x:c r="K65" s="1"/>
      <x:c r="L65" s="1"/>
      <x:c r="M65" s="1"/>
      <x:c r="N65" s="1"/>
      <x:c r="O65" s="1"/>
      <x:c r="P65" s="1"/>
      <x:c r="Q65" s="1"/>
      <x:c r="R65" s="1"/>
      <x:c r="S65" s="1"/>
      <x:c r="T65" s="1"/>
    </x:row>
    <x:row r="66" ht="18" customHeight="1">
      <x:c r="A66" s="1"/>
      <x:c r="B66" s="1"/>
      <x:c r="C66" s="1"/>
      <x:c r="D66" s="1"/>
      <x:c r="E66" s="1"/>
      <x:c r="F66" s="1"/>
      <x:c r="G66" s="1"/>
      <x:c r="H66" s="1"/>
      <x:c r="I66" s="1"/>
      <x:c r="J66" s="1"/>
      <x:c r="K66" s="1"/>
      <x:c r="L66" s="1"/>
      <x:c r="M66" s="1"/>
      <x:c r="N66" s="1"/>
      <x:c r="O66" s="1"/>
      <x:c r="P66" s="1"/>
      <x:c r="Q66" s="1"/>
      <x:c r="R66" s="1"/>
      <x:c r="S66" s="1"/>
      <x:c r="T66" s="1"/>
    </x:row>
    <x:row r="67" ht="18" customHeight="1">
      <x:c r="A67" s="1"/>
      <x:c r="B67" s="1"/>
      <x:c r="C67" s="1"/>
      <x:c r="D67" s="1"/>
      <x:c r="E67" s="1"/>
      <x:c r="F67" s="1"/>
      <x:c r="G67" s="1"/>
      <x:c r="H67" s="1"/>
      <x:c r="I67" s="1"/>
      <x:c r="J67" s="1"/>
      <x:c r="K67" s="1"/>
      <x:c r="L67" s="1"/>
      <x:c r="M67" s="1"/>
      <x:c r="N67" s="1"/>
      <x:c r="O67" s="1"/>
      <x:c r="P67" s="1"/>
      <x:c r="Q67" s="1"/>
      <x:c r="R67" s="1"/>
      <x:c r="S67" s="1"/>
      <x:c r="T67" s="1"/>
    </x:row>
    <x:row r="68" ht="18" customHeight="1">
      <x:c r="A68" s="1"/>
      <x:c r="B68" s="1"/>
      <x:c r="C68" s="1"/>
      <x:c r="D68" s="1"/>
      <x:c r="E68" s="1"/>
      <x:c r="F68" s="1"/>
      <x:c r="G68" s="1"/>
      <x:c r="H68" s="1"/>
      <x:c r="I68" s="1"/>
      <x:c r="J68" s="1"/>
      <x:c r="K68" s="1"/>
      <x:c r="L68" s="1"/>
      <x:c r="M68" s="1"/>
      <x:c r="N68" s="1"/>
      <x:c r="O68" s="1"/>
      <x:c r="P68" s="1"/>
      <x:c r="Q68" s="1"/>
      <x:c r="R68" s="1"/>
      <x:c r="S68" s="1"/>
      <x:c r="T68" s="1"/>
    </x:row>
    <x:row r="69" ht="18" customHeight="1">
      <x:c r="A69" s="1"/>
      <x:c r="B69" s="1"/>
      <x:c r="C69" s="1"/>
      <x:c r="D69" s="1"/>
      <x:c r="E69" s="1"/>
      <x:c r="F69" s="1"/>
      <x:c r="G69" s="1"/>
      <x:c r="H69" s="1"/>
      <x:c r="I69" s="1"/>
      <x:c r="J69" s="1"/>
      <x:c r="K69" s="1"/>
      <x:c r="L69" s="1"/>
      <x:c r="M69" s="1"/>
      <x:c r="N69" s="1"/>
      <x:c r="O69" s="1"/>
      <x:c r="P69" s="1"/>
      <x:c r="Q69" s="1"/>
      <x:c r="R69" s="1"/>
      <x:c r="S69" s="1"/>
      <x:c r="T69" s="1"/>
    </x:row>
    <x:row r="70" ht="18" customHeight="1">
      <x:c r="A70" s="1"/>
      <x:c r="B70" s="1"/>
      <x:c r="C70" s="1"/>
      <x:c r="D70" s="1"/>
      <x:c r="E70" s="1"/>
      <x:c r="F70" s="1"/>
      <x:c r="G70" s="1"/>
      <x:c r="H70" s="1"/>
      <x:c r="I70" s="1"/>
      <x:c r="J70" s="1"/>
      <x:c r="K70" s="1"/>
      <x:c r="L70" s="1"/>
      <x:c r="M70" s="1"/>
      <x:c r="N70" s="1"/>
      <x:c r="O70" s="1"/>
      <x:c r="P70" s="1"/>
      <x:c r="Q70" s="1"/>
      <x:c r="R70" s="1"/>
      <x:c r="S70" s="1"/>
      <x:c r="T70" s="1"/>
    </x:row>
    <x:row r="71" ht="18" customHeight="1">
      <x:c r="A71" s="1"/>
      <x:c r="B71" s="1"/>
      <x:c r="C71" s="1"/>
      <x:c r="D71" s="1"/>
      <x:c r="E71" s="1"/>
      <x:c r="F71" s="1"/>
      <x:c r="G71" s="1"/>
      <x:c r="H71" s="1"/>
      <x:c r="I71" s="1"/>
      <x:c r="J71" s="1"/>
      <x:c r="K71" s="1"/>
      <x:c r="L71" s="1"/>
      <x:c r="M71" s="1"/>
      <x:c r="N71" s="1"/>
      <x:c r="O71" s="1"/>
      <x:c r="P71" s="1"/>
      <x:c r="Q71" s="1"/>
      <x:c r="R71" s="1"/>
      <x:c r="S71" s="1"/>
      <x:c r="T71" s="1"/>
    </x:row>
    <x:row r="72" ht="18" customHeight="1">
      <x:c r="A72" s="1"/>
      <x:c r="B72" s="1"/>
      <x:c r="C72" s="1"/>
      <x:c r="D72" s="1"/>
      <x:c r="E72" s="1"/>
      <x:c r="F72" s="1"/>
      <x:c r="G72" s="1"/>
      <x:c r="H72" s="1"/>
      <x:c r="I72" s="1"/>
      <x:c r="J72" s="1"/>
      <x:c r="K72" s="1"/>
      <x:c r="L72" s="1"/>
      <x:c r="M72" s="1"/>
      <x:c r="N72" s="1"/>
      <x:c r="O72" s="1"/>
      <x:c r="P72" s="1"/>
      <x:c r="Q72" s="1"/>
      <x:c r="R72" s="1"/>
      <x:c r="S72" s="1"/>
      <x:c r="T72" s="1"/>
    </x:row>
    <x:row r="73" ht="18" customHeight="1">
      <x:c r="A73" s="1"/>
      <x:c r="B73" s="1"/>
      <x:c r="C73" s="1"/>
      <x:c r="D73" s="1"/>
      <x:c r="E73" s="1"/>
      <x:c r="F73" s="1"/>
      <x:c r="G73" s="1"/>
      <x:c r="H73" s="1"/>
      <x:c r="I73" s="1"/>
      <x:c r="J73" s="1"/>
      <x:c r="K73" s="1"/>
      <x:c r="L73" s="1"/>
      <x:c r="M73" s="1"/>
      <x:c r="N73" s="1"/>
      <x:c r="O73" s="1"/>
      <x:c r="P73" s="1"/>
      <x:c r="Q73" s="1"/>
      <x:c r="R73" s="1"/>
      <x:c r="S73" s="1"/>
      <x:c r="T73" s="1"/>
    </x:row>
    <x:row r="74" ht="18" customHeight="1">
      <x:c r="A74" s="1"/>
      <x:c r="B74" s="1"/>
      <x:c r="C74" s="1"/>
      <x:c r="D74" s="1"/>
      <x:c r="E74" s="1"/>
      <x:c r="F74" s="1"/>
      <x:c r="G74" s="1"/>
      <x:c r="H74" s="1"/>
      <x:c r="I74" s="1"/>
      <x:c r="J74" s="1"/>
      <x:c r="K74" s="1"/>
      <x:c r="L74" s="1"/>
      <x:c r="M74" s="1"/>
      <x:c r="N74" s="1"/>
      <x:c r="O74" s="1"/>
      <x:c r="P74" s="1"/>
      <x:c r="Q74" s="1"/>
      <x:c r="R74" s="1"/>
      <x:c r="S74" s="1"/>
      <x:c r="T74" s="1"/>
    </x:row>
    <x:row r="75" ht="18" customHeight="1">
      <x:c r="A75" s="1"/>
      <x:c r="B75" s="1"/>
      <x:c r="C75" s="1"/>
      <x:c r="D75" s="1"/>
      <x:c r="E75" s="1"/>
      <x:c r="F75" s="1"/>
      <x:c r="G75" s="1"/>
      <x:c r="H75" s="1"/>
      <x:c r="I75" s="1"/>
      <x:c r="J75" s="1"/>
      <x:c r="K75" s="1"/>
      <x:c r="L75" s="1"/>
      <x:c r="M75" s="1"/>
      <x:c r="N75" s="1"/>
      <x:c r="O75" s="1"/>
      <x:c r="P75" s="1"/>
      <x:c r="Q75" s="1"/>
      <x:c r="R75" s="1"/>
      <x:c r="S75" s="1"/>
      <x:c r="T75" s="1"/>
    </x:row>
    <x:row r="76" ht="18" customHeight="1">
      <x:c r="A76" s="1"/>
      <x:c r="B76" s="1"/>
      <x:c r="C76" s="1"/>
      <x:c r="D76" s="1"/>
      <x:c r="E76" s="1"/>
      <x:c r="F76" s="1"/>
      <x:c r="G76" s="1"/>
      <x:c r="H76" s="1"/>
      <x:c r="I76" s="1"/>
      <x:c r="J76" s="1"/>
      <x:c r="K76" s="1"/>
      <x:c r="L76" s="1"/>
      <x:c r="M76" s="1"/>
      <x:c r="N76" s="1"/>
      <x:c r="O76" s="1"/>
      <x:c r="P76" s="1"/>
      <x:c r="Q76" s="1"/>
      <x:c r="R76" s="1"/>
      <x:c r="S76" s="1"/>
      <x:c r="T76" s="1"/>
    </x:row>
    <x:row r="77" ht="18" customHeight="1">
      <x:c r="A77" s="1"/>
      <x:c r="B77" s="1"/>
      <x:c r="C77" s="1"/>
      <x:c r="D77" s="1"/>
      <x:c r="E77" s="1"/>
      <x:c r="F77" s="1"/>
      <x:c r="G77" s="1"/>
      <x:c r="H77" s="1"/>
      <x:c r="I77" s="1"/>
      <x:c r="J77" s="1"/>
      <x:c r="K77" s="1"/>
      <x:c r="L77" s="1"/>
      <x:c r="M77" s="1"/>
      <x:c r="N77" s="1"/>
      <x:c r="O77" s="1"/>
      <x:c r="P77" s="1"/>
      <x:c r="Q77" s="1"/>
      <x:c r="R77" s="1"/>
      <x:c r="S77" s="1"/>
      <x:c r="T77" s="1"/>
    </x:row>
    <x:row r="78" ht="18" customHeight="1">
      <x:c r="A78" s="1"/>
      <x:c r="B78" s="1"/>
      <x:c r="C78" s="1"/>
      <x:c r="D78" s="1"/>
      <x:c r="E78" s="1"/>
      <x:c r="F78" s="1"/>
      <x:c r="G78" s="1"/>
      <x:c r="H78" s="1"/>
      <x:c r="I78" s="1"/>
      <x:c r="J78" s="1"/>
      <x:c r="K78" s="1"/>
      <x:c r="L78" s="1"/>
      <x:c r="M78" s="1"/>
      <x:c r="N78" s="1"/>
      <x:c r="O78" s="1"/>
      <x:c r="P78" s="1"/>
      <x:c r="Q78" s="1"/>
      <x:c r="R78" s="1"/>
      <x:c r="S78" s="1"/>
      <x:c r="T78" s="1"/>
    </x:row>
    <x:row r="79" ht="18" customHeight="1">
      <x:c r="A79" s="1"/>
      <x:c r="B79" s="1"/>
      <x:c r="C79" s="1"/>
      <x:c r="D79" s="1"/>
      <x:c r="E79" s="1"/>
      <x:c r="F79" s="1"/>
      <x:c r="G79" s="1"/>
      <x:c r="H79" s="1"/>
      <x:c r="I79" s="1"/>
      <x:c r="J79" s="1"/>
      <x:c r="K79" s="1"/>
      <x:c r="L79" s="1"/>
      <x:c r="M79" s="1"/>
      <x:c r="N79" s="1"/>
      <x:c r="O79" s="1"/>
      <x:c r="P79" s="1"/>
      <x:c r="Q79" s="1"/>
      <x:c r="R79" s="1"/>
      <x:c r="S79" s="1"/>
      <x:c r="T79" s="1"/>
    </x:row>
    <x:row r="80" ht="18" customHeight="1">
      <x:c r="A80" s="1"/>
      <x:c r="B80" s="1"/>
      <x:c r="C80" s="1"/>
      <x:c r="D80" s="1"/>
      <x:c r="E80" s="1"/>
      <x:c r="F80" s="1"/>
      <x:c r="G80" s="1"/>
      <x:c r="H80" s="1"/>
      <x:c r="I80" s="1"/>
      <x:c r="J80" s="1"/>
      <x:c r="K80" s="1"/>
      <x:c r="L80" s="1"/>
      <x:c r="M80" s="1"/>
      <x:c r="N80" s="1"/>
      <x:c r="O80" s="1"/>
      <x:c r="P80" s="1"/>
      <x:c r="Q80" s="1"/>
      <x:c r="R80" s="1"/>
      <x:c r="S80" s="1"/>
      <x:c r="T80" s="1"/>
    </x:row>
    <x:row r="81" ht="18" customHeight="1">
      <x:c r="A81" s="1"/>
      <x:c r="B81" s="1"/>
      <x:c r="C81" s="1"/>
      <x:c r="D81" s="1"/>
      <x:c r="E81" s="1"/>
      <x:c r="F81" s="1"/>
      <x:c r="G81" s="1"/>
      <x:c r="H81" s="1"/>
      <x:c r="I81" s="1"/>
      <x:c r="J81" s="1"/>
      <x:c r="K81" s="1"/>
      <x:c r="L81" s="1"/>
      <x:c r="M81" s="1"/>
      <x:c r="N81" s="1"/>
      <x:c r="O81" s="1"/>
      <x:c r="P81" s="1"/>
      <x:c r="Q81" s="1"/>
      <x:c r="R81" s="1"/>
      <x:c r="S81" s="1"/>
      <x:c r="T81" s="1"/>
    </x:row>
    <x:row r="82" ht="18" customHeight="1">
      <x:c r="A82" s="1"/>
      <x:c r="B82" s="1"/>
      <x:c r="C82" s="1"/>
      <x:c r="D82" s="1"/>
      <x:c r="E82" s="1"/>
      <x:c r="F82" s="1"/>
      <x:c r="G82" s="1"/>
      <x:c r="H82" s="1"/>
      <x:c r="I82" s="1"/>
      <x:c r="J82" s="1"/>
      <x:c r="K82" s="1"/>
      <x:c r="L82" s="1"/>
      <x:c r="M82" s="1"/>
      <x:c r="N82" s="1"/>
      <x:c r="O82" s="1"/>
      <x:c r="P82" s="1"/>
      <x:c r="Q82" s="1"/>
      <x:c r="R82" s="1"/>
      <x:c r="S82" s="1"/>
      <x:c r="T82" s="1"/>
    </x:row>
    <x:row r="83" ht="18" customHeight="1">
      <x:c r="A83" s="1"/>
      <x:c r="B83" s="1"/>
      <x:c r="C83" s="1"/>
      <x:c r="D83" s="1"/>
      <x:c r="E83" s="1"/>
      <x:c r="F83" s="1"/>
      <x:c r="G83" s="1"/>
      <x:c r="H83" s="1"/>
      <x:c r="I83" s="1"/>
      <x:c r="J83" s="1"/>
      <x:c r="K83" s="1"/>
      <x:c r="L83" s="1"/>
      <x:c r="M83" s="1"/>
      <x:c r="N83" s="1"/>
      <x:c r="O83" s="1"/>
      <x:c r="P83" s="1"/>
      <x:c r="Q83" s="1"/>
      <x:c r="R83" s="1"/>
      <x:c r="S83" s="1"/>
      <x:c r="T83" s="1"/>
    </x:row>
    <x:row r="84" ht="18" customHeight="1">
      <x:c r="A84" s="1"/>
      <x:c r="B84" s="1"/>
      <x:c r="C84" s="1"/>
      <x:c r="D84" s="1"/>
      <x:c r="E84" s="1"/>
      <x:c r="F84" s="1"/>
      <x:c r="G84" s="1"/>
      <x:c r="H84" s="1"/>
      <x:c r="I84" s="1"/>
      <x:c r="J84" s="1"/>
      <x:c r="K84" s="1"/>
      <x:c r="L84" s="1"/>
      <x:c r="M84" s="1"/>
      <x:c r="N84" s="1"/>
      <x:c r="O84" s="1"/>
      <x:c r="P84" s="1"/>
      <x:c r="Q84" s="1"/>
      <x:c r="R84" s="1"/>
      <x:c r="S84" s="1"/>
      <x:c r="T84" s="1"/>
    </x:row>
    <x:row r="85" ht="18" customHeight="1">
      <x:c r="A85" s="1"/>
      <x:c r="B85" s="1"/>
      <x:c r="C85" s="1"/>
      <x:c r="D85" s="1"/>
      <x:c r="E85" s="1"/>
      <x:c r="F85" s="1"/>
      <x:c r="G85" s="1"/>
      <x:c r="H85" s="1"/>
      <x:c r="I85" s="1"/>
      <x:c r="J85" s="1"/>
      <x:c r="K85" s="1"/>
      <x:c r="L85" s="1"/>
      <x:c r="M85" s="1"/>
      <x:c r="N85" s="1"/>
      <x:c r="O85" s="1"/>
      <x:c r="P85" s="1"/>
      <x:c r="Q85" s="1"/>
      <x:c r="R85" s="1"/>
      <x:c r="S85" s="1"/>
      <x:c r="T85" s="1"/>
    </x:row>
    <x:row r="86" ht="18" customHeight="1">
      <x:c r="A86" s="1"/>
      <x:c r="B86" s="1"/>
      <x:c r="C86" s="1"/>
      <x:c r="D86" s="1"/>
      <x:c r="E86" s="1"/>
      <x:c r="F86" s="1"/>
      <x:c r="G86" s="1"/>
      <x:c r="H86" s="1"/>
      <x:c r="I86" s="1"/>
      <x:c r="J86" s="1"/>
      <x:c r="K86" s="1"/>
      <x:c r="L86" s="1"/>
      <x:c r="M86" s="1"/>
      <x:c r="N86" s="1"/>
      <x:c r="O86" s="1"/>
      <x:c r="P86" s="1"/>
      <x:c r="Q86" s="1"/>
      <x:c r="R86" s="1"/>
      <x:c r="S86" s="1"/>
      <x:c r="T86" s="1"/>
    </x:row>
    <x:row r="87" ht="18" customHeight="1">
      <x:c r="A87" s="1"/>
      <x:c r="B87" s="1"/>
      <x:c r="C87" s="1"/>
      <x:c r="D87" s="1"/>
      <x:c r="E87" s="1"/>
      <x:c r="F87" s="1"/>
      <x:c r="G87" s="1"/>
      <x:c r="H87" s="1"/>
      <x:c r="I87" s="1"/>
      <x:c r="J87" s="1"/>
      <x:c r="K87" s="1"/>
      <x:c r="L87" s="1"/>
      <x:c r="M87" s="1"/>
      <x:c r="N87" s="1"/>
      <x:c r="O87" s="1"/>
      <x:c r="P87" s="1"/>
      <x:c r="Q87" s="1"/>
      <x:c r="R87" s="1"/>
      <x:c r="S87" s="1"/>
      <x:c r="T87" s="1"/>
    </x:row>
    <x:row r="88" ht="18" customHeight="1">
      <x:c r="A88" s="1"/>
      <x:c r="B88" s="1"/>
      <x:c r="C88" s="1"/>
      <x:c r="D88" s="1"/>
      <x:c r="E88" s="1"/>
      <x:c r="F88" s="1"/>
      <x:c r="G88" s="1"/>
      <x:c r="H88" s="1"/>
      <x:c r="I88" s="1"/>
      <x:c r="J88" s="1"/>
      <x:c r="K88" s="1"/>
      <x:c r="L88" s="1"/>
      <x:c r="M88" s="1"/>
      <x:c r="N88" s="1"/>
      <x:c r="O88" s="1"/>
      <x:c r="P88" s="1"/>
      <x:c r="Q88" s="1"/>
      <x:c r="R88" s="1"/>
      <x:c r="S88" s="1"/>
      <x:c r="T88" s="1"/>
    </x:row>
    <x:row r="89" ht="18" customHeight="1">
      <x:c r="A89" s="1"/>
      <x:c r="B89" s="1"/>
      <x:c r="C89" s="1"/>
      <x:c r="D89" s="1"/>
      <x:c r="E89" s="1"/>
      <x:c r="F89" s="1"/>
      <x:c r="G89" s="1"/>
      <x:c r="H89" s="1"/>
      <x:c r="I89" s="1"/>
      <x:c r="J89" s="1"/>
      <x:c r="K89" s="1"/>
      <x:c r="L89" s="1"/>
      <x:c r="M89" s="1"/>
      <x:c r="N89" s="1"/>
      <x:c r="O89" s="1"/>
      <x:c r="P89" s="1"/>
      <x:c r="Q89" s="1"/>
      <x:c r="R89" s="1"/>
      <x:c r="S89" s="1"/>
      <x:c r="T89" s="1"/>
    </x:row>
    <x:row r="90" ht="18" customHeight="1">
      <x:c r="A90" s="1"/>
      <x:c r="B90" s="1"/>
      <x:c r="C90" s="1"/>
      <x:c r="D90" s="1"/>
      <x:c r="E90" s="1"/>
      <x:c r="F90" s="1"/>
      <x:c r="G90" s="1"/>
      <x:c r="H90" s="1"/>
      <x:c r="I90" s="1"/>
      <x:c r="J90" s="1"/>
      <x:c r="K90" s="1"/>
      <x:c r="L90" s="1"/>
      <x:c r="M90" s="1"/>
      <x:c r="N90" s="1"/>
      <x:c r="O90" s="1"/>
      <x:c r="P90" s="1"/>
      <x:c r="Q90" s="1"/>
      <x:c r="R90" s="1"/>
      <x:c r="S90" s="1"/>
      <x:c r="T90" s="1"/>
    </x:row>
    <x:row r="91" ht="18" customHeight="1">
      <x:c r="A91" s="1"/>
      <x:c r="B91" s="1"/>
      <x:c r="C91" s="1"/>
      <x:c r="D91" s="1"/>
      <x:c r="E91" s="1"/>
      <x:c r="F91" s="1"/>
      <x:c r="G91" s="1"/>
      <x:c r="H91" s="1"/>
      <x:c r="I91" s="1"/>
      <x:c r="J91" s="1"/>
      <x:c r="K91" s="1"/>
      <x:c r="L91" s="1"/>
      <x:c r="M91" s="1"/>
      <x:c r="N91" s="1"/>
      <x:c r="O91" s="1"/>
      <x:c r="P91" s="1"/>
      <x:c r="Q91" s="1"/>
      <x:c r="R91" s="1"/>
      <x:c r="S91" s="1"/>
      <x:c r="T91" s="1"/>
    </x:row>
    <x:row r="92" ht="18" customHeight="1">
      <x:c r="A92" s="1"/>
      <x:c r="B92" s="1"/>
      <x:c r="C92" s="1"/>
      <x:c r="D92" s="1"/>
      <x:c r="E92" s="1"/>
      <x:c r="F92" s="1"/>
      <x:c r="G92" s="1"/>
      <x:c r="H92" s="1"/>
      <x:c r="I92" s="1"/>
      <x:c r="J92" s="1"/>
      <x:c r="K92" s="1"/>
      <x:c r="L92" s="1"/>
      <x:c r="M92" s="1"/>
      <x:c r="N92" s="1"/>
      <x:c r="O92" s="1"/>
      <x:c r="P92" s="1"/>
      <x:c r="Q92" s="1"/>
      <x:c r="R92" s="1"/>
      <x:c r="S92" s="1"/>
      <x:c r="T92" s="1"/>
    </x:row>
    <x:row r="93" ht="18" customHeight="1">
      <x:c r="A93" s="1"/>
      <x:c r="B93" s="1"/>
      <x:c r="C93" s="1"/>
      <x:c r="D93" s="1"/>
      <x:c r="E93" s="1"/>
      <x:c r="F93" s="1"/>
      <x:c r="G93" s="1"/>
      <x:c r="H93" s="1"/>
      <x:c r="I93" s="1"/>
      <x:c r="J93" s="1"/>
      <x:c r="K93" s="1"/>
      <x:c r="L93" s="1"/>
      <x:c r="M93" s="1"/>
      <x:c r="N93" s="1"/>
      <x:c r="O93" s="1"/>
      <x:c r="P93" s="1"/>
      <x:c r="Q93" s="1"/>
      <x:c r="R93" s="1"/>
      <x:c r="S93" s="1"/>
      <x:c r="T93" s="1"/>
    </x:row>
    <x:row r="94" ht="18" customHeight="1">
      <x:c r="A94" s="1"/>
      <x:c r="B94" s="1"/>
      <x:c r="C94" s="1"/>
      <x:c r="D94" s="1"/>
      <x:c r="E94" s="1"/>
      <x:c r="F94" s="1"/>
      <x:c r="G94" s="1"/>
      <x:c r="H94" s="1"/>
      <x:c r="I94" s="1"/>
      <x:c r="J94" s="1"/>
      <x:c r="K94" s="1"/>
      <x:c r="L94" s="1"/>
      <x:c r="M94" s="1"/>
      <x:c r="N94" s="1"/>
      <x:c r="O94" s="1"/>
      <x:c r="P94" s="1"/>
      <x:c r="Q94" s="1"/>
      <x:c r="R94" s="1"/>
      <x:c r="S94" s="1"/>
      <x:c r="T94" s="1"/>
    </x:row>
    <x:row r="95" ht="18" customHeight="1">
      <x:c r="A95" s="1"/>
      <x:c r="B95" s="1"/>
      <x:c r="C95" s="1"/>
      <x:c r="D95" s="1"/>
      <x:c r="E95" s="1"/>
      <x:c r="F95" s="1"/>
      <x:c r="G95" s="1"/>
      <x:c r="H95" s="1"/>
      <x:c r="I95" s="1"/>
      <x:c r="J95" s="1"/>
      <x:c r="K95" s="1"/>
      <x:c r="L95" s="1"/>
      <x:c r="M95" s="1"/>
      <x:c r="N95" s="1"/>
      <x:c r="O95" s="1"/>
      <x:c r="P95" s="1"/>
      <x:c r="Q95" s="1"/>
      <x:c r="R95" s="1"/>
      <x:c r="S95" s="1"/>
      <x:c r="T95" s="1"/>
    </x:row>
    <x:row r="96" ht="18" customHeight="1">
      <x:c r="A96" s="1"/>
      <x:c r="B96" s="1"/>
      <x:c r="C96" s="1"/>
      <x:c r="D96" s="1"/>
      <x:c r="E96" s="1"/>
      <x:c r="F96" s="1"/>
      <x:c r="G96" s="1"/>
      <x:c r="H96" s="1"/>
      <x:c r="I96" s="1"/>
      <x:c r="J96" s="1"/>
      <x:c r="K96" s="1"/>
      <x:c r="L96" s="1"/>
      <x:c r="M96" s="1"/>
      <x:c r="N96" s="1"/>
      <x:c r="O96" s="1"/>
      <x:c r="P96" s="1"/>
      <x:c r="Q96" s="1"/>
      <x:c r="R96" s="1"/>
      <x:c r="S96" s="1"/>
      <x:c r="T96" s="1"/>
    </x:row>
    <x:row r="97" ht="18" customHeight="1">
      <x:c r="A97" s="1"/>
      <x:c r="B97" s="1"/>
      <x:c r="C97" s="1"/>
      <x:c r="D97" s="1"/>
      <x:c r="E97" s="1"/>
      <x:c r="F97" s="1"/>
      <x:c r="G97" s="1"/>
      <x:c r="H97" s="1"/>
      <x:c r="I97" s="1"/>
      <x:c r="J97" s="1"/>
      <x:c r="K97" s="1"/>
      <x:c r="L97" s="1"/>
      <x:c r="M97" s="1"/>
      <x:c r="N97" s="1"/>
      <x:c r="O97" s="1"/>
      <x:c r="P97" s="1"/>
      <x:c r="Q97" s="1"/>
      <x:c r="R97" s="1"/>
      <x:c r="S97" s="1"/>
      <x:c r="T97" s="1"/>
    </x:row>
    <x:row r="98" ht="18" customHeight="1">
      <x:c r="A98" s="1"/>
      <x:c r="B98" s="1"/>
      <x:c r="C98" s="1"/>
      <x:c r="D98" s="1"/>
      <x:c r="E98" s="1"/>
      <x:c r="F98" s="1"/>
      <x:c r="G98" s="1"/>
      <x:c r="H98" s="1"/>
      <x:c r="I98" s="1"/>
      <x:c r="J98" s="1"/>
      <x:c r="K98" s="1"/>
      <x:c r="L98" s="1"/>
      <x:c r="M98" s="1"/>
      <x:c r="N98" s="1"/>
      <x:c r="O98" s="1"/>
      <x:c r="P98" s="1"/>
      <x:c r="Q98" s="1"/>
      <x:c r="R98" s="1"/>
      <x:c r="S98" s="1"/>
      <x:c r="T98" s="1"/>
    </x:row>
    <x:row r="99" ht="18" customHeight="1">
      <x:c r="A99" s="1"/>
      <x:c r="B99" s="1"/>
      <x:c r="C99" s="1"/>
      <x:c r="D99" s="1"/>
      <x:c r="E99" s="1"/>
      <x:c r="F99" s="1"/>
      <x:c r="G99" s="1"/>
      <x:c r="H99" s="1"/>
      <x:c r="I99" s="1"/>
      <x:c r="J99" s="1"/>
      <x:c r="K99" s="1"/>
      <x:c r="L99" s="1"/>
      <x:c r="M99" s="1"/>
      <x:c r="N99" s="1"/>
      <x:c r="O99" s="1"/>
      <x:c r="P99" s="1"/>
      <x:c r="Q99" s="1"/>
      <x:c r="R99" s="1"/>
      <x:c r="S99" s="1"/>
      <x:c r="T99" s="1"/>
    </x:row>
    <x:row r="100" ht="18" customHeight="1">
      <x:c r="A100" s="1"/>
      <x:c r="B100" s="1"/>
      <x:c r="C100" s="1"/>
      <x:c r="D100" s="1"/>
      <x:c r="E100" s="1"/>
      <x:c r="F100" s="1"/>
      <x:c r="G100" s="1"/>
      <x:c r="H100" s="1"/>
      <x:c r="I100" s="1"/>
      <x:c r="J100" s="1"/>
      <x:c r="K100" s="1"/>
      <x:c r="L100" s="1"/>
      <x:c r="M100" s="1"/>
      <x:c r="N100" s="1"/>
      <x:c r="O100" s="1"/>
      <x:c r="P100" s="1"/>
      <x:c r="Q100" s="1"/>
      <x:c r="R100" s="1"/>
      <x:c r="S100" s="1"/>
      <x:c r="T100" s="1"/>
    </x:row>
    <x:row r="101" ht="18" customHeight="1">
      <x:c r="A101" s="1"/>
      <x:c r="B101" s="1"/>
      <x:c r="C101" s="1"/>
      <x:c r="D101" s="1"/>
      <x:c r="E101" s="1"/>
      <x:c r="F101" s="1"/>
      <x:c r="G101" s="1"/>
      <x:c r="H101" s="1"/>
      <x:c r="I101" s="1"/>
      <x:c r="J101" s="1"/>
      <x:c r="K101" s="1"/>
      <x:c r="L101" s="1"/>
      <x:c r="M101" s="1"/>
      <x:c r="N101" s="1"/>
      <x:c r="O101" s="1"/>
      <x:c r="P101" s="1"/>
      <x:c r="Q101" s="1"/>
      <x:c r="R101" s="1"/>
      <x:c r="S101" s="1"/>
      <x:c r="T101" s="1"/>
    </x:row>
    <x:row r="102" ht="18" customHeight="1">
      <x:c r="A102" s="1"/>
      <x:c r="B102" s="1"/>
      <x:c r="C102" s="1"/>
      <x:c r="D102" s="1"/>
      <x:c r="E102" s="1"/>
      <x:c r="F102" s="1"/>
      <x:c r="G102" s="1"/>
      <x:c r="H102" s="1"/>
      <x:c r="I102" s="1"/>
      <x:c r="J102" s="1"/>
      <x:c r="K102" s="1"/>
      <x:c r="L102" s="1"/>
      <x:c r="M102" s="1"/>
      <x:c r="N102" s="1"/>
      <x:c r="O102" s="1"/>
      <x:c r="P102" s="1"/>
      <x:c r="Q102" s="1"/>
      <x:c r="R102" s="1"/>
      <x:c r="S102" s="1"/>
      <x:c r="T102" s="1"/>
    </x:row>
    <x:row r="103" ht="18" customHeight="1">
      <x:c r="A103" s="1"/>
      <x:c r="B103" s="1"/>
      <x:c r="C103" s="1"/>
      <x:c r="D103" s="1"/>
      <x:c r="E103" s="1"/>
      <x:c r="F103" s="1"/>
      <x:c r="G103" s="1"/>
      <x:c r="H103" s="1"/>
      <x:c r="I103" s="1"/>
      <x:c r="J103" s="1"/>
      <x:c r="K103" s="1"/>
      <x:c r="L103" s="1"/>
      <x:c r="M103" s="1"/>
      <x:c r="N103" s="1"/>
      <x:c r="O103" s="1"/>
      <x:c r="P103" s="1"/>
      <x:c r="Q103" s="1"/>
      <x:c r="R103" s="1"/>
      <x:c r="S103" s="1"/>
      <x:c r="T103" s="1"/>
    </x:row>
    <x:row r="104" ht="18" customHeight="1">
      <x:c r="A104" s="1"/>
      <x:c r="B104" s="1"/>
      <x:c r="C104" s="1"/>
      <x:c r="D104" s="1"/>
      <x:c r="E104" s="1"/>
      <x:c r="F104" s="1"/>
      <x:c r="G104" s="1"/>
      <x:c r="H104" s="1"/>
      <x:c r="I104" s="1"/>
      <x:c r="J104" s="1"/>
      <x:c r="K104" s="1"/>
      <x:c r="L104" s="1"/>
      <x:c r="M104" s="1"/>
      <x:c r="N104" s="1"/>
      <x:c r="O104" s="1"/>
      <x:c r="P104" s="1"/>
      <x:c r="Q104" s="1"/>
      <x:c r="R104" s="1"/>
      <x:c r="S104" s="1"/>
      <x:c r="T104" s="1"/>
    </x:row>
    <x:row r="105" ht="18" customHeight="1">
      <x:c r="A105" s="1"/>
      <x:c r="B105" s="1"/>
      <x:c r="C105" s="1"/>
      <x:c r="D105" s="1"/>
      <x:c r="E105" s="1"/>
      <x:c r="F105" s="1"/>
      <x:c r="G105" s="1"/>
      <x:c r="H105" s="1"/>
      <x:c r="I105" s="1"/>
      <x:c r="J105" s="1"/>
      <x:c r="K105" s="1"/>
      <x:c r="L105" s="1"/>
      <x:c r="M105" s="1"/>
      <x:c r="N105" s="1"/>
      <x:c r="O105" s="1"/>
      <x:c r="P105" s="1"/>
      <x:c r="Q105" s="1"/>
      <x:c r="R105" s="1"/>
      <x:c r="S105" s="1"/>
      <x:c r="T105" s="1"/>
    </x:row>
    <x:row r="106" ht="18" customHeight="1">
      <x:c r="A106" s="1"/>
      <x:c r="B106" s="1"/>
      <x:c r="C106" s="1"/>
      <x:c r="D106" s="1"/>
      <x:c r="E106" s="1"/>
      <x:c r="F106" s="1"/>
      <x:c r="G106" s="1"/>
      <x:c r="H106" s="1"/>
      <x:c r="I106" s="1"/>
      <x:c r="J106" s="1"/>
      <x:c r="K106" s="1"/>
      <x:c r="L106" s="1"/>
      <x:c r="M106" s="1"/>
      <x:c r="N106" s="1"/>
      <x:c r="O106" s="1"/>
      <x:c r="P106" s="1"/>
      <x:c r="Q106" s="1"/>
      <x:c r="R106" s="1"/>
      <x:c r="S106" s="1"/>
      <x:c r="T106" s="1"/>
    </x:row>
    <x:row r="107" ht="18" customHeight="1">
      <x:c r="A107" s="1"/>
      <x:c r="B107" s="1"/>
      <x:c r="C107" s="1"/>
      <x:c r="D107" s="1"/>
      <x:c r="E107" s="1"/>
      <x:c r="F107" s="1"/>
      <x:c r="G107" s="1"/>
      <x:c r="H107" s="1"/>
      <x:c r="I107" s="1"/>
      <x:c r="J107" s="1"/>
      <x:c r="K107" s="1"/>
      <x:c r="L107" s="1"/>
      <x:c r="M107" s="1"/>
      <x:c r="N107" s="1"/>
      <x:c r="O107" s="1"/>
      <x:c r="P107" s="1"/>
      <x:c r="Q107" s="1"/>
      <x:c r="R107" s="1"/>
      <x:c r="S107" s="1"/>
      <x:c r="T107" s="1"/>
    </x:row>
    <x:row r="108" ht="18" customHeight="1">
      <x:c r="A108" s="1"/>
      <x:c r="B108" s="1"/>
      <x:c r="C108" s="1"/>
      <x:c r="D108" s="1"/>
      <x:c r="E108" s="1"/>
      <x:c r="F108" s="1"/>
      <x:c r="G108" s="1"/>
      <x:c r="H108" s="1"/>
      <x:c r="I108" s="1"/>
      <x:c r="J108" s="1"/>
      <x:c r="K108" s="1"/>
      <x:c r="L108" s="1"/>
      <x:c r="M108" s="1"/>
      <x:c r="N108" s="1"/>
      <x:c r="O108" s="1"/>
      <x:c r="P108" s="1"/>
      <x:c r="Q108" s="1"/>
      <x:c r="R108" s="1"/>
      <x:c r="S108" s="1"/>
      <x:c r="T108" s="1"/>
    </x:row>
    <x:row r="109" ht="18" customHeight="1">
      <x:c r="A109" s="1"/>
      <x:c r="B109" s="1"/>
      <x:c r="C109" s="1"/>
      <x:c r="D109" s="1"/>
      <x:c r="E109" s="1"/>
      <x:c r="F109" s="1"/>
      <x:c r="G109" s="1"/>
      <x:c r="H109" s="1"/>
      <x:c r="I109" s="1"/>
      <x:c r="J109" s="1"/>
      <x:c r="K109" s="1"/>
      <x:c r="L109" s="1"/>
      <x:c r="M109" s="1"/>
      <x:c r="N109" s="1"/>
      <x:c r="O109" s="1"/>
      <x:c r="P109" s="1"/>
      <x:c r="Q109" s="1"/>
      <x:c r="R109" s="1"/>
      <x:c r="S109" s="1"/>
      <x:c r="T109" s="1"/>
    </x:row>
    <x:row r="110" ht="18" customHeight="1">
      <x:c r="A110" s="1"/>
      <x:c r="B110" s="1"/>
      <x:c r="C110" s="1"/>
      <x:c r="D110" s="1"/>
      <x:c r="E110" s="1"/>
      <x:c r="F110" s="1"/>
      <x:c r="G110" s="1"/>
      <x:c r="H110" s="1"/>
      <x:c r="I110" s="1"/>
      <x:c r="J110" s="1"/>
      <x:c r="K110" s="1"/>
      <x:c r="L110" s="1"/>
      <x:c r="M110" s="1"/>
      <x:c r="N110" s="1"/>
      <x:c r="O110" s="1"/>
      <x:c r="P110" s="1"/>
      <x:c r="Q110" s="1"/>
      <x:c r="R110" s="1"/>
      <x:c r="S110" s="1"/>
      <x:c r="T110" s="1"/>
    </x:row>
    <x:row r="111" ht="18" customHeight="1">
      <x:c r="A111" s="1"/>
      <x:c r="B111" s="1"/>
      <x:c r="C111" s="1"/>
      <x:c r="D111" s="1"/>
      <x:c r="E111" s="1"/>
      <x:c r="F111" s="1"/>
      <x:c r="G111" s="1"/>
      <x:c r="H111" s="1"/>
      <x:c r="I111" s="1"/>
      <x:c r="J111" s="1"/>
      <x:c r="K111" s="1"/>
      <x:c r="L111" s="1"/>
      <x:c r="M111" s="1"/>
      <x:c r="N111" s="1"/>
      <x:c r="O111" s="1"/>
      <x:c r="P111" s="1"/>
      <x:c r="Q111" s="1"/>
      <x:c r="R111" s="1"/>
      <x:c r="S111" s="1"/>
      <x:c r="T111" s="1"/>
    </x:row>
    <x:row r="112" ht="18" customHeight="1">
      <x:c r="A112" s="1"/>
      <x:c r="B112" s="1"/>
      <x:c r="C112" s="1"/>
      <x:c r="D112" s="1"/>
      <x:c r="E112" s="1"/>
      <x:c r="F112" s="1"/>
      <x:c r="G112" s="1"/>
      <x:c r="H112" s="1"/>
      <x:c r="I112" s="1"/>
      <x:c r="J112" s="1"/>
      <x:c r="K112" s="1"/>
      <x:c r="L112" s="1"/>
      <x:c r="M112" s="1"/>
      <x:c r="N112" s="1"/>
      <x:c r="O112" s="1"/>
      <x:c r="P112" s="1"/>
      <x:c r="Q112" s="1"/>
      <x:c r="R112" s="1"/>
      <x:c r="S112" s="1"/>
      <x:c r="T112" s="1"/>
    </x:row>
    <x:row r="113" ht="18" customHeight="1">
      <x:c r="A113" s="1"/>
      <x:c r="B113" s="1"/>
      <x:c r="C113" s="1"/>
      <x:c r="D113" s="1"/>
      <x:c r="E113" s="1"/>
      <x:c r="F113" s="1"/>
      <x:c r="G113" s="1"/>
      <x:c r="H113" s="1"/>
      <x:c r="I113" s="1"/>
      <x:c r="J113" s="1"/>
      <x:c r="K113" s="1"/>
      <x:c r="L113" s="1"/>
      <x:c r="M113" s="1"/>
      <x:c r="N113" s="1"/>
      <x:c r="O113" s="1"/>
      <x:c r="P113" s="1"/>
      <x:c r="Q113" s="1"/>
      <x:c r="R113" s="1"/>
      <x:c r="S113" s="1"/>
      <x:c r="T113" s="1"/>
    </x:row>
    <x:row r="114" ht="18" customHeight="1">
      <x:c r="A114" s="1"/>
      <x:c r="B114" s="1"/>
      <x:c r="C114" s="1"/>
      <x:c r="D114" s="1"/>
      <x:c r="E114" s="1"/>
      <x:c r="F114" s="1"/>
      <x:c r="G114" s="1"/>
      <x:c r="H114" s="1"/>
      <x:c r="I114" s="1"/>
      <x:c r="J114" s="1"/>
      <x:c r="K114" s="1"/>
      <x:c r="L114" s="1"/>
      <x:c r="M114" s="1"/>
      <x:c r="N114" s="1"/>
      <x:c r="O114" s="1"/>
      <x:c r="P114" s="1"/>
      <x:c r="Q114" s="1"/>
      <x:c r="R114" s="1"/>
      <x:c r="S114" s="1"/>
      <x:c r="T114" s="1"/>
    </x:row>
    <x:row r="115" ht="18" customHeight="1">
      <x:c r="A115" s="1"/>
      <x:c r="B115" s="1"/>
      <x:c r="C115" s="1"/>
      <x:c r="D115" s="1"/>
      <x:c r="E115" s="1"/>
      <x:c r="F115" s="1"/>
      <x:c r="G115" s="1"/>
      <x:c r="H115" s="1"/>
      <x:c r="I115" s="1"/>
      <x:c r="J115" s="1"/>
      <x:c r="K115" s="1"/>
      <x:c r="L115" s="1"/>
      <x:c r="M115" s="1"/>
      <x:c r="N115" s="1"/>
      <x:c r="O115" s="1"/>
      <x:c r="P115" s="1"/>
      <x:c r="Q115" s="1"/>
      <x:c r="R115" s="1"/>
      <x:c r="S115" s="1"/>
      <x:c r="T115" s="1"/>
    </x:row>
    <x:row r="116" ht="18" customHeight="1">
      <x:c r="A116" s="1"/>
      <x:c r="B116" s="1"/>
      <x:c r="C116" s="1"/>
      <x:c r="D116" s="1"/>
      <x:c r="E116" s="1"/>
      <x:c r="F116" s="1"/>
      <x:c r="G116" s="1"/>
      <x:c r="H116" s="1"/>
      <x:c r="I116" s="1"/>
      <x:c r="J116" s="1"/>
      <x:c r="K116" s="1"/>
      <x:c r="L116" s="1"/>
      <x:c r="M116" s="1"/>
      <x:c r="N116" s="1"/>
      <x:c r="O116" s="1"/>
      <x:c r="P116" s="1"/>
      <x:c r="Q116" s="1"/>
      <x:c r="R116" s="1"/>
      <x:c r="S116" s="1"/>
      <x:c r="T116" s="1"/>
    </x:row>
    <x:row r="117" ht="18" customHeight="1">
      <x:c r="A117" s="1"/>
      <x:c r="B117" s="1"/>
      <x:c r="C117" s="1"/>
      <x:c r="D117" s="1"/>
      <x:c r="E117" s="1"/>
      <x:c r="F117" s="1"/>
      <x:c r="G117" s="1"/>
      <x:c r="H117" s="1"/>
      <x:c r="I117" s="1"/>
      <x:c r="J117" s="1"/>
      <x:c r="K117" s="1"/>
      <x:c r="L117" s="1"/>
      <x:c r="M117" s="1"/>
      <x:c r="N117" s="1"/>
      <x:c r="O117" s="1"/>
      <x:c r="P117" s="1"/>
      <x:c r="Q117" s="1"/>
      <x:c r="R117" s="1"/>
      <x:c r="S117" s="1"/>
      <x:c r="T117" s="1"/>
    </x:row>
    <x:row r="118" ht="18" customHeight="1">
      <x:c r="A118" s="1"/>
      <x:c r="B118" s="1"/>
      <x:c r="C118" s="1"/>
      <x:c r="D118" s="1"/>
      <x:c r="E118" s="1"/>
      <x:c r="F118" s="1"/>
      <x:c r="G118" s="1"/>
      <x:c r="H118" s="1"/>
      <x:c r="I118" s="1"/>
      <x:c r="J118" s="1"/>
      <x:c r="K118" s="1"/>
      <x:c r="L118" s="1"/>
      <x:c r="M118" s="1"/>
      <x:c r="N118" s="1"/>
      <x:c r="O118" s="1"/>
      <x:c r="P118" s="1"/>
      <x:c r="Q118" s="1"/>
      <x:c r="R118" s="1"/>
      <x:c r="S118" s="1"/>
      <x:c r="T118" s="1"/>
    </x:row>
    <x:row r="119" ht="18" customHeight="1">
      <x:c r="A119" s="1"/>
      <x:c r="B119" s="1"/>
      <x:c r="C119" s="1"/>
      <x:c r="D119" s="1"/>
      <x:c r="E119" s="1"/>
      <x:c r="F119" s="1"/>
      <x:c r="G119" s="1"/>
      <x:c r="H119" s="1"/>
      <x:c r="I119" s="1"/>
      <x:c r="J119" s="1"/>
      <x:c r="K119" s="1"/>
      <x:c r="L119" s="1"/>
      <x:c r="M119" s="1"/>
      <x:c r="N119" s="1"/>
      <x:c r="O119" s="1"/>
      <x:c r="P119" s="1"/>
      <x:c r="Q119" s="1"/>
      <x:c r="R119" s="1"/>
      <x:c r="S119" s="1"/>
      <x:c r="T119" s="1"/>
    </x:row>
    <x:row r="120" ht="18" customHeight="1">
      <x:c r="A120" s="1"/>
      <x:c r="B120" s="1"/>
      <x:c r="C120" s="1"/>
      <x:c r="D120" s="1"/>
      <x:c r="E120" s="1"/>
      <x:c r="F120" s="1"/>
      <x:c r="G120" s="1"/>
      <x:c r="H120" s="1"/>
      <x:c r="I120" s="1"/>
      <x:c r="J120" s="1"/>
      <x:c r="K120" s="1"/>
      <x:c r="L120" s="1"/>
      <x:c r="M120" s="1"/>
      <x:c r="N120" s="1"/>
      <x:c r="O120" s="1"/>
      <x:c r="P120" s="1"/>
      <x:c r="Q120" s="1"/>
      <x:c r="R120" s="1"/>
      <x:c r="S120" s="1"/>
      <x:c r="T120" s="1"/>
    </x:row>
    <x:row r="121" ht="18" customHeight="1">
      <x:c r="A121" s="1"/>
      <x:c r="B121" s="1"/>
      <x:c r="C121" s="1"/>
      <x:c r="D121" s="1"/>
      <x:c r="E121" s="1"/>
      <x:c r="F121" s="1"/>
      <x:c r="G121" s="1"/>
      <x:c r="H121" s="1"/>
      <x:c r="I121" s="1"/>
      <x:c r="J121" s="1"/>
      <x:c r="K121" s="1"/>
      <x:c r="L121" s="1"/>
      <x:c r="M121" s="1"/>
      <x:c r="N121" s="1"/>
      <x:c r="O121" s="1"/>
      <x:c r="P121" s="1"/>
      <x:c r="Q121" s="1"/>
      <x:c r="R121" s="1"/>
      <x:c r="S121" s="1"/>
      <x:c r="T121" s="1"/>
    </x:row>
    <x:row r="122" ht="18" customHeight="1">
      <x:c r="A122" s="1"/>
      <x:c r="B122" s="1"/>
      <x:c r="C122" s="1"/>
      <x:c r="D122" s="1"/>
      <x:c r="E122" s="1"/>
      <x:c r="F122" s="1"/>
      <x:c r="G122" s="1"/>
      <x:c r="H122" s="1"/>
      <x:c r="I122" s="1"/>
      <x:c r="J122" s="1"/>
      <x:c r="K122" s="1"/>
      <x:c r="L122" s="1"/>
      <x:c r="M122" s="1"/>
      <x:c r="N122" s="1"/>
      <x:c r="O122" s="1"/>
      <x:c r="P122" s="1"/>
      <x:c r="Q122" s="1"/>
      <x:c r="R122" s="1"/>
      <x:c r="S122" s="1"/>
      <x:c r="T122" s="1"/>
    </x:row>
    <x:row r="123" ht="18" customHeight="1">
      <x:c r="A123" s="1"/>
      <x:c r="B123" s="1"/>
      <x:c r="C123" s="1"/>
      <x:c r="D123" s="1"/>
      <x:c r="E123" s="1"/>
      <x:c r="F123" s="1"/>
      <x:c r="G123" s="1"/>
      <x:c r="H123" s="1"/>
      <x:c r="I123" s="1"/>
      <x:c r="J123" s="1"/>
      <x:c r="K123" s="1"/>
      <x:c r="L123" s="1"/>
      <x:c r="M123" s="1"/>
      <x:c r="N123" s="1"/>
      <x:c r="O123" s="1"/>
      <x:c r="P123" s="1"/>
      <x:c r="Q123" s="1"/>
      <x:c r="R123" s="1"/>
      <x:c r="S123" s="1"/>
      <x:c r="T123" s="1"/>
    </x:row>
    <x:row r="124" ht="18" customHeight="1">
      <x:c r="A124" s="1"/>
      <x:c r="B124" s="1"/>
      <x:c r="C124" s="1"/>
      <x:c r="D124" s="1"/>
      <x:c r="E124" s="1"/>
      <x:c r="F124" s="1"/>
      <x:c r="G124" s="1"/>
      <x:c r="H124" s="1"/>
      <x:c r="I124" s="1"/>
      <x:c r="J124" s="1"/>
      <x:c r="K124" s="1"/>
      <x:c r="L124" s="1"/>
      <x:c r="M124" s="1"/>
      <x:c r="N124" s="1"/>
      <x:c r="O124" s="1"/>
      <x:c r="P124" s="1"/>
      <x:c r="Q124" s="1"/>
      <x:c r="R124" s="1"/>
      <x:c r="S124" s="1"/>
      <x:c r="T124" s="1"/>
    </x:row>
    <x:row r="125" ht="18" customHeight="1">
      <x:c r="A125" s="1"/>
      <x:c r="B125" s="1"/>
      <x:c r="C125" s="1"/>
      <x:c r="D125" s="1"/>
      <x:c r="E125" s="1"/>
      <x:c r="F125" s="1"/>
      <x:c r="G125" s="1"/>
      <x:c r="H125" s="1"/>
      <x:c r="I125" s="1"/>
      <x:c r="J125" s="1"/>
      <x:c r="K125" s="1"/>
      <x:c r="L125" s="1"/>
      <x:c r="M125" s="1"/>
      <x:c r="N125" s="1"/>
      <x:c r="O125" s="1"/>
      <x:c r="P125" s="1"/>
      <x:c r="Q125" s="1"/>
      <x:c r="R125" s="1"/>
      <x:c r="S125" s="1"/>
      <x:c r="T125" s="1"/>
    </x:row>
    <x:row r="126" ht="18" customHeight="1">
      <x:c r="A126" s="1"/>
      <x:c r="B126" s="1"/>
      <x:c r="C126" s="1"/>
      <x:c r="D126" s="1"/>
      <x:c r="E126" s="1"/>
      <x:c r="F126" s="1"/>
      <x:c r="G126" s="1"/>
      <x:c r="H126" s="1"/>
      <x:c r="I126" s="1"/>
      <x:c r="J126" s="1"/>
      <x:c r="K126" s="1"/>
      <x:c r="L126" s="1"/>
      <x:c r="M126" s="1"/>
      <x:c r="N126" s="1"/>
      <x:c r="O126" s="1"/>
      <x:c r="P126" s="1"/>
      <x:c r="Q126" s="1"/>
      <x:c r="R126" s="1"/>
      <x:c r="S126" s="1"/>
      <x:c r="T126" s="1"/>
    </x:row>
    <x:row r="127" ht="18" customHeight="1">
      <x:c r="A127" s="1"/>
      <x:c r="B127" s="1"/>
      <x:c r="C127" s="1"/>
      <x:c r="D127" s="1"/>
      <x:c r="E127" s="1"/>
      <x:c r="F127" s="1"/>
      <x:c r="G127" s="1"/>
      <x:c r="H127" s="1"/>
      <x:c r="I127" s="1"/>
      <x:c r="J127" s="1"/>
      <x:c r="K127" s="1"/>
      <x:c r="L127" s="1"/>
      <x:c r="M127" s="1"/>
      <x:c r="N127" s="1"/>
      <x:c r="O127" s="1"/>
      <x:c r="P127" s="1"/>
      <x:c r="Q127" s="1"/>
      <x:c r="R127" s="1"/>
      <x:c r="S127" s="1"/>
      <x:c r="T127" s="1"/>
    </x:row>
    <x:row r="128" ht="18" customHeight="1">
      <x:c r="A128" s="1"/>
      <x:c r="B128" s="1"/>
      <x:c r="C128" s="1"/>
      <x:c r="D128" s="1"/>
      <x:c r="E128" s="1"/>
      <x:c r="F128" s="1"/>
      <x:c r="G128" s="1"/>
      <x:c r="H128" s="1"/>
      <x:c r="I128" s="1"/>
      <x:c r="J128" s="1"/>
      <x:c r="K128" s="1"/>
      <x:c r="L128" s="1"/>
      <x:c r="M128" s="1"/>
      <x:c r="N128" s="1"/>
      <x:c r="O128" s="1"/>
      <x:c r="P128" s="1"/>
      <x:c r="Q128" s="1"/>
      <x:c r="R128" s="1"/>
      <x:c r="S128" s="1"/>
      <x:c r="T128" s="1"/>
    </x:row>
    <x:row r="129" ht="18" customHeight="1">
      <x:c r="A129" s="1"/>
      <x:c r="B129" s="1"/>
      <x:c r="C129" s="1"/>
      <x:c r="D129" s="1"/>
      <x:c r="E129" s="1"/>
      <x:c r="F129" s="1"/>
      <x:c r="G129" s="1"/>
      <x:c r="H129" s="1"/>
      <x:c r="I129" s="1"/>
      <x:c r="J129" s="1"/>
      <x:c r="K129" s="1"/>
      <x:c r="L129" s="1"/>
      <x:c r="M129" s="1"/>
      <x:c r="N129" s="1"/>
      <x:c r="O129" s="1"/>
      <x:c r="P129" s="1"/>
      <x:c r="Q129" s="1"/>
      <x:c r="R129" s="1"/>
      <x:c r="S129" s="1"/>
      <x:c r="T129" s="1"/>
    </x:row>
    <x:row r="130" ht="18" customHeight="1">
      <x:c r="A130" s="1"/>
      <x:c r="B130" s="1"/>
      <x:c r="C130" s="1"/>
      <x:c r="D130" s="1"/>
      <x:c r="E130" s="1"/>
      <x:c r="F130" s="1"/>
      <x:c r="G130" s="1"/>
      <x:c r="H130" s="1"/>
      <x:c r="I130" s="1"/>
      <x:c r="J130" s="1"/>
      <x:c r="K130" s="1"/>
      <x:c r="L130" s="1"/>
      <x:c r="M130" s="1"/>
      <x:c r="N130" s="1"/>
      <x:c r="O130" s="1"/>
      <x:c r="P130" s="1"/>
      <x:c r="Q130" s="1"/>
      <x:c r="R130" s="1"/>
      <x:c r="S130" s="1"/>
      <x:c r="T130" s="1"/>
    </x:row>
    <x:row r="131" ht="18" customHeight="1">
      <x:c r="A131" s="1"/>
      <x:c r="B131" s="1"/>
      <x:c r="C131" s="1"/>
      <x:c r="D131" s="1"/>
      <x:c r="E131" s="1"/>
      <x:c r="F131" s="1"/>
      <x:c r="G131" s="1"/>
      <x:c r="H131" s="1"/>
      <x:c r="I131" s="1"/>
      <x:c r="J131" s="1"/>
      <x:c r="K131" s="1"/>
      <x:c r="L131" s="1"/>
      <x:c r="M131" s="1"/>
      <x:c r="N131" s="1"/>
      <x:c r="O131" s="1"/>
      <x:c r="P131" s="1"/>
      <x:c r="Q131" s="1"/>
      <x:c r="R131" s="1"/>
      <x:c r="S131" s="1"/>
      <x:c r="T131" s="1"/>
    </x:row>
    <x:row r="132" ht="18" customHeight="1">
      <x:c r="A132" s="1"/>
      <x:c r="B132" s="1"/>
      <x:c r="C132" s="1"/>
      <x:c r="D132" s="1"/>
      <x:c r="E132" s="1"/>
      <x:c r="F132" s="1"/>
      <x:c r="G132" s="1"/>
      <x:c r="H132" s="1"/>
      <x:c r="I132" s="1"/>
      <x:c r="J132" s="1"/>
      <x:c r="K132" s="1"/>
      <x:c r="L132" s="1"/>
      <x:c r="M132" s="1"/>
      <x:c r="N132" s="1"/>
      <x:c r="O132" s="1"/>
      <x:c r="P132" s="1"/>
      <x:c r="Q132" s="1"/>
      <x:c r="R132" s="1"/>
      <x:c r="S132" s="1"/>
      <x:c r="T132" s="1"/>
    </x:row>
    <x:row r="133" ht="18" customHeight="1">
      <x:c r="A133" s="1"/>
      <x:c r="B133" s="1"/>
      <x:c r="C133" s="1"/>
      <x:c r="D133" s="1"/>
      <x:c r="E133" s="1"/>
      <x:c r="F133" s="1"/>
      <x:c r="G133" s="1"/>
      <x:c r="H133" s="1"/>
      <x:c r="I133" s="1"/>
      <x:c r="J133" s="1"/>
      <x:c r="K133" s="1"/>
      <x:c r="L133" s="1"/>
      <x:c r="M133" s="1"/>
      <x:c r="N133" s="1"/>
      <x:c r="O133" s="1"/>
      <x:c r="P133" s="1"/>
      <x:c r="Q133" s="1"/>
      <x:c r="R133" s="1"/>
      <x:c r="S133" s="1"/>
      <x:c r="T133" s="1"/>
    </x:row>
    <x:row r="134" ht="18" customHeight="1">
      <x:c r="A134" s="1"/>
      <x:c r="B134" s="1"/>
      <x:c r="C134" s="1"/>
      <x:c r="D134" s="1"/>
      <x:c r="E134" s="1"/>
      <x:c r="F134" s="1"/>
      <x:c r="G134" s="1"/>
      <x:c r="H134" s="1"/>
      <x:c r="I134" s="1"/>
      <x:c r="J134" s="1"/>
      <x:c r="K134" s="1"/>
      <x:c r="L134" s="1"/>
      <x:c r="M134" s="1"/>
      <x:c r="N134" s="1"/>
      <x:c r="O134" s="1"/>
      <x:c r="P134" s="1"/>
      <x:c r="Q134" s="1"/>
      <x:c r="R134" s="1"/>
      <x:c r="S134" s="1"/>
      <x:c r="T134" s="1"/>
    </x:row>
    <x:row r="135" ht="18" customHeight="1">
      <x:c r="A135" s="1"/>
      <x:c r="B135" s="1"/>
      <x:c r="C135" s="1"/>
      <x:c r="D135" s="1"/>
      <x:c r="E135" s="1"/>
      <x:c r="F135" s="1"/>
      <x:c r="G135" s="1"/>
      <x:c r="H135" s="1"/>
      <x:c r="I135" s="1"/>
      <x:c r="J135" s="1"/>
      <x:c r="K135" s="1"/>
      <x:c r="L135" s="1"/>
      <x:c r="M135" s="1"/>
      <x:c r="N135" s="1"/>
      <x:c r="O135" s="1"/>
      <x:c r="P135" s="1"/>
      <x:c r="Q135" s="1"/>
      <x:c r="R135" s="1"/>
      <x:c r="S135" s="1"/>
      <x:c r="T135" s="1"/>
    </x:row>
    <x:row r="136" ht="18" customHeight="1">
      <x:c r="A136" s="1"/>
      <x:c r="B136" s="1"/>
      <x:c r="C136" s="1"/>
      <x:c r="D136" s="1"/>
      <x:c r="E136" s="1"/>
      <x:c r="F136" s="1"/>
      <x:c r="G136" s="1"/>
      <x:c r="H136" s="1"/>
      <x:c r="I136" s="1"/>
      <x:c r="J136" s="1"/>
      <x:c r="K136" s="1"/>
      <x:c r="L136" s="1"/>
      <x:c r="M136" s="1"/>
      <x:c r="N136" s="1"/>
      <x:c r="O136" s="1"/>
      <x:c r="P136" s="1"/>
      <x:c r="Q136" s="1"/>
      <x:c r="R136" s="1"/>
      <x:c r="S136" s="1"/>
      <x:c r="T136" s="1"/>
    </x:row>
    <x:row r="137" ht="18" customHeight="1">
      <x:c r="A137" s="1"/>
      <x:c r="B137" s="1"/>
      <x:c r="C137" s="1"/>
      <x:c r="D137" s="1"/>
      <x:c r="E137" s="1"/>
      <x:c r="F137" s="1"/>
      <x:c r="G137" s="1"/>
      <x:c r="H137" s="1"/>
      <x:c r="I137" s="1"/>
      <x:c r="J137" s="1"/>
      <x:c r="K137" s="1"/>
      <x:c r="L137" s="1"/>
      <x:c r="M137" s="1"/>
      <x:c r="N137" s="1"/>
      <x:c r="O137" s="1"/>
      <x:c r="P137" s="1"/>
      <x:c r="Q137" s="1"/>
      <x:c r="R137" s="1"/>
      <x:c r="S137" s="1"/>
      <x:c r="T137" s="1"/>
    </x:row>
    <x:row r="138" ht="18" customHeight="1">
      <x:c r="A138" s="1"/>
      <x:c r="B138" s="1"/>
      <x:c r="C138" s="1"/>
      <x:c r="D138" s="1"/>
      <x:c r="E138" s="1"/>
      <x:c r="F138" s="1"/>
      <x:c r="G138" s="1"/>
      <x:c r="H138" s="1"/>
      <x:c r="I138" s="1"/>
      <x:c r="J138" s="1"/>
      <x:c r="K138" s="1"/>
      <x:c r="L138" s="1"/>
      <x:c r="M138" s="1"/>
      <x:c r="N138" s="1"/>
      <x:c r="O138" s="1"/>
      <x:c r="P138" s="1"/>
      <x:c r="Q138" s="1"/>
      <x:c r="R138" s="1"/>
      <x:c r="S138" s="1"/>
      <x:c r="T138" s="1"/>
    </x:row>
    <x:row r="139" ht="18" customHeight="1">
      <x:c r="A139" s="1"/>
      <x:c r="B139" s="1"/>
      <x:c r="C139" s="1"/>
      <x:c r="D139" s="1"/>
      <x:c r="E139" s="1"/>
      <x:c r="F139" s="1"/>
      <x:c r="G139" s="1"/>
      <x:c r="H139" s="1"/>
      <x:c r="I139" s="1"/>
      <x:c r="J139" s="1"/>
      <x:c r="K139" s="1"/>
      <x:c r="L139" s="1"/>
      <x:c r="M139" s="1"/>
      <x:c r="N139" s="1"/>
      <x:c r="O139" s="1"/>
      <x:c r="P139" s="1"/>
      <x:c r="Q139" s="1"/>
      <x:c r="R139" s="1"/>
      <x:c r="S139" s="1"/>
      <x:c r="T139" s="1"/>
    </x:row>
    <x:row r="140" ht="18" customHeight="1">
      <x:c r="A140" s="1"/>
      <x:c r="B140" s="1"/>
      <x:c r="C140" s="1"/>
      <x:c r="D140" s="1"/>
      <x:c r="E140" s="1"/>
      <x:c r="F140" s="1"/>
      <x:c r="G140" s="1"/>
      <x:c r="H140" s="1"/>
      <x:c r="I140" s="1"/>
      <x:c r="J140" s="1"/>
      <x:c r="K140" s="1"/>
      <x:c r="L140" s="1"/>
      <x:c r="M140" s="1"/>
      <x:c r="N140" s="1"/>
      <x:c r="O140" s="1"/>
      <x:c r="P140" s="1"/>
      <x:c r="Q140" s="1"/>
      <x:c r="R140" s="1"/>
      <x:c r="S140" s="1"/>
      <x:c r="T140" s="1"/>
    </x:row>
    <x:row r="141" ht="18" customHeight="1">
      <x:c r="A141" s="1"/>
      <x:c r="B141" s="1"/>
      <x:c r="C141" s="1"/>
      <x:c r="D141" s="1"/>
      <x:c r="E141" s="1"/>
      <x:c r="F141" s="1"/>
      <x:c r="G141" s="1"/>
      <x:c r="H141" s="1"/>
      <x:c r="I141" s="1"/>
      <x:c r="J141" s="1"/>
      <x:c r="K141" s="1"/>
      <x:c r="L141" s="1"/>
      <x:c r="M141" s="1"/>
      <x:c r="N141" s="1"/>
      <x:c r="O141" s="1"/>
      <x:c r="P141" s="1"/>
      <x:c r="Q141" s="1"/>
      <x:c r="R141" s="1"/>
      <x:c r="S141" s="1"/>
      <x:c r="T141" s="1"/>
    </x:row>
    <x:row r="142" ht="18" customHeight="1">
      <x:c r="A142" s="1"/>
      <x:c r="B142" s="1"/>
      <x:c r="C142" s="1"/>
      <x:c r="D142" s="1"/>
      <x:c r="E142" s="1"/>
      <x:c r="F142" s="1"/>
      <x:c r="G142" s="1"/>
      <x:c r="H142" s="1"/>
      <x:c r="I142" s="1"/>
      <x:c r="J142" s="1"/>
      <x:c r="K142" s="1"/>
      <x:c r="L142" s="1"/>
      <x:c r="M142" s="1"/>
      <x:c r="N142" s="1"/>
      <x:c r="O142" s="1"/>
      <x:c r="P142" s="1"/>
      <x:c r="Q142" s="1"/>
      <x:c r="R142" s="1"/>
      <x:c r="S142" s="1"/>
      <x:c r="T142" s="1"/>
    </x:row>
    <x:row r="143" ht="18" customHeight="1">
      <x:c r="A143" s="1"/>
      <x:c r="B143" s="1"/>
      <x:c r="C143" s="1"/>
      <x:c r="D143" s="1"/>
      <x:c r="E143" s="1"/>
      <x:c r="F143" s="1"/>
      <x:c r="G143" s="1"/>
      <x:c r="H143" s="1"/>
      <x:c r="I143" s="1"/>
      <x:c r="J143" s="1"/>
      <x:c r="K143" s="1"/>
      <x:c r="L143" s="1"/>
      <x:c r="M143" s="1"/>
      <x:c r="N143" s="1"/>
      <x:c r="O143" s="1"/>
      <x:c r="P143" s="1"/>
      <x:c r="Q143" s="1"/>
      <x:c r="R143" s="1"/>
      <x:c r="S143" s="1"/>
      <x:c r="T143" s="1"/>
    </x:row>
    <x:row r="144" ht="18" customHeight="1">
      <x:c r="A144" s="1"/>
      <x:c r="B144" s="1"/>
      <x:c r="C144" s="1"/>
      <x:c r="D144" s="1"/>
      <x:c r="E144" s="1"/>
      <x:c r="F144" s="1"/>
      <x:c r="G144" s="1"/>
      <x:c r="H144" s="1"/>
      <x:c r="I144" s="1"/>
      <x:c r="J144" s="1"/>
      <x:c r="K144" s="1"/>
      <x:c r="L144" s="1"/>
      <x:c r="M144" s="1"/>
      <x:c r="N144" s="1"/>
      <x:c r="O144" s="1"/>
      <x:c r="P144" s="1"/>
      <x:c r="Q144" s="1"/>
      <x:c r="R144" s="1"/>
      <x:c r="S144" s="1"/>
      <x:c r="T144" s="1"/>
    </x:row>
    <x:row r="145" ht="18" customHeight="1">
      <x:c r="A145" s="1"/>
      <x:c r="B145" s="1"/>
      <x:c r="C145" s="1"/>
      <x:c r="D145" s="1"/>
      <x:c r="E145" s="1"/>
      <x:c r="F145" s="1"/>
      <x:c r="G145" s="1"/>
      <x:c r="H145" s="1"/>
      <x:c r="I145" s="1"/>
      <x:c r="J145" s="1"/>
      <x:c r="K145" s="1"/>
      <x:c r="L145" s="1"/>
      <x:c r="M145" s="1"/>
      <x:c r="N145" s="1"/>
      <x:c r="O145" s="1"/>
      <x:c r="P145" s="1"/>
      <x:c r="Q145" s="1"/>
      <x:c r="R145" s="1"/>
      <x:c r="S145" s="1"/>
      <x:c r="T145" s="1"/>
    </x:row>
    <x:row r="146" ht="18" customHeight="1">
      <x:c r="A146" s="1"/>
      <x:c r="B146" s="1"/>
      <x:c r="C146" s="1"/>
      <x:c r="D146" s="1"/>
      <x:c r="E146" s="1"/>
      <x:c r="F146" s="1"/>
      <x:c r="G146" s="1"/>
      <x:c r="H146" s="1"/>
      <x:c r="I146" s="1"/>
      <x:c r="J146" s="1"/>
      <x:c r="K146" s="1"/>
      <x:c r="L146" s="1"/>
      <x:c r="M146" s="1"/>
      <x:c r="N146" s="1"/>
      <x:c r="O146" s="1"/>
      <x:c r="P146" s="1"/>
      <x:c r="Q146" s="1"/>
      <x:c r="R146" s="1"/>
      <x:c r="S146" s="1"/>
      <x:c r="T146" s="1"/>
    </x:row>
    <x:row r="147" ht="18" customHeight="1">
      <x:c r="A147" s="1"/>
      <x:c r="B147" s="1"/>
      <x:c r="C147" s="1"/>
      <x:c r="D147" s="1"/>
      <x:c r="E147" s="1"/>
      <x:c r="F147" s="1"/>
      <x:c r="G147" s="1"/>
      <x:c r="H147" s="1"/>
      <x:c r="I147" s="1"/>
      <x:c r="J147" s="1"/>
      <x:c r="K147" s="1"/>
      <x:c r="L147" s="1"/>
      <x:c r="M147" s="1"/>
      <x:c r="N147" s="1"/>
      <x:c r="O147" s="1"/>
      <x:c r="P147" s="1"/>
      <x:c r="Q147" s="1"/>
      <x:c r="R147" s="1"/>
      <x:c r="S147" s="1"/>
      <x:c r="T147" s="1"/>
    </x:row>
    <x:row r="148" ht="18" customHeight="1">
      <x:c r="A148" s="1"/>
      <x:c r="B148" s="1"/>
      <x:c r="C148" s="1"/>
      <x:c r="D148" s="1"/>
      <x:c r="E148" s="1"/>
      <x:c r="F148" s="1"/>
      <x:c r="G148" s="1"/>
      <x:c r="H148" s="1"/>
      <x:c r="I148" s="1"/>
      <x:c r="J148" s="1"/>
      <x:c r="K148" s="1"/>
      <x:c r="L148" s="1"/>
      <x:c r="M148" s="1"/>
      <x:c r="N148" s="1"/>
      <x:c r="O148" s="1"/>
      <x:c r="P148" s="1"/>
      <x:c r="Q148" s="1"/>
      <x:c r="R148" s="1"/>
      <x:c r="S148" s="1"/>
      <x:c r="T148" s="1"/>
    </x:row>
    <x:row r="149" ht="18" customHeight="1">
      <x:c r="A149" s="1"/>
      <x:c r="B149" s="1"/>
      <x:c r="C149" s="1"/>
      <x:c r="D149" s="1"/>
      <x:c r="E149" s="1"/>
      <x:c r="F149" s="1"/>
      <x:c r="G149" s="1"/>
      <x:c r="H149" s="1"/>
      <x:c r="I149" s="1"/>
      <x:c r="J149" s="1"/>
      <x:c r="K149" s="1"/>
      <x:c r="L149" s="1"/>
      <x:c r="M149" s="1"/>
      <x:c r="N149" s="1"/>
      <x:c r="O149" s="1"/>
      <x:c r="P149" s="1"/>
      <x:c r="Q149" s="1"/>
      <x:c r="R149" s="1"/>
      <x:c r="S149" s="1"/>
      <x:c r="T149" s="1"/>
    </x:row>
    <x:row r="150" ht="18" customHeight="1">
      <x:c r="A150" s="1"/>
      <x:c r="B150" s="1"/>
      <x:c r="C150" s="1"/>
      <x:c r="D150" s="1"/>
      <x:c r="E150" s="1"/>
      <x:c r="F150" s="1"/>
      <x:c r="G150" s="1"/>
      <x:c r="H150" s="1"/>
      <x:c r="I150" s="1"/>
      <x:c r="J150" s="1"/>
      <x:c r="K150" s="1"/>
      <x:c r="L150" s="1"/>
      <x:c r="M150" s="1"/>
      <x:c r="N150" s="1"/>
      <x:c r="O150" s="1"/>
      <x:c r="P150" s="1"/>
      <x:c r="Q150" s="1"/>
      <x:c r="R150" s="1"/>
      <x:c r="S150" s="1"/>
      <x:c r="T150" s="1"/>
    </x:row>
    <x:row r="151" ht="18" customHeight="1">
      <x:c r="A151" s="1"/>
      <x:c r="B151" s="1"/>
      <x:c r="C151" s="1"/>
      <x:c r="D151" s="1"/>
      <x:c r="E151" s="1"/>
      <x:c r="F151" s="1"/>
      <x:c r="G151" s="1"/>
      <x:c r="H151" s="1"/>
      <x:c r="I151" s="1"/>
      <x:c r="J151" s="1"/>
      <x:c r="K151" s="1"/>
      <x:c r="L151" s="1"/>
      <x:c r="M151" s="1"/>
      <x:c r="N151" s="1"/>
      <x:c r="O151" s="1"/>
      <x:c r="P151" s="1"/>
      <x:c r="Q151" s="1"/>
      <x:c r="R151" s="1"/>
      <x:c r="S151" s="1"/>
      <x:c r="T151" s="1"/>
    </x:row>
    <x:row r="152" ht="18" customHeight="1">
      <x:c r="A152" s="1"/>
      <x:c r="B152" s="1"/>
      <x:c r="C152" s="1"/>
      <x:c r="D152" s="1"/>
      <x:c r="E152" s="1"/>
      <x:c r="F152" s="1"/>
      <x:c r="G152" s="1"/>
      <x:c r="H152" s="1"/>
      <x:c r="I152" s="1"/>
      <x:c r="J152" s="1"/>
      <x:c r="K152" s="1"/>
      <x:c r="L152" s="1"/>
      <x:c r="M152" s="1"/>
      <x:c r="N152" s="1"/>
      <x:c r="O152" s="1"/>
      <x:c r="P152" s="1"/>
      <x:c r="Q152" s="1"/>
      <x:c r="R152" s="1"/>
      <x:c r="S152" s="1"/>
      <x:c r="T152" s="1"/>
    </x:row>
    <x:row r="153" ht="18" customHeight="1">
      <x:c r="A153" s="1"/>
      <x:c r="B153" s="1"/>
      <x:c r="C153" s="1"/>
      <x:c r="D153" s="1"/>
      <x:c r="E153" s="1"/>
      <x:c r="F153" s="1"/>
      <x:c r="G153" s="1"/>
      <x:c r="H153" s="1"/>
      <x:c r="I153" s="1"/>
      <x:c r="J153" s="1"/>
      <x:c r="K153" s="1"/>
      <x:c r="L153" s="1"/>
      <x:c r="M153" s="1"/>
      <x:c r="N153" s="1"/>
      <x:c r="O153" s="1"/>
      <x:c r="P153" s="1"/>
      <x:c r="Q153" s="1"/>
      <x:c r="R153" s="1"/>
      <x:c r="S153" s="1"/>
      <x:c r="T153" s="1"/>
    </x:row>
    <x:row r="154" ht="18" customHeight="1">
      <x:c r="A154" s="1"/>
      <x:c r="B154" s="1"/>
      <x:c r="C154" s="1"/>
      <x:c r="D154" s="1"/>
      <x:c r="E154" s="1"/>
      <x:c r="F154" s="1"/>
      <x:c r="G154" s="1"/>
      <x:c r="H154" s="1"/>
      <x:c r="I154" s="1"/>
      <x:c r="J154" s="1"/>
      <x:c r="K154" s="1"/>
      <x:c r="L154" s="1"/>
      <x:c r="M154" s="1"/>
      <x:c r="N154" s="1"/>
      <x:c r="O154" s="1"/>
      <x:c r="P154" s="1"/>
      <x:c r="Q154" s="1"/>
      <x:c r="R154" s="1"/>
      <x:c r="S154" s="1"/>
      <x:c r="T154" s="1"/>
    </x:row>
    <x:row r="155" ht="18" customHeight="1">
      <x:c r="A155" s="1"/>
      <x:c r="B155" s="1"/>
      <x:c r="C155" s="1"/>
      <x:c r="D155" s="1"/>
      <x:c r="E155" s="1"/>
      <x:c r="F155" s="1"/>
      <x:c r="G155" s="1"/>
      <x:c r="H155" s="1"/>
      <x:c r="I155" s="1"/>
      <x:c r="J155" s="1"/>
      <x:c r="K155" s="1"/>
      <x:c r="L155" s="1"/>
      <x:c r="M155" s="1"/>
      <x:c r="N155" s="1"/>
      <x:c r="O155" s="1"/>
      <x:c r="P155" s="1"/>
      <x:c r="Q155" s="1"/>
      <x:c r="R155" s="1"/>
      <x:c r="S155" s="1"/>
      <x:c r="T155" s="1"/>
    </x:row>
    <x:row r="156" ht="18" customHeight="1">
      <x:c r="A156" s="1"/>
      <x:c r="B156" s="1"/>
      <x:c r="C156" s="1"/>
      <x:c r="D156" s="1"/>
      <x:c r="E156" s="1"/>
      <x:c r="F156" s="1"/>
      <x:c r="G156" s="1"/>
      <x:c r="H156" s="1"/>
      <x:c r="I156" s="1"/>
      <x:c r="J156" s="1"/>
      <x:c r="K156" s="1"/>
      <x:c r="L156" s="1"/>
      <x:c r="M156" s="1"/>
      <x:c r="N156" s="1"/>
      <x:c r="O156" s="1"/>
      <x:c r="P156" s="1"/>
      <x:c r="Q156" s="1"/>
      <x:c r="R156" s="1"/>
      <x:c r="S156" s="1"/>
      <x:c r="T156" s="1"/>
    </x:row>
    <x:row r="157" ht="18" customHeight="1">
      <x:c r="A157" s="1"/>
      <x:c r="B157" s="1"/>
      <x:c r="C157" s="1"/>
      <x:c r="D157" s="1"/>
      <x:c r="E157" s="1"/>
      <x:c r="F157" s="1"/>
      <x:c r="G157" s="1"/>
      <x:c r="H157" s="1"/>
      <x:c r="I157" s="1"/>
      <x:c r="J157" s="1"/>
      <x:c r="K157" s="1"/>
      <x:c r="L157" s="1"/>
      <x:c r="M157" s="1"/>
      <x:c r="N157" s="1"/>
      <x:c r="O157" s="1"/>
      <x:c r="P157" s="1"/>
      <x:c r="Q157" s="1"/>
      <x:c r="R157" s="1"/>
      <x:c r="S157" s="1"/>
      <x:c r="T157" s="1"/>
    </x:row>
    <x:row r="158" ht="18" customHeight="1">
      <x:c r="A158" s="1"/>
      <x:c r="B158" s="1"/>
      <x:c r="C158" s="1"/>
      <x:c r="D158" s="1"/>
      <x:c r="E158" s="1"/>
      <x:c r="F158" s="1"/>
      <x:c r="G158" s="1"/>
      <x:c r="H158" s="1"/>
      <x:c r="I158" s="1"/>
      <x:c r="J158" s="1"/>
      <x:c r="K158" s="1"/>
      <x:c r="L158" s="1"/>
      <x:c r="M158" s="1"/>
      <x:c r="N158" s="1"/>
      <x:c r="O158" s="1"/>
      <x:c r="P158" s="1"/>
      <x:c r="Q158" s="1"/>
      <x:c r="R158" s="1"/>
      <x:c r="S158" s="1"/>
      <x:c r="T158" s="1"/>
    </x:row>
    <x:row r="159" ht="18" customHeight="1">
      <x:c r="A159" s="1"/>
      <x:c r="B159" s="1"/>
      <x:c r="C159" s="1"/>
      <x:c r="D159" s="1"/>
      <x:c r="E159" s="1"/>
      <x:c r="F159" s="1"/>
      <x:c r="G159" s="1"/>
      <x:c r="H159" s="1"/>
      <x:c r="I159" s="1"/>
      <x:c r="J159" s="1"/>
      <x:c r="K159" s="1"/>
      <x:c r="L159" s="1"/>
      <x:c r="M159" s="1"/>
      <x:c r="N159" s="1"/>
      <x:c r="O159" s="1"/>
      <x:c r="P159" s="1"/>
      <x:c r="Q159" s="1"/>
      <x:c r="R159" s="1"/>
      <x:c r="S159" s="1"/>
      <x:c r="T159" s="1"/>
    </x:row>
    <x:row r="160" ht="18" customHeight="1">
      <x:c r="A160" s="1"/>
      <x:c r="B160" s="1"/>
      <x:c r="C160" s="1"/>
      <x:c r="D160" s="1"/>
      <x:c r="E160" s="1"/>
      <x:c r="F160" s="1"/>
      <x:c r="G160" s="1"/>
      <x:c r="H160" s="1"/>
      <x:c r="I160" s="1"/>
      <x:c r="J160" s="1"/>
      <x:c r="K160" s="1"/>
      <x:c r="L160" s="1"/>
      <x:c r="M160" s="1"/>
      <x:c r="N160" s="1"/>
      <x:c r="O160" s="1"/>
      <x:c r="P160" s="1"/>
      <x:c r="Q160" s="1"/>
      <x:c r="R160" s="1"/>
      <x:c r="S160" s="1"/>
      <x:c r="T160" s="1"/>
    </x:row>
    <x:row r="161" ht="18" customHeight="1">
      <x:c r="A161" s="1"/>
      <x:c r="B161" s="1"/>
      <x:c r="C161" s="1"/>
      <x:c r="D161" s="1"/>
      <x:c r="E161" s="1"/>
      <x:c r="F161" s="1"/>
      <x:c r="G161" s="1"/>
      <x:c r="H161" s="1"/>
      <x:c r="I161" s="1"/>
      <x:c r="J161" s="1"/>
      <x:c r="K161" s="1"/>
      <x:c r="L161" s="1"/>
      <x:c r="M161" s="1"/>
      <x:c r="N161" s="1"/>
      <x:c r="O161" s="1"/>
      <x:c r="P161" s="1"/>
      <x:c r="Q161" s="1"/>
      <x:c r="R161" s="1"/>
      <x:c r="S161" s="1"/>
      <x:c r="T161" s="1"/>
    </x:row>
    <x:row r="162" ht="18" customHeight="1">
      <x:c r="A162" s="1"/>
      <x:c r="B162" s="1"/>
      <x:c r="C162" s="1"/>
      <x:c r="D162" s="1"/>
      <x:c r="E162" s="1"/>
      <x:c r="F162" s="1"/>
      <x:c r="G162" s="1"/>
      <x:c r="H162" s="1"/>
      <x:c r="I162" s="1"/>
      <x:c r="J162" s="1"/>
      <x:c r="K162" s="1"/>
      <x:c r="L162" s="1"/>
      <x:c r="M162" s="1"/>
      <x:c r="N162" s="1"/>
      <x:c r="O162" s="1"/>
      <x:c r="P162" s="1"/>
      <x:c r="Q162" s="1"/>
      <x:c r="R162" s="1"/>
      <x:c r="S162" s="1"/>
      <x:c r="T162" s="1"/>
    </x:row>
    <x:row r="163" ht="18" customHeight="1">
      <x:c r="A163" s="1"/>
      <x:c r="B163" s="1"/>
      <x:c r="C163" s="1"/>
      <x:c r="D163" s="1"/>
      <x:c r="E163" s="1"/>
      <x:c r="F163" s="1"/>
      <x:c r="G163" s="1"/>
      <x:c r="H163" s="1"/>
      <x:c r="I163" s="1"/>
      <x:c r="J163" s="1"/>
      <x:c r="K163" s="1"/>
      <x:c r="L163" s="1"/>
      <x:c r="M163" s="1"/>
      <x:c r="N163" s="1"/>
      <x:c r="O163" s="1"/>
      <x:c r="P163" s="1"/>
      <x:c r="Q163" s="1"/>
      <x:c r="R163" s="1"/>
      <x:c r="S163" s="1"/>
      <x:c r="T163" s="1"/>
    </x:row>
    <x:row r="164" ht="18" customHeight="1">
      <x:c r="A164" s="1"/>
      <x:c r="B164" s="1"/>
      <x:c r="C164" s="1"/>
      <x:c r="D164" s="1"/>
      <x:c r="E164" s="1"/>
      <x:c r="F164" s="1"/>
      <x:c r="G164" s="1"/>
      <x:c r="H164" s="1"/>
      <x:c r="I164" s="1"/>
      <x:c r="J164" s="1"/>
      <x:c r="K164" s="1"/>
      <x:c r="L164" s="1"/>
      <x:c r="M164" s="1"/>
      <x:c r="N164" s="1"/>
      <x:c r="O164" s="1"/>
      <x:c r="P164" s="1"/>
      <x:c r="Q164" s="1"/>
      <x:c r="R164" s="1"/>
      <x:c r="S164" s="1"/>
      <x:c r="T164" s="1"/>
    </x:row>
    <x:row r="165" ht="18" customHeight="1">
      <x:c r="A165" s="1"/>
      <x:c r="B165" s="1"/>
      <x:c r="C165" s="1"/>
      <x:c r="D165" s="1"/>
      <x:c r="E165" s="1"/>
      <x:c r="F165" s="1"/>
      <x:c r="G165" s="1"/>
      <x:c r="H165" s="1"/>
      <x:c r="I165" s="1"/>
      <x:c r="J165" s="1"/>
      <x:c r="K165" s="1"/>
      <x:c r="L165" s="1"/>
      <x:c r="M165" s="1"/>
      <x:c r="N165" s="1"/>
      <x:c r="O165" s="1"/>
      <x:c r="P165" s="1"/>
      <x:c r="Q165" s="1"/>
      <x:c r="R165" s="1"/>
      <x:c r="S165" s="1"/>
      <x:c r="T165" s="1"/>
    </x:row>
    <x:row r="166" ht="18" customHeight="1">
      <x:c r="A166" s="1"/>
      <x:c r="B166" s="1"/>
      <x:c r="C166" s="1"/>
      <x:c r="D166" s="1"/>
      <x:c r="E166" s="1"/>
      <x:c r="F166" s="1"/>
      <x:c r="G166" s="1"/>
      <x:c r="H166" s="1"/>
      <x:c r="I166" s="1"/>
      <x:c r="J166" s="1"/>
      <x:c r="K166" s="1"/>
      <x:c r="L166" s="1"/>
      <x:c r="M166" s="1"/>
      <x:c r="N166" s="1"/>
      <x:c r="O166" s="1"/>
      <x:c r="P166" s="1"/>
      <x:c r="Q166" s="1"/>
      <x:c r="R166" s="1"/>
      <x:c r="S166" s="1"/>
      <x:c r="T166" s="1"/>
    </x:row>
    <x:row r="167" ht="18" customHeight="1">
      <x:c r="A167" s="1"/>
      <x:c r="B167" s="1"/>
      <x:c r="C167" s="1"/>
      <x:c r="D167" s="1"/>
      <x:c r="E167" s="1"/>
      <x:c r="F167" s="1"/>
      <x:c r="G167" s="1"/>
      <x:c r="H167" s="1"/>
      <x:c r="I167" s="1"/>
      <x:c r="J167" s="1"/>
      <x:c r="K167" s="1"/>
      <x:c r="L167" s="1"/>
      <x:c r="M167" s="1"/>
      <x:c r="N167" s="1"/>
      <x:c r="O167" s="1"/>
      <x:c r="P167" s="1"/>
      <x:c r="Q167" s="1"/>
      <x:c r="R167" s="1"/>
      <x:c r="S167" s="1"/>
      <x:c r="T167" s="1"/>
    </x:row>
    <x:row r="168" ht="18" customHeight="1">
      <x:c r="A168" s="1"/>
      <x:c r="B168" s="1"/>
      <x:c r="C168" s="1"/>
      <x:c r="D168" s="1"/>
      <x:c r="E168" s="1"/>
      <x:c r="F168" s="1"/>
      <x:c r="G168" s="1"/>
      <x:c r="H168" s="1"/>
      <x:c r="I168" s="1"/>
      <x:c r="J168" s="1"/>
      <x:c r="K168" s="1"/>
      <x:c r="L168" s="1"/>
      <x:c r="M168" s="1"/>
      <x:c r="N168" s="1"/>
      <x:c r="O168" s="1"/>
      <x:c r="P168" s="1"/>
      <x:c r="Q168" s="1"/>
      <x:c r="R168" s="1"/>
      <x:c r="S168" s="1"/>
      <x:c r="T168" s="1"/>
    </x:row>
    <x:row r="169" ht="18" customHeight="1">
      <x:c r="A169" s="1"/>
      <x:c r="B169" s="1"/>
      <x:c r="C169" s="1"/>
      <x:c r="D169" s="1"/>
      <x:c r="E169" s="1"/>
      <x:c r="F169" s="1"/>
      <x:c r="G169" s="1"/>
      <x:c r="H169" s="1"/>
      <x:c r="I169" s="1"/>
      <x:c r="J169" s="1"/>
      <x:c r="K169" s="1"/>
      <x:c r="L169" s="1"/>
      <x:c r="M169" s="1"/>
      <x:c r="N169" s="1"/>
      <x:c r="O169" s="1"/>
      <x:c r="P169" s="1"/>
      <x:c r="Q169" s="1"/>
      <x:c r="R169" s="1"/>
      <x:c r="S169" s="1"/>
      <x:c r="T169" s="1"/>
    </x:row>
    <x:row r="170" ht="18" customHeight="1">
      <x:c r="A170" s="1"/>
      <x:c r="B170" s="1"/>
      <x:c r="C170" s="1"/>
      <x:c r="D170" s="1"/>
      <x:c r="E170" s="1"/>
      <x:c r="F170" s="1"/>
      <x:c r="G170" s="1"/>
      <x:c r="H170" s="1"/>
      <x:c r="I170" s="1"/>
      <x:c r="J170" s="1"/>
      <x:c r="K170" s="1"/>
      <x:c r="L170" s="1"/>
      <x:c r="M170" s="1"/>
      <x:c r="N170" s="1"/>
      <x:c r="O170" s="1"/>
      <x:c r="P170" s="1"/>
      <x:c r="Q170" s="1"/>
      <x:c r="R170" s="1"/>
      <x:c r="S170" s="1"/>
      <x:c r="T170" s="1"/>
    </x:row>
    <x:row r="171" ht="18" customHeight="1">
      <x:c r="A171" s="1"/>
      <x:c r="B171" s="1"/>
      <x:c r="C171" s="1"/>
      <x:c r="D171" s="1"/>
      <x:c r="E171" s="1"/>
      <x:c r="F171" s="1"/>
      <x:c r="G171" s="1"/>
      <x:c r="H171" s="1"/>
      <x:c r="I171" s="1"/>
      <x:c r="J171" s="1"/>
      <x:c r="K171" s="1"/>
      <x:c r="L171" s="1"/>
      <x:c r="M171" s="1"/>
      <x:c r="N171" s="1"/>
      <x:c r="O171" s="1"/>
      <x:c r="P171" s="1"/>
      <x:c r="Q171" s="1"/>
      <x:c r="R171" s="1"/>
      <x:c r="S171" s="1"/>
      <x:c r="T171" s="1"/>
    </x:row>
    <x:row r="172" ht="18" customHeight="1">
      <x:c r="A172" s="1"/>
      <x:c r="B172" s="1"/>
      <x:c r="C172" s="1"/>
      <x:c r="D172" s="1"/>
      <x:c r="E172" s="1"/>
      <x:c r="F172" s="1"/>
      <x:c r="G172" s="1"/>
      <x:c r="H172" s="1"/>
      <x:c r="I172" s="1"/>
      <x:c r="J172" s="1"/>
      <x:c r="K172" s="1"/>
      <x:c r="L172" s="1"/>
      <x:c r="M172" s="1"/>
      <x:c r="N172" s="1"/>
      <x:c r="O172" s="1"/>
      <x:c r="P172" s="1"/>
      <x:c r="Q172" s="1"/>
      <x:c r="R172" s="1"/>
      <x:c r="S172" s="1"/>
      <x:c r="T172" s="1"/>
    </x:row>
    <x:row r="173" ht="18" customHeight="1">
      <x:c r="A173" s="1"/>
      <x:c r="B173" s="1"/>
      <x:c r="C173" s="1"/>
      <x:c r="D173" s="1"/>
      <x:c r="E173" s="1"/>
      <x:c r="F173" s="1"/>
      <x:c r="G173" s="1"/>
      <x:c r="H173" s="1"/>
      <x:c r="I173" s="1"/>
      <x:c r="J173" s="1"/>
      <x:c r="K173" s="1"/>
      <x:c r="L173" s="1"/>
      <x:c r="M173" s="1"/>
      <x:c r="N173" s="1"/>
      <x:c r="O173" s="1"/>
      <x:c r="P173" s="1"/>
      <x:c r="Q173" s="1"/>
      <x:c r="R173" s="1"/>
      <x:c r="S173" s="1"/>
      <x:c r="T173" s="1"/>
    </x:row>
    <x:row r="174" ht="18" customHeight="1">
      <x:c r="A174" s="1"/>
      <x:c r="B174" s="1"/>
      <x:c r="C174" s="1"/>
      <x:c r="D174" s="1"/>
      <x:c r="E174" s="1"/>
      <x:c r="F174" s="1"/>
      <x:c r="G174" s="1"/>
      <x:c r="H174" s="1"/>
      <x:c r="I174" s="1"/>
      <x:c r="J174" s="1"/>
      <x:c r="K174" s="1"/>
      <x:c r="L174" s="1"/>
      <x:c r="M174" s="1"/>
      <x:c r="N174" s="1"/>
      <x:c r="O174" s="1"/>
      <x:c r="P174" s="1"/>
      <x:c r="Q174" s="1"/>
      <x:c r="R174" s="1"/>
      <x:c r="S174" s="1"/>
      <x:c r="T174" s="1"/>
    </x:row>
    <x:row r="175" ht="18" customHeight="1">
      <x:c r="A175" s="1"/>
      <x:c r="B175" s="1"/>
      <x:c r="C175" s="1"/>
      <x:c r="D175" s="1"/>
      <x:c r="E175" s="1"/>
      <x:c r="F175" s="1"/>
      <x:c r="G175" s="1"/>
      <x:c r="H175" s="1"/>
      <x:c r="I175" s="1"/>
      <x:c r="J175" s="1"/>
      <x:c r="K175" s="1"/>
      <x:c r="L175" s="1"/>
      <x:c r="M175" s="1"/>
      <x:c r="N175" s="1"/>
      <x:c r="O175" s="1"/>
      <x:c r="P175" s="1"/>
      <x:c r="Q175" s="1"/>
      <x:c r="R175" s="1"/>
      <x:c r="S175" s="1"/>
      <x:c r="T175" s="1"/>
    </x:row>
    <x:row r="176" ht="18" customHeight="1">
      <x:c r="A176" s="1"/>
      <x:c r="B176" s="1"/>
      <x:c r="C176" s="1"/>
      <x:c r="D176" s="1"/>
      <x:c r="E176" s="1"/>
      <x:c r="F176" s="1"/>
      <x:c r="G176" s="1"/>
      <x:c r="H176" s="1"/>
      <x:c r="I176" s="1"/>
      <x:c r="J176" s="1"/>
      <x:c r="K176" s="1"/>
      <x:c r="L176" s="1"/>
      <x:c r="M176" s="1"/>
      <x:c r="N176" s="1"/>
      <x:c r="O176" s="1"/>
      <x:c r="P176" s="1"/>
      <x:c r="Q176" s="1"/>
      <x:c r="R176" s="1"/>
      <x:c r="S176" s="1"/>
      <x:c r="T176" s="1"/>
    </x:row>
    <x:row r="177" ht="18" customHeight="1">
      <x:c r="A177" s="1"/>
      <x:c r="B177" s="1"/>
      <x:c r="C177" s="1"/>
      <x:c r="D177" s="1"/>
      <x:c r="E177" s="1"/>
      <x:c r="F177" s="1"/>
      <x:c r="G177" s="1"/>
      <x:c r="H177" s="1"/>
      <x:c r="I177" s="1"/>
      <x:c r="J177" s="1"/>
      <x:c r="K177" s="1"/>
      <x:c r="L177" s="1"/>
      <x:c r="M177" s="1"/>
      <x:c r="N177" s="1"/>
      <x:c r="O177" s="1"/>
      <x:c r="P177" s="1"/>
      <x:c r="Q177" s="1"/>
      <x:c r="R177" s="1"/>
      <x:c r="S177" s="1"/>
      <x:c r="T177" s="1"/>
    </x:row>
    <x:row r="178" ht="18" customHeight="1">
      <x:c r="A178" s="1"/>
      <x:c r="B178" s="1"/>
      <x:c r="C178" s="1"/>
      <x:c r="D178" s="1"/>
      <x:c r="E178" s="1"/>
      <x:c r="F178" s="1"/>
      <x:c r="G178" s="1"/>
      <x:c r="H178" s="1"/>
      <x:c r="I178" s="1"/>
      <x:c r="J178" s="1"/>
      <x:c r="K178" s="1"/>
      <x:c r="L178" s="1"/>
      <x:c r="M178" s="1"/>
      <x:c r="N178" s="1"/>
      <x:c r="O178" s="1"/>
      <x:c r="P178" s="1"/>
      <x:c r="Q178" s="1"/>
      <x:c r="R178" s="1"/>
      <x:c r="S178" s="1"/>
      <x:c r="T178" s="1"/>
    </x:row>
    <x:row r="179" ht="18" customHeight="1">
      <x:c r="A179" s="1"/>
      <x:c r="B179" s="1"/>
      <x:c r="C179" s="1"/>
      <x:c r="D179" s="1"/>
      <x:c r="E179" s="1"/>
      <x:c r="F179" s="1"/>
      <x:c r="G179" s="1"/>
      <x:c r="H179" s="1"/>
      <x:c r="I179" s="1"/>
      <x:c r="J179" s="1"/>
      <x:c r="K179" s="1"/>
      <x:c r="L179" s="1"/>
      <x:c r="M179" s="1"/>
      <x:c r="N179" s="1"/>
      <x:c r="O179" s="1"/>
      <x:c r="P179" s="1"/>
      <x:c r="Q179" s="1"/>
      <x:c r="R179" s="1"/>
      <x:c r="S179" s="1"/>
      <x:c r="T179" s="1"/>
    </x:row>
    <x:row r="180" ht="18" customHeight="1">
      <x:c r="A180" s="1"/>
      <x:c r="B180" s="1"/>
      <x:c r="C180" s="1"/>
      <x:c r="D180" s="1"/>
      <x:c r="E180" s="1"/>
      <x:c r="F180" s="1"/>
      <x:c r="G180" s="1"/>
      <x:c r="H180" s="1"/>
      <x:c r="I180" s="1"/>
      <x:c r="J180" s="1"/>
      <x:c r="K180" s="1"/>
      <x:c r="L180" s="1"/>
      <x:c r="M180" s="1"/>
      <x:c r="N180" s="1"/>
      <x:c r="O180" s="1"/>
      <x:c r="P180" s="1"/>
      <x:c r="Q180" s="1"/>
      <x:c r="R180" s="1"/>
      <x:c r="S180" s="1"/>
      <x:c r="T180" s="1"/>
    </x:row>
    <x:row r="181" ht="18" customHeight="1">
      <x:c r="A181" s="1"/>
      <x:c r="B181" s="1"/>
      <x:c r="C181" s="1"/>
      <x:c r="D181" s="1"/>
      <x:c r="E181" s="1"/>
      <x:c r="F181" s="1"/>
      <x:c r="G181" s="1"/>
      <x:c r="H181" s="1"/>
      <x:c r="I181" s="1"/>
      <x:c r="J181" s="1"/>
      <x:c r="K181" s="1"/>
      <x:c r="L181" s="1"/>
      <x:c r="M181" s="1"/>
      <x:c r="N181" s="1"/>
      <x:c r="O181" s="1"/>
      <x:c r="P181" s="1"/>
      <x:c r="Q181" s="1"/>
      <x:c r="R181" s="1"/>
      <x:c r="S181" s="1"/>
      <x:c r="T181" s="1"/>
    </x:row>
    <x:row r="182" ht="18" customHeight="1">
      <x:c r="A182" s="1"/>
      <x:c r="B182" s="1"/>
      <x:c r="C182" s="1"/>
      <x:c r="D182" s="1"/>
      <x:c r="E182" s="1"/>
      <x:c r="F182" s="1"/>
      <x:c r="G182" s="1"/>
      <x:c r="H182" s="1"/>
      <x:c r="I182" s="1"/>
      <x:c r="J182" s="1"/>
      <x:c r="K182" s="1"/>
      <x:c r="L182" s="1"/>
      <x:c r="M182" s="1"/>
      <x:c r="N182" s="1"/>
      <x:c r="O182" s="1"/>
      <x:c r="P182" s="1"/>
      <x:c r="Q182" s="1"/>
      <x:c r="R182" s="1"/>
      <x:c r="S182" s="1"/>
      <x:c r="T182" s="1"/>
    </x:row>
    <x:row r="183" ht="18" customHeight="1">
      <x:c r="A183" s="1"/>
      <x:c r="B183" s="1"/>
      <x:c r="C183" s="1"/>
      <x:c r="D183" s="1"/>
      <x:c r="E183" s="1"/>
      <x:c r="F183" s="1"/>
      <x:c r="G183" s="1"/>
      <x:c r="H183" s="1"/>
      <x:c r="I183" s="1"/>
      <x:c r="J183" s="1"/>
      <x:c r="K183" s="1"/>
      <x:c r="L183" s="1"/>
      <x:c r="M183" s="1"/>
      <x:c r="N183" s="1"/>
      <x:c r="O183" s="1"/>
      <x:c r="P183" s="1"/>
      <x:c r="Q183" s="1"/>
      <x:c r="R183" s="1"/>
      <x:c r="S183" s="1"/>
      <x:c r="T183" s="1"/>
    </x:row>
    <x:row r="184" ht="18" customHeight="1">
      <x:c r="A184" s="1"/>
      <x:c r="B184" s="1"/>
      <x:c r="C184" s="1"/>
      <x:c r="D184" s="1"/>
      <x:c r="E184" s="1"/>
      <x:c r="F184" s="1"/>
      <x:c r="G184" s="1"/>
      <x:c r="H184" s="1"/>
      <x:c r="I184" s="1"/>
      <x:c r="J184" s="1"/>
      <x:c r="K184" s="1"/>
      <x:c r="L184" s="1"/>
      <x:c r="M184" s="1"/>
      <x:c r="N184" s="1"/>
      <x:c r="O184" s="1"/>
      <x:c r="P184" s="1"/>
      <x:c r="Q184" s="1"/>
      <x:c r="R184" s="1"/>
      <x:c r="S184" s="1"/>
      <x:c r="T184" s="1"/>
    </x:row>
    <x:row r="185" ht="18" customHeight="1">
      <x:c r="A185" s="1"/>
      <x:c r="B185" s="1"/>
      <x:c r="C185" s="1"/>
      <x:c r="D185" s="1"/>
      <x:c r="E185" s="1"/>
      <x:c r="F185" s="1"/>
      <x:c r="G185" s="1"/>
      <x:c r="H185" s="1"/>
      <x:c r="I185" s="1"/>
      <x:c r="J185" s="1"/>
      <x:c r="K185" s="1"/>
      <x:c r="L185" s="1"/>
      <x:c r="M185" s="1"/>
      <x:c r="N185" s="1"/>
      <x:c r="O185" s="1"/>
      <x:c r="P185" s="1"/>
      <x:c r="Q185" s="1"/>
      <x:c r="R185" s="1"/>
      <x:c r="S185" s="1"/>
      <x:c r="T185" s="1"/>
    </x:row>
    <x:row r="186" ht="18" customHeight="1">
      <x:c r="A186" s="1"/>
      <x:c r="B186" s="1"/>
      <x:c r="C186" s="1"/>
      <x:c r="D186" s="1"/>
      <x:c r="E186" s="1"/>
      <x:c r="F186" s="1"/>
      <x:c r="G186" s="1"/>
      <x:c r="H186" s="1"/>
      <x:c r="I186" s="1"/>
      <x:c r="J186" s="1"/>
      <x:c r="K186" s="1"/>
      <x:c r="L186" s="1"/>
      <x:c r="M186" s="1"/>
      <x:c r="N186" s="1"/>
      <x:c r="O186" s="1"/>
      <x:c r="P186" s="1"/>
      <x:c r="Q186" s="1"/>
      <x:c r="R186" s="1"/>
      <x:c r="S186" s="1"/>
      <x:c r="T186" s="1"/>
    </x:row>
    <x:row r="187" ht="18" customHeight="1">
      <x:c r="A187" s="1"/>
      <x:c r="B187" s="1"/>
      <x:c r="C187" s="1"/>
      <x:c r="D187" s="1"/>
      <x:c r="E187" s="1"/>
      <x:c r="F187" s="1"/>
      <x:c r="G187" s="1"/>
      <x:c r="H187" s="1"/>
      <x:c r="I187" s="1"/>
      <x:c r="J187" s="1"/>
      <x:c r="K187" s="1"/>
      <x:c r="L187" s="1"/>
      <x:c r="M187" s="1"/>
      <x:c r="N187" s="1"/>
      <x:c r="O187" s="1"/>
      <x:c r="P187" s="1"/>
      <x:c r="Q187" s="1"/>
      <x:c r="R187" s="1"/>
      <x:c r="S187" s="1"/>
      <x:c r="T187" s="1"/>
    </x:row>
    <x:row r="188" ht="18" customHeight="1">
      <x:c r="A188" s="1"/>
      <x:c r="B188" s="1"/>
      <x:c r="C188" s="1"/>
      <x:c r="D188" s="1"/>
      <x:c r="E188" s="1"/>
      <x:c r="F188" s="1"/>
      <x:c r="G188" s="1"/>
      <x:c r="H188" s="1"/>
      <x:c r="I188" s="1"/>
      <x:c r="J188" s="1"/>
      <x:c r="K188" s="1"/>
      <x:c r="L188" s="1"/>
      <x:c r="M188" s="1"/>
      <x:c r="N188" s="1"/>
      <x:c r="O188" s="1"/>
      <x:c r="P188" s="1"/>
      <x:c r="Q188" s="1"/>
      <x:c r="R188" s="1"/>
      <x:c r="S188" s="1"/>
      <x:c r="T188" s="1"/>
    </x:row>
    <x:row r="189" ht="18" customHeight="1">
      <x:c r="A189" s="1"/>
      <x:c r="B189" s="1"/>
      <x:c r="C189" s="1"/>
      <x:c r="D189" s="1"/>
      <x:c r="E189" s="1"/>
      <x:c r="F189" s="1"/>
      <x:c r="G189" s="1"/>
      <x:c r="H189" s="1"/>
      <x:c r="I189" s="1"/>
      <x:c r="J189" s="1"/>
      <x:c r="K189" s="1"/>
      <x:c r="L189" s="1"/>
      <x:c r="M189" s="1"/>
      <x:c r="N189" s="1"/>
      <x:c r="O189" s="1"/>
      <x:c r="P189" s="1"/>
      <x:c r="Q189" s="1"/>
      <x:c r="R189" s="1"/>
      <x:c r="S189" s="1"/>
      <x:c r="T189" s="1"/>
    </x:row>
    <x:row r="190" ht="18" customHeight="1">
      <x:c r="A190" s="1"/>
      <x:c r="B190" s="1"/>
      <x:c r="C190" s="1"/>
      <x:c r="D190" s="1"/>
      <x:c r="E190" s="1"/>
      <x:c r="F190" s="1"/>
      <x:c r="G190" s="1"/>
      <x:c r="H190" s="1"/>
      <x:c r="I190" s="1"/>
      <x:c r="J190" s="1"/>
      <x:c r="K190" s="1"/>
      <x:c r="L190" s="1"/>
      <x:c r="M190" s="1"/>
      <x:c r="N190" s="1"/>
      <x:c r="O190" s="1"/>
      <x:c r="P190" s="1"/>
      <x:c r="Q190" s="1"/>
      <x:c r="R190" s="1"/>
      <x:c r="S190" s="1"/>
      <x:c r="T190" s="1"/>
    </x:row>
    <x:row r="191" ht="18" customHeight="1">
      <x:c r="A191" s="1"/>
      <x:c r="B191" s="1"/>
      <x:c r="C191" s="1"/>
      <x:c r="D191" s="1"/>
      <x:c r="E191" s="1"/>
      <x:c r="F191" s="1"/>
      <x:c r="G191" s="1"/>
      <x:c r="H191" s="1"/>
      <x:c r="I191" s="1"/>
      <x:c r="J191" s="1"/>
      <x:c r="K191" s="1"/>
      <x:c r="L191" s="1"/>
      <x:c r="M191" s="1"/>
      <x:c r="N191" s="1"/>
      <x:c r="O191" s="1"/>
      <x:c r="P191" s="1"/>
      <x:c r="Q191" s="1"/>
      <x:c r="R191" s="1"/>
      <x:c r="S191" s="1"/>
      <x:c r="T191" s="1"/>
    </x:row>
    <x:row r="192" ht="18" customHeight="1">
      <x:c r="A192" s="1"/>
      <x:c r="B192" s="1"/>
      <x:c r="C192" s="1"/>
      <x:c r="D192" s="1"/>
      <x:c r="E192" s="1"/>
      <x:c r="F192" s="1"/>
      <x:c r="G192" s="1"/>
      <x:c r="H192" s="1"/>
      <x:c r="I192" s="1"/>
      <x:c r="J192" s="1"/>
      <x:c r="K192" s="1"/>
      <x:c r="L192" s="1"/>
      <x:c r="M192" s="1"/>
      <x:c r="N192" s="1"/>
      <x:c r="O192" s="1"/>
      <x:c r="P192" s="1"/>
      <x:c r="Q192" s="1"/>
      <x:c r="R192" s="1"/>
      <x:c r="S192" s="1"/>
      <x:c r="T192" s="1"/>
    </x:row>
    <x:row r="193" ht="18" customHeight="1">
      <x:c r="A193" s="1"/>
      <x:c r="B193" s="1"/>
      <x:c r="C193" s="1"/>
      <x:c r="D193" s="1"/>
      <x:c r="E193" s="1"/>
      <x:c r="F193" s="1"/>
      <x:c r="G193" s="1"/>
      <x:c r="H193" s="1"/>
      <x:c r="I193" s="1"/>
      <x:c r="J193" s="1"/>
      <x:c r="K193" s="1"/>
      <x:c r="L193" s="1"/>
      <x:c r="M193" s="1"/>
      <x:c r="N193" s="1"/>
      <x:c r="O193" s="1"/>
      <x:c r="P193" s="1"/>
      <x:c r="Q193" s="1"/>
      <x:c r="R193" s="1"/>
      <x:c r="S193" s="1"/>
      <x:c r="T193" s="1"/>
    </x:row>
    <x:row r="194" ht="18" customHeight="1">
      <x:c r="A194" s="1"/>
      <x:c r="B194" s="1"/>
      <x:c r="C194" s="1"/>
      <x:c r="D194" s="1"/>
      <x:c r="E194" s="1"/>
      <x:c r="F194" s="1"/>
      <x:c r="G194" s="1"/>
      <x:c r="H194" s="1"/>
      <x:c r="I194" s="1"/>
      <x:c r="J194" s="1"/>
      <x:c r="K194" s="1"/>
      <x:c r="L194" s="1"/>
      <x:c r="M194" s="1"/>
      <x:c r="N194" s="1"/>
      <x:c r="O194" s="1"/>
      <x:c r="P194" s="1"/>
      <x:c r="Q194" s="1"/>
      <x:c r="R194" s="1"/>
      <x:c r="S194" s="1"/>
      <x:c r="T194" s="1"/>
    </x:row>
    <x:row r="195" ht="18" customHeight="1">
      <x:c r="A195" s="1"/>
      <x:c r="B195" s="1"/>
      <x:c r="C195" s="1"/>
      <x:c r="D195" s="1"/>
      <x:c r="E195" s="1"/>
      <x:c r="F195" s="1"/>
      <x:c r="G195" s="1"/>
      <x:c r="H195" s="1"/>
      <x:c r="I195" s="1"/>
      <x:c r="J195" s="1"/>
      <x:c r="K195" s="1"/>
      <x:c r="L195" s="1"/>
      <x:c r="M195" s="1"/>
      <x:c r="N195" s="1"/>
      <x:c r="O195" s="1"/>
      <x:c r="P195" s="1"/>
      <x:c r="Q195" s="1"/>
      <x:c r="R195" s="1"/>
      <x:c r="S195" s="1"/>
      <x:c r="T195" s="1"/>
    </x:row>
    <x:row r="196" ht="18" customHeight="1">
      <x:c r="A196" s="1"/>
      <x:c r="B196" s="1"/>
      <x:c r="C196" s="1"/>
      <x:c r="D196" s="1"/>
      <x:c r="E196" s="1"/>
      <x:c r="F196" s="1"/>
      <x:c r="G196" s="1"/>
      <x:c r="H196" s="1"/>
      <x:c r="I196" s="1"/>
      <x:c r="J196" s="1"/>
      <x:c r="K196" s="1"/>
      <x:c r="L196" s="1"/>
      <x:c r="M196" s="1"/>
      <x:c r="N196" s="1"/>
      <x:c r="O196" s="1"/>
      <x:c r="P196" s="1"/>
      <x:c r="Q196" s="1"/>
      <x:c r="R196" s="1"/>
      <x:c r="S196" s="1"/>
      <x:c r="T196" s="1"/>
    </x:row>
    <x:row r="197" ht="18" customHeight="1">
      <x:c r="A197" s="1"/>
      <x:c r="B197" s="1"/>
      <x:c r="C197" s="1"/>
      <x:c r="D197" s="1"/>
      <x:c r="E197" s="1"/>
      <x:c r="F197" s="1"/>
      <x:c r="G197" s="1"/>
      <x:c r="H197" s="1"/>
      <x:c r="I197" s="1"/>
      <x:c r="J197" s="1"/>
      <x:c r="K197" s="1"/>
      <x:c r="L197" s="1"/>
      <x:c r="M197" s="1"/>
      <x:c r="N197" s="1"/>
      <x:c r="O197" s="1"/>
      <x:c r="P197" s="1"/>
      <x:c r="Q197" s="1"/>
      <x:c r="R197" s="1"/>
      <x:c r="S197" s="1"/>
      <x:c r="T197" s="1"/>
    </x:row>
    <x:row r="198" ht="18" customHeight="1">
      <x:c r="A198" s="1"/>
      <x:c r="B198" s="1"/>
      <x:c r="C198" s="1"/>
      <x:c r="D198" s="1"/>
      <x:c r="E198" s="1"/>
      <x:c r="F198" s="1"/>
      <x:c r="G198" s="1"/>
      <x:c r="H198" s="1"/>
      <x:c r="I198" s="1"/>
      <x:c r="J198" s="1"/>
      <x:c r="K198" s="1"/>
      <x:c r="L198" s="1"/>
      <x:c r="M198" s="1"/>
      <x:c r="N198" s="1"/>
      <x:c r="O198" s="1"/>
      <x:c r="P198" s="1"/>
      <x:c r="Q198" s="1"/>
      <x:c r="R198" s="1"/>
      <x:c r="S198" s="1"/>
      <x:c r="T198" s="1"/>
    </x:row>
    <x:row r="199" ht="18" customHeight="1">
      <x:c r="A199" s="1"/>
      <x:c r="B199" s="1"/>
      <x:c r="C199" s="1"/>
      <x:c r="D199" s="1"/>
      <x:c r="E199" s="1"/>
      <x:c r="F199" s="1"/>
      <x:c r="G199" s="1"/>
      <x:c r="H199" s="1"/>
      <x:c r="I199" s="1"/>
      <x:c r="J199" s="1"/>
      <x:c r="K199" s="1"/>
      <x:c r="L199" s="1"/>
      <x:c r="M199" s="1"/>
      <x:c r="N199" s="1"/>
      <x:c r="O199" s="1"/>
      <x:c r="P199" s="1"/>
      <x:c r="Q199" s="1"/>
      <x:c r="R199" s="1"/>
      <x:c r="S199" s="1"/>
      <x:c r="T199" s="1"/>
    </x:row>
    <x:row r="200" ht="18" customHeight="1">
      <x:c r="A200" s="1"/>
      <x:c r="B200" s="1"/>
      <x:c r="C200" s="1"/>
      <x:c r="D200" s="1"/>
      <x:c r="E200" s="1"/>
      <x:c r="F200" s="1"/>
      <x:c r="G200" s="1"/>
      <x:c r="H200" s="1"/>
      <x:c r="I200" s="1"/>
      <x:c r="J200" s="1"/>
      <x:c r="K200" s="1"/>
      <x:c r="L200" s="1"/>
      <x:c r="M200" s="1"/>
      <x:c r="N200" s="1"/>
      <x:c r="O200" s="1"/>
      <x:c r="P200" s="1"/>
      <x:c r="Q200" s="1"/>
      <x:c r="R200" s="1"/>
      <x:c r="S200" s="1"/>
      <x:c r="T200" s="1"/>
    </x:row>
    <x:row r="201" ht="18" customHeight="1">
      <x:c r="A201" s="1"/>
      <x:c r="B201" s="1"/>
      <x:c r="C201" s="1"/>
      <x:c r="D201" s="1"/>
      <x:c r="E201" s="1"/>
      <x:c r="F201" s="1"/>
      <x:c r="G201" s="1"/>
      <x:c r="H201" s="1"/>
      <x:c r="I201" s="1"/>
      <x:c r="J201" s="1"/>
      <x:c r="K201" s="1"/>
      <x:c r="L201" s="1"/>
      <x:c r="M201" s="1"/>
      <x:c r="N201" s="1"/>
      <x:c r="O201" s="1"/>
      <x:c r="P201" s="1"/>
      <x:c r="Q201" s="1"/>
      <x:c r="R201" s="1"/>
      <x:c r="S201" s="1"/>
      <x:c r="T201" s="1"/>
    </x:row>
    <x:row r="202" ht="18" customHeight="1">
      <x:c r="A202" s="1"/>
      <x:c r="B202" s="1"/>
      <x:c r="C202" s="1"/>
      <x:c r="D202" s="1"/>
      <x:c r="E202" s="1"/>
      <x:c r="F202" s="1"/>
      <x:c r="G202" s="1"/>
      <x:c r="H202" s="1"/>
      <x:c r="I202" s="1"/>
      <x:c r="J202" s="1"/>
      <x:c r="K202" s="1"/>
      <x:c r="L202" s="1"/>
      <x:c r="M202" s="1"/>
      <x:c r="N202" s="1"/>
      <x:c r="O202" s="1"/>
      <x:c r="P202" s="1"/>
      <x:c r="Q202" s="1"/>
      <x:c r="R202" s="1"/>
      <x:c r="S202" s="1"/>
      <x:c r="T202" s="1"/>
    </x:row>
    <x:row r="203" ht="18" customHeight="1">
      <x:c r="A203" s="1"/>
      <x:c r="B203" s="1"/>
      <x:c r="C203" s="1"/>
      <x:c r="D203" s="1"/>
      <x:c r="E203" s="1"/>
      <x:c r="F203" s="1"/>
      <x:c r="G203" s="1"/>
      <x:c r="H203" s="1"/>
      <x:c r="I203" s="1"/>
      <x:c r="J203" s="1"/>
      <x:c r="K203" s="1"/>
      <x:c r="L203" s="1"/>
      <x:c r="M203" s="1"/>
      <x:c r="N203" s="1"/>
      <x:c r="O203" s="1"/>
      <x:c r="P203" s="1"/>
      <x:c r="Q203" s="1"/>
      <x:c r="R203" s="1"/>
      <x:c r="S203" s="1"/>
      <x:c r="T203" s="1"/>
    </x:row>
    <x:row r="204" ht="18" customHeight="1">
      <x:c r="A204" s="1"/>
      <x:c r="B204" s="1"/>
      <x:c r="C204" s="1"/>
      <x:c r="D204" s="1"/>
      <x:c r="E204" s="1"/>
      <x:c r="F204" s="1"/>
      <x:c r="G204" s="1"/>
      <x:c r="H204" s="1"/>
      <x:c r="I204" s="1"/>
      <x:c r="J204" s="1"/>
      <x:c r="K204" s="1"/>
      <x:c r="L204" s="1"/>
      <x:c r="M204" s="1"/>
      <x:c r="N204" s="1"/>
      <x:c r="O204" s="1"/>
      <x:c r="P204" s="1"/>
      <x:c r="Q204" s="1"/>
      <x:c r="R204" s="1"/>
      <x:c r="S204" s="1"/>
      <x:c r="T204" s="1"/>
    </x:row>
    <x:row r="205" ht="18" customHeight="1">
      <x:c r="A205" s="1"/>
      <x:c r="B205" s="1"/>
      <x:c r="C205" s="1"/>
      <x:c r="D205" s="1"/>
      <x:c r="E205" s="1"/>
      <x:c r="F205" s="1"/>
      <x:c r="G205" s="1"/>
      <x:c r="H205" s="1"/>
      <x:c r="I205" s="1"/>
      <x:c r="J205" s="1"/>
      <x:c r="K205" s="1"/>
      <x:c r="L205" s="1"/>
      <x:c r="M205" s="1"/>
      <x:c r="N205" s="1"/>
      <x:c r="O205" s="1"/>
      <x:c r="P205" s="1"/>
      <x:c r="Q205" s="1"/>
      <x:c r="R205" s="1"/>
      <x:c r="S205" s="1"/>
      <x:c r="T205" s="1"/>
    </x:row>
    <x:row r="206" ht="18" customHeight="1">
      <x:c r="A206" s="1"/>
      <x:c r="B206" s="1"/>
      <x:c r="C206" s="1"/>
      <x:c r="D206" s="1"/>
      <x:c r="E206" s="1"/>
      <x:c r="F206" s="1"/>
      <x:c r="G206" s="1"/>
      <x:c r="H206" s="1"/>
      <x:c r="I206" s="1"/>
      <x:c r="J206" s="1"/>
      <x:c r="K206" s="1"/>
      <x:c r="L206" s="1"/>
      <x:c r="M206" s="1"/>
      <x:c r="N206" s="1"/>
      <x:c r="O206" s="1"/>
      <x:c r="P206" s="1"/>
      <x:c r="Q206" s="1"/>
      <x:c r="R206" s="1"/>
      <x:c r="S206" s="1"/>
      <x:c r="T206" s="1"/>
    </x:row>
    <x:row r="207" ht="18" customHeight="1">
      <x:c r="A207" s="1"/>
      <x:c r="B207" s="1"/>
      <x:c r="C207" s="1"/>
      <x:c r="D207" s="1"/>
      <x:c r="E207" s="1"/>
      <x:c r="F207" s="1"/>
      <x:c r="G207" s="1"/>
      <x:c r="H207" s="1"/>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sheetData>
  <x:mergeCells>
    <x:mergeCell ref="B3:G3"/>
    <x:mergeCell ref="B4:G4"/>
  </x:mergeCells>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6" hidden="0" customWidth="1"/>
    <x:col min="3" max="3" width="23" hidden="0" customWidth="1"/>
    <x:col min="4" max="4" width="15" hidden="0" customWidth="1"/>
    <x:col min="5" max="5" width="43.0099983215332" hidden="0" customWidth="1"/>
    <x:col min="6" max="6" width="22" hidden="0" customWidth="1"/>
    <x:col min="7" max="7" width="13" hidden="0" customWidth="1"/>
    <x:col min="8" max="8" width="35.0099983215332"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Klassenteam</x:v>
      </x:c>
      <x:c r="C3" s="5"/>
      <x:c r="D3" s="5"/>
      <x:c r="E3" s="5"/>
      <x:c r="F3" s="5"/>
      <x:c r="G3" s="5"/>
      <x:c r="H3" s="5"/>
      <x:c r="I3" s="1"/>
      <x:c r="J3" s="1"/>
      <x:c r="K3" s="1"/>
      <x:c r="L3" s="1"/>
      <x:c r="M3" s="1"/>
      <x:c r="N3" s="1"/>
      <x:c r="O3" s="1"/>
      <x:c r="P3" s="1"/>
      <x:c r="Q3" s="1"/>
      <x:c r="R3" s="1"/>
      <x:c r="S3" s="1"/>
      <x:c r="T3" s="1"/>
    </x:row>
    <x:row r="4" ht="20.017499923706055" customHeight="1">
      <x:c r="A4" s="1"/>
      <x:c r="B4" s="8" t="str">
        <x:v>Zuständigkeiten und verlässliche Kontaktwege · Aufgaben gehören in „Offene Vorgänge“</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14" t="str">
        <x:v>Nr.</x:v>
      </x:c>
      <x:c r="C7" s="14" t="str">
        <x:v>Name</x:v>
      </x:c>
      <x:c r="D7" s="14" t="str">
        <x:v>Rolle / Fach</x:v>
      </x:c>
      <x:c r="E7" s="14" t="str">
        <x:v>Zuständigkeit</x:v>
      </x:c>
      <x:c r="F7" s="14" t="str">
        <x:v>Kontaktweg</x:v>
      </x:c>
      <x:c r="G7" s="14" t="str">
        <x:v>Austausch</x:v>
      </x:c>
      <x:c r="H7" s="14" t="str">
        <x:v>Notiz</x:v>
      </x:c>
      <x:c r="I7" s="1"/>
      <x:c r="J7" s="1"/>
      <x:c r="K7" s="1"/>
      <x:c r="L7" s="1"/>
      <x:c r="M7" s="1"/>
      <x:c r="N7" s="1"/>
      <x:c r="O7" s="1"/>
      <x:c r="P7" s="1"/>
      <x:c r="Q7" s="1"/>
      <x:c r="R7" s="1"/>
      <x:c r="S7" s="1"/>
      <x:c r="T7" s="1"/>
    </x:row>
    <x:row r="8" ht="18" customHeight="1">
      <x:c r="A8" s="1"/>
      <x:c r="B8" s="19" t="n">
        <x:v>1</x:v>
      </x:c>
      <x:c r="C8" s="27"/>
      <x:c r="D8" s="27"/>
      <x:c r="E8" s="27"/>
      <x:c r="F8" s="27"/>
      <x:c r="G8" s="56"/>
      <x:c r="H8" s="27"/>
      <x:c r="I8" s="1"/>
      <x:c r="J8" s="1"/>
      <x:c r="K8" s="1"/>
      <x:c r="L8" s="1"/>
      <x:c r="M8" s="1"/>
      <x:c r="N8" s="1"/>
      <x:c r="O8" s="1"/>
      <x:c r="P8" s="1"/>
      <x:c r="Q8" s="1"/>
      <x:c r="R8" s="1"/>
      <x:c r="S8" s="1"/>
      <x:c r="T8" s="1"/>
    </x:row>
    <x:row r="9" ht="18" customHeight="1">
      <x:c r="A9" s="1"/>
      <x:c r="B9" s="19" t="n">
        <x:v>2</x:v>
      </x:c>
      <x:c r="C9" s="27"/>
      <x:c r="D9" s="27"/>
      <x:c r="E9" s="27"/>
      <x:c r="F9" s="27"/>
      <x:c r="G9" s="56"/>
      <x:c r="H9" s="27"/>
      <x:c r="I9" s="1"/>
      <x:c r="J9" s="1"/>
      <x:c r="K9" s="1"/>
      <x:c r="L9" s="1"/>
      <x:c r="M9" s="1"/>
      <x:c r="N9" s="1"/>
      <x:c r="O9" s="1"/>
      <x:c r="P9" s="1"/>
      <x:c r="Q9" s="1"/>
      <x:c r="R9" s="1"/>
      <x:c r="S9" s="1"/>
      <x:c r="T9" s="1"/>
    </x:row>
    <x:row r="10" ht="18" customHeight="1">
      <x:c r="A10" s="1"/>
      <x:c r="B10" s="19" t="n">
        <x:v>3</x:v>
      </x:c>
      <x:c r="C10" s="27"/>
      <x:c r="D10" s="27"/>
      <x:c r="E10" s="27"/>
      <x:c r="F10" s="27"/>
      <x:c r="G10" s="56"/>
      <x:c r="H10" s="27"/>
      <x:c r="I10" s="1"/>
      <x:c r="J10" s="1"/>
      <x:c r="K10" s="1"/>
      <x:c r="L10" s="1"/>
      <x:c r="M10" s="1"/>
      <x:c r="N10" s="1"/>
      <x:c r="O10" s="1"/>
      <x:c r="P10" s="1"/>
      <x:c r="Q10" s="1"/>
      <x:c r="R10" s="1"/>
      <x:c r="S10" s="1"/>
      <x:c r="T10" s="1"/>
    </x:row>
    <x:row r="11" ht="18" customHeight="1">
      <x:c r="A11" s="1"/>
      <x:c r="B11" s="19" t="n">
        <x:v>4</x:v>
      </x:c>
      <x:c r="C11" s="27"/>
      <x:c r="D11" s="27"/>
      <x:c r="E11" s="27"/>
      <x:c r="F11" s="27"/>
      <x:c r="G11" s="56"/>
      <x:c r="H11" s="27"/>
      <x:c r="I11" s="1"/>
      <x:c r="J11" s="1"/>
      <x:c r="K11" s="1"/>
      <x:c r="L11" s="1"/>
      <x:c r="M11" s="1"/>
      <x:c r="N11" s="1"/>
      <x:c r="O11" s="1"/>
      <x:c r="P11" s="1"/>
      <x:c r="Q11" s="1"/>
      <x:c r="R11" s="1"/>
      <x:c r="S11" s="1"/>
      <x:c r="T11" s="1"/>
    </x:row>
    <x:row r="12" ht="18" customHeight="1">
      <x:c r="A12" s="1"/>
      <x:c r="B12" s="19" t="n">
        <x:v>5</x:v>
      </x:c>
      <x:c r="C12" s="27"/>
      <x:c r="D12" s="27"/>
      <x:c r="E12" s="27"/>
      <x:c r="F12" s="27"/>
      <x:c r="G12" s="56"/>
      <x:c r="H12" s="27"/>
      <x:c r="I12" s="1"/>
      <x:c r="J12" s="1"/>
      <x:c r="K12" s="1"/>
      <x:c r="L12" s="1"/>
      <x:c r="M12" s="1"/>
      <x:c r="N12" s="1"/>
      <x:c r="O12" s="1"/>
      <x:c r="P12" s="1"/>
      <x:c r="Q12" s="1"/>
      <x:c r="R12" s="1"/>
      <x:c r="S12" s="1"/>
      <x:c r="T12" s="1"/>
    </x:row>
    <x:row r="13" ht="18" customHeight="1">
      <x:c r="A13" s="1"/>
      <x:c r="B13" s="19" t="n">
        <x:v>6</x:v>
      </x:c>
      <x:c r="C13" s="27"/>
      <x:c r="D13" s="27"/>
      <x:c r="E13" s="27"/>
      <x:c r="F13" s="27"/>
      <x:c r="G13" s="56"/>
      <x:c r="H13" s="27"/>
      <x:c r="I13" s="1"/>
      <x:c r="J13" s="1"/>
      <x:c r="K13" s="1"/>
      <x:c r="L13" s="1"/>
      <x:c r="M13" s="1"/>
      <x:c r="N13" s="1"/>
      <x:c r="O13" s="1"/>
      <x:c r="P13" s="1"/>
      <x:c r="Q13" s="1"/>
      <x:c r="R13" s="1"/>
      <x:c r="S13" s="1"/>
      <x:c r="T13" s="1"/>
    </x:row>
    <x:row r="14" ht="18" customHeight="1">
      <x:c r="A14" s="1"/>
      <x:c r="B14" s="19" t="n">
        <x:v>7</x:v>
      </x:c>
      <x:c r="C14" s="27"/>
      <x:c r="D14" s="27"/>
      <x:c r="E14" s="27"/>
      <x:c r="F14" s="27"/>
      <x:c r="G14" s="56"/>
      <x:c r="H14" s="27"/>
      <x:c r="I14" s="1"/>
      <x:c r="J14" s="1"/>
      <x:c r="K14" s="1"/>
      <x:c r="L14" s="1"/>
      <x:c r="M14" s="1"/>
      <x:c r="N14" s="1"/>
      <x:c r="O14" s="1"/>
      <x:c r="P14" s="1"/>
      <x:c r="Q14" s="1"/>
      <x:c r="R14" s="1"/>
      <x:c r="S14" s="1"/>
      <x:c r="T14" s="1"/>
    </x:row>
    <x:row r="15" ht="18" customHeight="1">
      <x:c r="A15" s="1"/>
      <x:c r="B15" s="19" t="n">
        <x:v>8</x:v>
      </x:c>
      <x:c r="C15" s="27"/>
      <x:c r="D15" s="27"/>
      <x:c r="E15" s="27"/>
      <x:c r="F15" s="27"/>
      <x:c r="G15" s="56"/>
      <x:c r="H15" s="27"/>
      <x:c r="I15" s="1"/>
      <x:c r="J15" s="1"/>
      <x:c r="K15" s="1"/>
      <x:c r="L15" s="1"/>
      <x:c r="M15" s="1"/>
      <x:c r="N15" s="1"/>
      <x:c r="O15" s="1"/>
      <x:c r="P15" s="1"/>
      <x:c r="Q15" s="1"/>
      <x:c r="R15" s="1"/>
      <x:c r="S15" s="1"/>
      <x:c r="T15" s="1"/>
    </x:row>
    <x:row r="16" ht="18" customHeight="1">
      <x:c r="A16" s="1"/>
      <x:c r="B16" s="19" t="n">
        <x:v>9</x:v>
      </x:c>
      <x:c r="C16" s="27"/>
      <x:c r="D16" s="27"/>
      <x:c r="E16" s="27"/>
      <x:c r="F16" s="27"/>
      <x:c r="G16" s="56"/>
      <x:c r="H16" s="27"/>
      <x:c r="I16" s="1"/>
      <x:c r="J16" s="1"/>
      <x:c r="K16" s="1"/>
      <x:c r="L16" s="1"/>
      <x:c r="M16" s="1"/>
      <x:c r="N16" s="1"/>
      <x:c r="O16" s="1"/>
      <x:c r="P16" s="1"/>
      <x:c r="Q16" s="1"/>
      <x:c r="R16" s="1"/>
      <x:c r="S16" s="1"/>
      <x:c r="T16" s="1"/>
    </x:row>
    <x:row r="17" ht="18" customHeight="1">
      <x:c r="A17" s="1"/>
      <x:c r="B17" s="19" t="n">
        <x:v>10</x:v>
      </x:c>
      <x:c r="C17" s="27"/>
      <x:c r="D17" s="27"/>
      <x:c r="E17" s="27"/>
      <x:c r="F17" s="27"/>
      <x:c r="G17" s="56"/>
      <x:c r="H17" s="27"/>
      <x:c r="I17" s="1"/>
      <x:c r="J17" s="1"/>
      <x:c r="K17" s="1"/>
      <x:c r="L17" s="1"/>
      <x:c r="M17" s="1"/>
      <x:c r="N17" s="1"/>
      <x:c r="O17" s="1"/>
      <x:c r="P17" s="1"/>
      <x:c r="Q17" s="1"/>
      <x:c r="R17" s="1"/>
      <x:c r="S17" s="1"/>
      <x:c r="T17" s="1"/>
    </x:row>
    <x:row r="18" ht="18" customHeight="1">
      <x:c r="A18" s="1"/>
      <x:c r="B18" s="19" t="n">
        <x:v>11</x:v>
      </x:c>
      <x:c r="C18" s="27"/>
      <x:c r="D18" s="27"/>
      <x:c r="E18" s="27"/>
      <x:c r="F18" s="27"/>
      <x:c r="G18" s="56"/>
      <x:c r="H18" s="27"/>
      <x:c r="I18" s="1"/>
      <x:c r="J18" s="1"/>
      <x:c r="K18" s="1"/>
      <x:c r="L18" s="1"/>
      <x:c r="M18" s="1"/>
      <x:c r="N18" s="1"/>
      <x:c r="O18" s="1"/>
      <x:c r="P18" s="1"/>
      <x:c r="Q18" s="1"/>
      <x:c r="R18" s="1"/>
      <x:c r="S18" s="1"/>
      <x:c r="T18" s="1"/>
    </x:row>
    <x:row r="19" ht="18" customHeight="1">
      <x:c r="A19" s="1"/>
      <x:c r="B19" s="19" t="n">
        <x:v>12</x:v>
      </x:c>
      <x:c r="C19" s="27"/>
      <x:c r="D19" s="27"/>
      <x:c r="E19" s="27"/>
      <x:c r="F19" s="27"/>
      <x:c r="G19" s="56"/>
      <x:c r="H19" s="27"/>
      <x:c r="I19" s="1"/>
      <x:c r="J19" s="1"/>
      <x:c r="K19" s="1"/>
      <x:c r="L19" s="1"/>
      <x:c r="M19" s="1"/>
      <x:c r="N19" s="1"/>
      <x:c r="O19" s="1"/>
      <x:c r="P19" s="1"/>
      <x:c r="Q19" s="1"/>
      <x:c r="R19" s="1"/>
      <x:c r="S19" s="1"/>
      <x:c r="T19" s="1"/>
    </x:row>
    <x:row r="20" ht="18" customHeight="1">
      <x:c r="A20" s="1"/>
      <x:c r="B20" s="19" t="n">
        <x:v>13</x:v>
      </x:c>
      <x:c r="C20" s="27"/>
      <x:c r="D20" s="27"/>
      <x:c r="E20" s="27"/>
      <x:c r="F20" s="27"/>
      <x:c r="G20" s="56"/>
      <x:c r="H20" s="27"/>
      <x:c r="I20" s="1"/>
      <x:c r="J20" s="1"/>
      <x:c r="K20" s="1"/>
      <x:c r="L20" s="1"/>
      <x:c r="M20" s="1"/>
      <x:c r="N20" s="1"/>
      <x:c r="O20" s="1"/>
      <x:c r="P20" s="1"/>
      <x:c r="Q20" s="1"/>
      <x:c r="R20" s="1"/>
      <x:c r="S20" s="1"/>
      <x:c r="T20" s="1"/>
    </x:row>
    <x:row r="21" ht="18" customHeight="1">
      <x:c r="A21" s="1"/>
      <x:c r="B21" s="19" t="n">
        <x:v>14</x:v>
      </x:c>
      <x:c r="C21" s="27"/>
      <x:c r="D21" s="27"/>
      <x:c r="E21" s="27"/>
      <x:c r="F21" s="27"/>
      <x:c r="G21" s="56"/>
      <x:c r="H21" s="27"/>
      <x:c r="I21" s="1"/>
      <x:c r="J21" s="1"/>
      <x:c r="K21" s="1"/>
      <x:c r="L21" s="1"/>
      <x:c r="M21" s="1"/>
      <x:c r="N21" s="1"/>
      <x:c r="O21" s="1"/>
      <x:c r="P21" s="1"/>
      <x:c r="Q21" s="1"/>
      <x:c r="R21" s="1"/>
      <x:c r="S21" s="1"/>
      <x:c r="T21" s="1"/>
    </x:row>
    <x:row r="22" ht="18" customHeight="1">
      <x:c r="A22" s="1"/>
      <x:c r="B22" s="19" t="n">
        <x:v>15</x:v>
      </x:c>
      <x:c r="C22" s="27"/>
      <x:c r="D22" s="27"/>
      <x:c r="E22" s="27"/>
      <x:c r="F22" s="27"/>
      <x:c r="G22" s="56"/>
      <x:c r="H22" s="27"/>
      <x:c r="I22" s="1"/>
      <x:c r="J22" s="1"/>
      <x:c r="K22" s="1"/>
      <x:c r="L22" s="1"/>
      <x:c r="M22" s="1"/>
      <x:c r="N22" s="1"/>
      <x:c r="O22" s="1"/>
      <x:c r="P22" s="1"/>
      <x:c r="Q22" s="1"/>
      <x:c r="R22" s="1"/>
      <x:c r="S22" s="1"/>
      <x:c r="T22" s="1"/>
    </x:row>
    <x:row r="23" ht="18" customHeight="1">
      <x:c r="A23" s="1"/>
      <x:c r="B23" s="19" t="n">
        <x:v>16</x:v>
      </x:c>
      <x:c r="C23" s="27"/>
      <x:c r="D23" s="27"/>
      <x:c r="E23" s="27"/>
      <x:c r="F23" s="27"/>
      <x:c r="G23" s="56"/>
      <x:c r="H23" s="27"/>
      <x:c r="I23" s="1"/>
      <x:c r="J23" s="1"/>
      <x:c r="K23" s="1"/>
      <x:c r="L23" s="1"/>
      <x:c r="M23" s="1"/>
      <x:c r="N23" s="1"/>
      <x:c r="O23" s="1"/>
      <x:c r="P23" s="1"/>
      <x:c r="Q23" s="1"/>
      <x:c r="R23" s="1"/>
      <x:c r="S23" s="1"/>
      <x:c r="T23" s="1"/>
    </x:row>
    <x:row r="24" ht="18" customHeight="1">
      <x:c r="A24" s="1"/>
      <x:c r="B24" s="19" t="n">
        <x:v>17</x:v>
      </x:c>
      <x:c r="C24" s="27"/>
      <x:c r="D24" s="27"/>
      <x:c r="E24" s="27"/>
      <x:c r="F24" s="27"/>
      <x:c r="G24" s="56"/>
      <x:c r="H24" s="27"/>
      <x:c r="I24" s="1"/>
      <x:c r="J24" s="1"/>
      <x:c r="K24" s="1"/>
      <x:c r="L24" s="1"/>
      <x:c r="M24" s="1"/>
      <x:c r="N24" s="1"/>
      <x:c r="O24" s="1"/>
      <x:c r="P24" s="1"/>
      <x:c r="Q24" s="1"/>
      <x:c r="R24" s="1"/>
      <x:c r="S24" s="1"/>
      <x:c r="T24" s="1"/>
    </x:row>
    <x:row r="25" ht="18" customHeight="1">
      <x:c r="A25" s="1"/>
      <x:c r="B25" s="19" t="n">
        <x:v>18</x:v>
      </x:c>
      <x:c r="C25" s="27"/>
      <x:c r="D25" s="27"/>
      <x:c r="E25" s="27"/>
      <x:c r="F25" s="27"/>
      <x:c r="G25" s="56"/>
      <x:c r="H25" s="27"/>
      <x:c r="I25" s="1"/>
      <x:c r="J25" s="1"/>
      <x:c r="K25" s="1"/>
      <x:c r="L25" s="1"/>
      <x:c r="M25" s="1"/>
      <x:c r="N25" s="1"/>
      <x:c r="O25" s="1"/>
      <x:c r="P25" s="1"/>
      <x:c r="Q25" s="1"/>
      <x:c r="R25" s="1"/>
      <x:c r="S25" s="1"/>
      <x:c r="T25" s="1"/>
    </x:row>
    <x:row r="26" ht="18" customHeight="1">
      <x:c r="A26" s="1"/>
      <x:c r="B26" s="19" t="n">
        <x:v>19</x:v>
      </x:c>
      <x:c r="C26" s="27"/>
      <x:c r="D26" s="27"/>
      <x:c r="E26" s="27"/>
      <x:c r="F26" s="27"/>
      <x:c r="G26" s="56"/>
      <x:c r="H26" s="27"/>
      <x:c r="I26" s="1"/>
      <x:c r="J26" s="1"/>
      <x:c r="K26" s="1"/>
      <x:c r="L26" s="1"/>
      <x:c r="M26" s="1"/>
      <x:c r="N26" s="1"/>
      <x:c r="O26" s="1"/>
      <x:c r="P26" s="1"/>
      <x:c r="Q26" s="1"/>
      <x:c r="R26" s="1"/>
      <x:c r="S26" s="1"/>
      <x:c r="T26" s="1"/>
    </x:row>
    <x:row r="27" ht="18" customHeight="1">
      <x:c r="A27" s="1"/>
      <x:c r="B27" s="19" t="n">
        <x:v>20</x:v>
      </x:c>
      <x:c r="C27" s="27"/>
      <x:c r="D27" s="27"/>
      <x:c r="E27" s="27"/>
      <x:c r="F27" s="27"/>
      <x:c r="G27" s="56"/>
      <x:c r="H27" s="27"/>
      <x:c r="I27" s="1"/>
      <x:c r="J27" s="1"/>
      <x:c r="K27" s="1"/>
      <x:c r="L27" s="1"/>
      <x:c r="M27" s="1"/>
      <x:c r="N27" s="1"/>
      <x:c r="O27" s="1"/>
      <x:c r="P27" s="1"/>
      <x:c r="Q27" s="1"/>
      <x:c r="R27" s="1"/>
      <x:c r="S27" s="1"/>
      <x:c r="T27" s="1"/>
    </x:row>
    <x:row r="28" ht="18" customHeight="1">
      <x:c r="A28" s="1"/>
      <x:c r="B28" s="19" t="n">
        <x:v>21</x:v>
      </x:c>
      <x:c r="C28" s="27"/>
      <x:c r="D28" s="27"/>
      <x:c r="E28" s="27"/>
      <x:c r="F28" s="27"/>
      <x:c r="G28" s="56"/>
      <x:c r="H28" s="27"/>
      <x:c r="I28" s="1"/>
      <x:c r="J28" s="1"/>
      <x:c r="K28" s="1"/>
      <x:c r="L28" s="1"/>
      <x:c r="M28" s="1"/>
      <x:c r="N28" s="1"/>
      <x:c r="O28" s="1"/>
      <x:c r="P28" s="1"/>
      <x:c r="Q28" s="1"/>
      <x:c r="R28" s="1"/>
      <x:c r="S28" s="1"/>
      <x:c r="T28" s="1"/>
    </x:row>
    <x:row r="29" ht="18" customHeight="1">
      <x:c r="A29" s="1"/>
      <x:c r="B29" s="19" t="n">
        <x:v>22</x:v>
      </x:c>
      <x:c r="C29" s="27"/>
      <x:c r="D29" s="27"/>
      <x:c r="E29" s="27"/>
      <x:c r="F29" s="27"/>
      <x:c r="G29" s="56"/>
      <x:c r="H29" s="27"/>
      <x:c r="I29" s="1"/>
      <x:c r="J29" s="1"/>
      <x:c r="K29" s="1"/>
      <x:c r="L29" s="1"/>
      <x:c r="M29" s="1"/>
      <x:c r="N29" s="1"/>
      <x:c r="O29" s="1"/>
      <x:c r="P29" s="1"/>
      <x:c r="Q29" s="1"/>
      <x:c r="R29" s="1"/>
      <x:c r="S29" s="1"/>
      <x:c r="T29" s="1"/>
    </x:row>
    <x:row r="30" ht="18" customHeight="1">
      <x:c r="A30" s="1"/>
      <x:c r="B30" s="19" t="n">
        <x:v>23</x:v>
      </x:c>
      <x:c r="C30" s="27"/>
      <x:c r="D30" s="27"/>
      <x:c r="E30" s="27"/>
      <x:c r="F30" s="27"/>
      <x:c r="G30" s="56"/>
      <x:c r="H30" s="27"/>
      <x:c r="I30" s="1"/>
      <x:c r="J30" s="1"/>
      <x:c r="K30" s="1"/>
      <x:c r="L30" s="1"/>
      <x:c r="M30" s="1"/>
      <x:c r="N30" s="1"/>
      <x:c r="O30" s="1"/>
      <x:c r="P30" s="1"/>
      <x:c r="Q30" s="1"/>
      <x:c r="R30" s="1"/>
      <x:c r="S30" s="1"/>
      <x:c r="T30" s="1"/>
    </x:row>
    <x:row r="31" ht="18" customHeight="1">
      <x:c r="A31" s="1"/>
      <x:c r="B31" s="19" t="n">
        <x:v>24</x:v>
      </x:c>
      <x:c r="C31" s="27"/>
      <x:c r="D31" s="27"/>
      <x:c r="E31" s="27"/>
      <x:c r="F31" s="27"/>
      <x:c r="G31" s="56"/>
      <x:c r="H31" s="27"/>
      <x:c r="I31" s="1"/>
      <x:c r="J31" s="1"/>
      <x:c r="K31" s="1"/>
      <x:c r="L31" s="1"/>
      <x:c r="M31" s="1"/>
      <x:c r="N31" s="1"/>
      <x:c r="O31" s="1"/>
      <x:c r="P31" s="1"/>
      <x:c r="Q31" s="1"/>
      <x:c r="R31" s="1"/>
      <x:c r="S31" s="1"/>
      <x:c r="T31" s="1"/>
    </x:row>
    <x:row r="32" ht="18" customHeight="1">
      <x:c r="A32" s="1"/>
      <x:c r="B32" s="19" t="n">
        <x:v>25</x:v>
      </x:c>
      <x:c r="C32" s="27"/>
      <x:c r="D32" s="27"/>
      <x:c r="E32" s="27"/>
      <x:c r="F32" s="27"/>
      <x:c r="G32" s="56"/>
      <x:c r="H32" s="27"/>
      <x:c r="I32" s="1"/>
      <x:c r="J32" s="1"/>
      <x:c r="K32" s="1"/>
      <x:c r="L32" s="1"/>
      <x:c r="M32" s="1"/>
      <x:c r="N32" s="1"/>
      <x:c r="O32" s="1"/>
      <x:c r="P32" s="1"/>
      <x:c r="Q32" s="1"/>
      <x:c r="R32" s="1"/>
      <x:c r="S32" s="1"/>
      <x:c r="T32" s="1"/>
    </x:row>
    <x:row r="33" ht="18" customHeight="1">
      <x:c r="A33" s="1"/>
      <x:c r="B33" s="19" t="n">
        <x:v>26</x:v>
      </x:c>
      <x:c r="C33" s="27"/>
      <x:c r="D33" s="27"/>
      <x:c r="E33" s="27"/>
      <x:c r="F33" s="27"/>
      <x:c r="G33" s="56"/>
      <x:c r="H33" s="27"/>
      <x:c r="I33" s="1"/>
      <x:c r="J33" s="1"/>
      <x:c r="K33" s="1"/>
      <x:c r="L33" s="1"/>
      <x:c r="M33" s="1"/>
      <x:c r="N33" s="1"/>
      <x:c r="O33" s="1"/>
      <x:c r="P33" s="1"/>
      <x:c r="Q33" s="1"/>
      <x:c r="R33" s="1"/>
      <x:c r="S33" s="1"/>
      <x:c r="T33" s="1"/>
    </x:row>
    <x:row r="34" ht="18" customHeight="1">
      <x:c r="A34" s="1"/>
      <x:c r="B34" s="19" t="n">
        <x:v>27</x:v>
      </x:c>
      <x:c r="C34" s="27"/>
      <x:c r="D34" s="27"/>
      <x:c r="E34" s="27"/>
      <x:c r="F34" s="27"/>
      <x:c r="G34" s="56"/>
      <x:c r="H34" s="27"/>
      <x:c r="I34" s="1"/>
      <x:c r="J34" s="1"/>
      <x:c r="K34" s="1"/>
      <x:c r="L34" s="1"/>
      <x:c r="M34" s="1"/>
      <x:c r="N34" s="1"/>
      <x:c r="O34" s="1"/>
      <x:c r="P34" s="1"/>
      <x:c r="Q34" s="1"/>
      <x:c r="R34" s="1"/>
      <x:c r="S34" s="1"/>
      <x:c r="T34" s="1"/>
    </x:row>
    <x:row r="35" ht="18" customHeight="1">
      <x:c r="A35" s="1"/>
      <x:c r="B35" s="19" t="n">
        <x:v>28</x:v>
      </x:c>
      <x:c r="C35" s="27"/>
      <x:c r="D35" s="27"/>
      <x:c r="E35" s="27"/>
      <x:c r="F35" s="27"/>
      <x:c r="G35" s="56"/>
      <x:c r="H35" s="27"/>
      <x:c r="I35" s="1"/>
      <x:c r="J35" s="1"/>
      <x:c r="K35" s="1"/>
      <x:c r="L35" s="1"/>
      <x:c r="M35" s="1"/>
      <x:c r="N35" s="1"/>
      <x:c r="O35" s="1"/>
      <x:c r="P35" s="1"/>
      <x:c r="Q35" s="1"/>
      <x:c r="R35" s="1"/>
      <x:c r="S35" s="1"/>
      <x:c r="T35" s="1"/>
    </x:row>
    <x:row r="36" ht="18" customHeight="1">
      <x:c r="A36" s="1"/>
      <x:c r="B36" s="19" t="n">
        <x:v>29</x:v>
      </x:c>
      <x:c r="C36" s="27"/>
      <x:c r="D36" s="27"/>
      <x:c r="E36" s="27"/>
      <x:c r="F36" s="27"/>
      <x:c r="G36" s="56"/>
      <x:c r="H36" s="27"/>
      <x:c r="I36" s="1"/>
      <x:c r="J36" s="1"/>
      <x:c r="K36" s="1"/>
      <x:c r="L36" s="1"/>
      <x:c r="M36" s="1"/>
      <x:c r="N36" s="1"/>
      <x:c r="O36" s="1"/>
      <x:c r="P36" s="1"/>
      <x:c r="Q36" s="1"/>
      <x:c r="R36" s="1"/>
      <x:c r="S36" s="1"/>
      <x:c r="T36" s="1"/>
    </x:row>
    <x:row r="37" ht="18" customHeight="1">
      <x:c r="A37" s="1"/>
      <x:c r="B37" s="19" t="n">
        <x:v>30</x:v>
      </x:c>
      <x:c r="C37" s="27"/>
      <x:c r="D37" s="27"/>
      <x:c r="E37" s="27"/>
      <x:c r="F37" s="27"/>
      <x:c r="G37" s="56"/>
      <x:c r="H37" s="27"/>
      <x:c r="I37" s="1"/>
      <x:c r="J37" s="1"/>
      <x:c r="K37" s="1"/>
      <x:c r="L37" s="1"/>
      <x:c r="M37" s="1"/>
      <x:c r="N37" s="1"/>
      <x:c r="O37" s="1"/>
      <x:c r="P37" s="1"/>
      <x:c r="Q37" s="1"/>
      <x:c r="R37" s="1"/>
      <x:c r="S37" s="1"/>
      <x:c r="T37" s="1"/>
    </x:row>
    <x:row r="38" ht="18" customHeight="1">
      <x:c r="A38" s="1"/>
      <x:c r="B38" s="19" t="n">
        <x:v>31</x:v>
      </x:c>
      <x:c r="C38" s="27"/>
      <x:c r="D38" s="27"/>
      <x:c r="E38" s="27"/>
      <x:c r="F38" s="27"/>
      <x:c r="G38" s="56"/>
      <x:c r="H38" s="27"/>
      <x:c r="I38" s="1"/>
      <x:c r="J38" s="1"/>
      <x:c r="K38" s="1"/>
      <x:c r="L38" s="1"/>
      <x:c r="M38" s="1"/>
      <x:c r="N38" s="1"/>
      <x:c r="O38" s="1"/>
      <x:c r="P38" s="1"/>
      <x:c r="Q38" s="1"/>
      <x:c r="R38" s="1"/>
      <x:c r="S38" s="1"/>
      <x:c r="T38" s="1"/>
    </x:row>
    <x:row r="39" ht="18" customHeight="1">
      <x:c r="A39" s="1"/>
      <x:c r="B39" s="19" t="n">
        <x:v>32</x:v>
      </x:c>
      <x:c r="C39" s="27"/>
      <x:c r="D39" s="27"/>
      <x:c r="E39" s="27"/>
      <x:c r="F39" s="27"/>
      <x:c r="G39" s="56"/>
      <x:c r="H39" s="27"/>
      <x:c r="I39" s="1"/>
      <x:c r="J39" s="1"/>
      <x:c r="K39" s="1"/>
      <x:c r="L39" s="1"/>
      <x:c r="M39" s="1"/>
      <x:c r="N39" s="1"/>
      <x:c r="O39" s="1"/>
      <x:c r="P39" s="1"/>
      <x:c r="Q39" s="1"/>
      <x:c r="R39" s="1"/>
      <x:c r="S39" s="1"/>
      <x:c r="T39" s="1"/>
    </x:row>
    <x:row r="40" ht="18" customHeight="1">
      <x:c r="A40" s="1"/>
      <x:c r="B40" s="19" t="n">
        <x:v>33</x:v>
      </x:c>
      <x:c r="C40" s="27"/>
      <x:c r="D40" s="27"/>
      <x:c r="E40" s="27"/>
      <x:c r="F40" s="27"/>
      <x:c r="G40" s="56"/>
      <x:c r="H40" s="27"/>
      <x:c r="I40" s="1"/>
      <x:c r="J40" s="1"/>
      <x:c r="K40" s="1"/>
      <x:c r="L40" s="1"/>
      <x:c r="M40" s="1"/>
      <x:c r="N40" s="1"/>
      <x:c r="O40" s="1"/>
      <x:c r="P40" s="1"/>
      <x:c r="Q40" s="1"/>
      <x:c r="R40" s="1"/>
      <x:c r="S40" s="1"/>
      <x:c r="T40" s="1"/>
    </x:row>
    <x:row r="41" ht="18" customHeight="1">
      <x:c r="A41" s="1"/>
      <x:c r="B41" s="19" t="n">
        <x:v>34</x:v>
      </x:c>
      <x:c r="C41" s="27"/>
      <x:c r="D41" s="27"/>
      <x:c r="E41" s="27"/>
      <x:c r="F41" s="27"/>
      <x:c r="G41" s="56"/>
      <x:c r="H41" s="27"/>
      <x:c r="I41" s="1"/>
      <x:c r="J41" s="1"/>
      <x:c r="K41" s="1"/>
      <x:c r="L41" s="1"/>
      <x:c r="M41" s="1"/>
      <x:c r="N41" s="1"/>
      <x:c r="O41" s="1"/>
      <x:c r="P41" s="1"/>
      <x:c r="Q41" s="1"/>
      <x:c r="R41" s="1"/>
      <x:c r="S41" s="1"/>
      <x:c r="T41" s="1"/>
    </x:row>
    <x:row r="42" ht="18" customHeight="1">
      <x:c r="A42" s="1"/>
      <x:c r="B42" s="19" t="n">
        <x:v>35</x:v>
      </x:c>
      <x:c r="C42" s="27"/>
      <x:c r="D42" s="27"/>
      <x:c r="E42" s="27"/>
      <x:c r="F42" s="27"/>
      <x:c r="G42" s="56"/>
      <x:c r="H42" s="27"/>
      <x:c r="I42" s="1"/>
      <x:c r="J42" s="1"/>
      <x:c r="K42" s="1"/>
      <x:c r="L42" s="1"/>
      <x:c r="M42" s="1"/>
      <x:c r="N42" s="1"/>
      <x:c r="O42" s="1"/>
      <x:c r="P42" s="1"/>
      <x:c r="Q42" s="1"/>
      <x:c r="R42" s="1"/>
      <x:c r="S42" s="1"/>
      <x:c r="T42" s="1"/>
    </x:row>
    <x:row r="43" ht="18" customHeight="1">
      <x:c r="A43" s="1"/>
      <x:c r="B43" s="19" t="n">
        <x:v>36</x:v>
      </x:c>
      <x:c r="C43" s="27"/>
      <x:c r="D43" s="27"/>
      <x:c r="E43" s="27"/>
      <x:c r="F43" s="27"/>
      <x:c r="G43" s="56"/>
      <x:c r="H43" s="27"/>
      <x:c r="I43" s="1"/>
      <x:c r="J43" s="1"/>
      <x:c r="K43" s="1"/>
      <x:c r="L43" s="1"/>
      <x:c r="M43" s="1"/>
      <x:c r="N43" s="1"/>
      <x:c r="O43" s="1"/>
      <x:c r="P43" s="1"/>
      <x:c r="Q43" s="1"/>
      <x:c r="R43" s="1"/>
      <x:c r="S43" s="1"/>
      <x:c r="T43" s="1"/>
    </x:row>
    <x:row r="44" ht="18" customHeight="1">
      <x:c r="A44" s="1"/>
      <x:c r="B44" s="19" t="n">
        <x:v>37</x:v>
      </x:c>
      <x:c r="C44" s="27"/>
      <x:c r="D44" s="27"/>
      <x:c r="E44" s="27"/>
      <x:c r="F44" s="27"/>
      <x:c r="G44" s="56"/>
      <x:c r="H44" s="27"/>
      <x:c r="I44" s="1"/>
      <x:c r="J44" s="1"/>
      <x:c r="K44" s="1"/>
      <x:c r="L44" s="1"/>
      <x:c r="M44" s="1"/>
      <x:c r="N44" s="1"/>
      <x:c r="O44" s="1"/>
      <x:c r="P44" s="1"/>
      <x:c r="Q44" s="1"/>
      <x:c r="R44" s="1"/>
      <x:c r="S44" s="1"/>
      <x:c r="T44" s="1"/>
    </x:row>
    <x:row r="45" ht="18" customHeight="1">
      <x:c r="A45" s="1"/>
      <x:c r="B45" s="19" t="n">
        <x:v>38</x:v>
      </x:c>
      <x:c r="C45" s="27"/>
      <x:c r="D45" s="27"/>
      <x:c r="E45" s="27"/>
      <x:c r="F45" s="27"/>
      <x:c r="G45" s="56"/>
      <x:c r="H45" s="27"/>
      <x:c r="I45" s="1"/>
      <x:c r="J45" s="1"/>
      <x:c r="K45" s="1"/>
      <x:c r="L45" s="1"/>
      <x:c r="M45" s="1"/>
      <x:c r="N45" s="1"/>
      <x:c r="O45" s="1"/>
      <x:c r="P45" s="1"/>
      <x:c r="Q45" s="1"/>
      <x:c r="R45" s="1"/>
      <x:c r="S45" s="1"/>
      <x:c r="T45" s="1"/>
    </x:row>
    <x:row r="46" ht="18" customHeight="1">
      <x:c r="A46" s="1"/>
      <x:c r="B46" s="19" t="n">
        <x:v>39</x:v>
      </x:c>
      <x:c r="C46" s="27"/>
      <x:c r="D46" s="27"/>
      <x:c r="E46" s="27"/>
      <x:c r="F46" s="27"/>
      <x:c r="G46" s="56"/>
      <x:c r="H46" s="27"/>
      <x:c r="I46" s="1"/>
      <x:c r="J46" s="1"/>
      <x:c r="K46" s="1"/>
      <x:c r="L46" s="1"/>
      <x:c r="M46" s="1"/>
      <x:c r="N46" s="1"/>
      <x:c r="O46" s="1"/>
      <x:c r="P46" s="1"/>
      <x:c r="Q46" s="1"/>
      <x:c r="R46" s="1"/>
      <x:c r="S46" s="1"/>
      <x:c r="T46" s="1"/>
    </x:row>
    <x:row r="47" ht="18" customHeight="1">
      <x:c r="A47" s="1"/>
      <x:c r="B47" s="19" t="n">
        <x:v>40</x:v>
      </x:c>
      <x:c r="C47" s="27"/>
      <x:c r="D47" s="27"/>
      <x:c r="E47" s="27"/>
      <x:c r="F47" s="27"/>
      <x:c r="G47" s="56"/>
      <x:c r="H47" s="27"/>
      <x:c r="I47" s="1"/>
      <x:c r="J47" s="1"/>
      <x:c r="K47" s="1"/>
      <x:c r="L47" s="1"/>
      <x:c r="M47" s="1"/>
      <x:c r="N47" s="1"/>
      <x:c r="O47" s="1"/>
      <x:c r="P47" s="1"/>
      <x:c r="Q47" s="1"/>
      <x:c r="R47" s="1"/>
      <x:c r="S47" s="1"/>
      <x:c r="T47" s="1"/>
    </x:row>
    <x:row r="48" ht="18" customHeight="1">
      <x:c r="A48" s="1"/>
      <x:c r="B48" s="19" t="n">
        <x:v>41</x:v>
      </x:c>
      <x:c r="C48" s="27"/>
      <x:c r="D48" s="27"/>
      <x:c r="E48" s="27"/>
      <x:c r="F48" s="27"/>
      <x:c r="G48" s="56"/>
      <x:c r="H48" s="27"/>
      <x:c r="I48" s="1"/>
      <x:c r="J48" s="1"/>
      <x:c r="K48" s="1"/>
      <x:c r="L48" s="1"/>
      <x:c r="M48" s="1"/>
      <x:c r="N48" s="1"/>
      <x:c r="O48" s="1"/>
      <x:c r="P48" s="1"/>
      <x:c r="Q48" s="1"/>
      <x:c r="R48" s="1"/>
      <x:c r="S48" s="1"/>
      <x:c r="T48" s="1"/>
    </x:row>
    <x:row r="49" ht="18" customHeight="1">
      <x:c r="A49" s="1"/>
      <x:c r="B49" s="19" t="n">
        <x:v>42</x:v>
      </x:c>
      <x:c r="C49" s="27"/>
      <x:c r="D49" s="27"/>
      <x:c r="E49" s="27"/>
      <x:c r="F49" s="27"/>
      <x:c r="G49" s="56"/>
      <x:c r="H49" s="27"/>
      <x:c r="I49" s="1"/>
      <x:c r="J49" s="1"/>
      <x:c r="K49" s="1"/>
      <x:c r="L49" s="1"/>
      <x:c r="M49" s="1"/>
      <x:c r="N49" s="1"/>
      <x:c r="O49" s="1"/>
      <x:c r="P49" s="1"/>
      <x:c r="Q49" s="1"/>
      <x:c r="R49" s="1"/>
      <x:c r="S49" s="1"/>
      <x:c r="T49" s="1"/>
    </x:row>
    <x:row r="50" ht="18" customHeight="1">
      <x:c r="A50" s="1"/>
      <x:c r="B50" s="19" t="n">
        <x:v>43</x:v>
      </x:c>
      <x:c r="C50" s="27"/>
      <x:c r="D50" s="27"/>
      <x:c r="E50" s="27"/>
      <x:c r="F50" s="27"/>
      <x:c r="G50" s="56"/>
      <x:c r="H50" s="27"/>
      <x:c r="I50" s="1"/>
      <x:c r="J50" s="1"/>
      <x:c r="K50" s="1"/>
      <x:c r="L50" s="1"/>
      <x:c r="M50" s="1"/>
      <x:c r="N50" s="1"/>
      <x:c r="O50" s="1"/>
      <x:c r="P50" s="1"/>
      <x:c r="Q50" s="1"/>
      <x:c r="R50" s="1"/>
      <x:c r="S50" s="1"/>
      <x:c r="T50" s="1"/>
    </x:row>
    <x:row r="51" ht="18" customHeight="1">
      <x:c r="A51" s="1"/>
      <x:c r="B51" s="19" t="n">
        <x:v>44</x:v>
      </x:c>
      <x:c r="C51" s="27"/>
      <x:c r="D51" s="27"/>
      <x:c r="E51" s="27"/>
      <x:c r="F51" s="27"/>
      <x:c r="G51" s="56"/>
      <x:c r="H51" s="27"/>
      <x:c r="I51" s="1"/>
      <x:c r="J51" s="1"/>
      <x:c r="K51" s="1"/>
      <x:c r="L51" s="1"/>
      <x:c r="M51" s="1"/>
      <x:c r="N51" s="1"/>
      <x:c r="O51" s="1"/>
      <x:c r="P51" s="1"/>
      <x:c r="Q51" s="1"/>
      <x:c r="R51" s="1"/>
      <x:c r="S51" s="1"/>
      <x:c r="T51" s="1"/>
    </x:row>
    <x:row r="52" ht="18" customHeight="1">
      <x:c r="A52" s="1"/>
      <x:c r="B52" s="19" t="n">
        <x:v>45</x:v>
      </x:c>
      <x:c r="C52" s="27"/>
      <x:c r="D52" s="27"/>
      <x:c r="E52" s="27"/>
      <x:c r="F52" s="27"/>
      <x:c r="G52" s="56"/>
      <x:c r="H52" s="27"/>
      <x:c r="I52" s="1"/>
      <x:c r="J52" s="1"/>
      <x:c r="K52" s="1"/>
      <x:c r="L52" s="1"/>
      <x:c r="M52" s="1"/>
      <x:c r="N52" s="1"/>
      <x:c r="O52" s="1"/>
      <x:c r="P52" s="1"/>
      <x:c r="Q52" s="1"/>
      <x:c r="R52" s="1"/>
      <x:c r="S52" s="1"/>
      <x:c r="T52" s="1"/>
    </x:row>
    <x:row r="53" ht="18" customHeight="1">
      <x:c r="A53" s="1"/>
      <x:c r="B53" s="19" t="n">
        <x:v>46</x:v>
      </x:c>
      <x:c r="C53" s="27"/>
      <x:c r="D53" s="27"/>
      <x:c r="E53" s="27"/>
      <x:c r="F53" s="27"/>
      <x:c r="G53" s="56"/>
      <x:c r="H53" s="27"/>
      <x:c r="I53" s="1"/>
      <x:c r="J53" s="1"/>
      <x:c r="K53" s="1"/>
      <x:c r="L53" s="1"/>
      <x:c r="M53" s="1"/>
      <x:c r="N53" s="1"/>
      <x:c r="O53" s="1"/>
      <x:c r="P53" s="1"/>
      <x:c r="Q53" s="1"/>
      <x:c r="R53" s="1"/>
      <x:c r="S53" s="1"/>
      <x:c r="T53" s="1"/>
    </x:row>
    <x:row r="54" ht="18" customHeight="1">
      <x:c r="A54" s="1"/>
      <x:c r="B54" s="19" t="n">
        <x:v>47</x:v>
      </x:c>
      <x:c r="C54" s="27"/>
      <x:c r="D54" s="27"/>
      <x:c r="E54" s="27"/>
      <x:c r="F54" s="27"/>
      <x:c r="G54" s="56"/>
      <x:c r="H54" s="27"/>
      <x:c r="I54" s="1"/>
      <x:c r="J54" s="1"/>
      <x:c r="K54" s="1"/>
      <x:c r="L54" s="1"/>
      <x:c r="M54" s="1"/>
      <x:c r="N54" s="1"/>
      <x:c r="O54" s="1"/>
      <x:c r="P54" s="1"/>
      <x:c r="Q54" s="1"/>
      <x:c r="R54" s="1"/>
      <x:c r="S54" s="1"/>
      <x:c r="T54" s="1"/>
    </x:row>
    <x:row r="55" ht="18" customHeight="1">
      <x:c r="A55" s="1"/>
      <x:c r="B55" s="19" t="n">
        <x:v>48</x:v>
      </x:c>
      <x:c r="C55" s="27"/>
      <x:c r="D55" s="27"/>
      <x:c r="E55" s="27"/>
      <x:c r="F55" s="27"/>
      <x:c r="G55" s="56"/>
      <x:c r="H55" s="27"/>
      <x:c r="I55" s="1"/>
      <x:c r="J55" s="1"/>
      <x:c r="K55" s="1"/>
      <x:c r="L55" s="1"/>
      <x:c r="M55" s="1"/>
      <x:c r="N55" s="1"/>
      <x:c r="O55" s="1"/>
      <x:c r="P55" s="1"/>
      <x:c r="Q55" s="1"/>
      <x:c r="R55" s="1"/>
      <x:c r="S55" s="1"/>
      <x:c r="T55" s="1"/>
    </x:row>
    <x:row r="56" ht="18" customHeight="1">
      <x:c r="A56" s="1"/>
      <x:c r="B56" s="19" t="n">
        <x:v>49</x:v>
      </x:c>
      <x:c r="C56" s="27"/>
      <x:c r="D56" s="27"/>
      <x:c r="E56" s="27"/>
      <x:c r="F56" s="27"/>
      <x:c r="G56" s="56"/>
      <x:c r="H56" s="27"/>
      <x:c r="I56" s="1"/>
      <x:c r="J56" s="1"/>
      <x:c r="K56" s="1"/>
      <x:c r="L56" s="1"/>
      <x:c r="M56" s="1"/>
      <x:c r="N56" s="1"/>
      <x:c r="O56" s="1"/>
      <x:c r="P56" s="1"/>
      <x:c r="Q56" s="1"/>
      <x:c r="R56" s="1"/>
      <x:c r="S56" s="1"/>
      <x:c r="T56" s="1"/>
    </x:row>
    <x:row r="57" ht="18" customHeight="1">
      <x:c r="A57" s="1"/>
      <x:c r="B57" s="19" t="n">
        <x:v>50</x:v>
      </x:c>
      <x:c r="C57" s="27"/>
      <x:c r="D57" s="27"/>
      <x:c r="E57" s="27"/>
      <x:c r="F57" s="27"/>
      <x:c r="G57" s="56"/>
      <x:c r="H57" s="27"/>
      <x:c r="I57" s="1"/>
      <x:c r="J57" s="1"/>
      <x:c r="K57" s="1"/>
      <x:c r="L57" s="1"/>
      <x:c r="M57" s="1"/>
      <x:c r="N57" s="1"/>
      <x:c r="O57" s="1"/>
      <x:c r="P57" s="1"/>
      <x:c r="Q57" s="1"/>
      <x:c r="R57" s="1"/>
      <x:c r="S57" s="1"/>
      <x:c r="T57" s="1"/>
    </x:row>
    <x:row r="58" ht="18" customHeight="1">
      <x:c r="A58" s="1"/>
      <x:c r="B58" s="19" t="n">
        <x:v>51</x:v>
      </x:c>
      <x:c r="C58" s="27"/>
      <x:c r="D58" s="27"/>
      <x:c r="E58" s="27"/>
      <x:c r="F58" s="27"/>
      <x:c r="G58" s="56"/>
      <x:c r="H58" s="27"/>
      <x:c r="I58" s="1"/>
      <x:c r="J58" s="1"/>
      <x:c r="K58" s="1"/>
      <x:c r="L58" s="1"/>
      <x:c r="M58" s="1"/>
      <x:c r="N58" s="1"/>
      <x:c r="O58" s="1"/>
      <x:c r="P58" s="1"/>
      <x:c r="Q58" s="1"/>
      <x:c r="R58" s="1"/>
      <x:c r="S58" s="1"/>
      <x:c r="T58" s="1"/>
    </x:row>
    <x:row r="59" ht="18" customHeight="1">
      <x:c r="A59" s="1"/>
      <x:c r="B59" s="19" t="n">
        <x:v>52</x:v>
      </x:c>
      <x:c r="C59" s="27"/>
      <x:c r="D59" s="27"/>
      <x:c r="E59" s="27"/>
      <x:c r="F59" s="27"/>
      <x:c r="G59" s="56"/>
      <x:c r="H59" s="27"/>
      <x:c r="I59" s="1"/>
      <x:c r="J59" s="1"/>
      <x:c r="K59" s="1"/>
      <x:c r="L59" s="1"/>
      <x:c r="M59" s="1"/>
      <x:c r="N59" s="1"/>
      <x:c r="O59" s="1"/>
      <x:c r="P59" s="1"/>
      <x:c r="Q59" s="1"/>
      <x:c r="R59" s="1"/>
      <x:c r="S59" s="1"/>
      <x:c r="T59" s="1"/>
    </x:row>
    <x:row r="60" ht="18" customHeight="1">
      <x:c r="A60" s="1"/>
      <x:c r="B60" s="19" t="n">
        <x:v>53</x:v>
      </x:c>
      <x:c r="C60" s="27"/>
      <x:c r="D60" s="27"/>
      <x:c r="E60" s="27"/>
      <x:c r="F60" s="27"/>
      <x:c r="G60" s="56"/>
      <x:c r="H60" s="27"/>
      <x:c r="I60" s="1"/>
      <x:c r="J60" s="1"/>
      <x:c r="K60" s="1"/>
      <x:c r="L60" s="1"/>
      <x:c r="M60" s="1"/>
      <x:c r="N60" s="1"/>
      <x:c r="O60" s="1"/>
      <x:c r="P60" s="1"/>
      <x:c r="Q60" s="1"/>
      <x:c r="R60" s="1"/>
      <x:c r="S60" s="1"/>
      <x:c r="T60" s="1"/>
    </x:row>
    <x:row r="61" ht="18" customHeight="1">
      <x:c r="A61" s="1"/>
      <x:c r="B61" s="19" t="n">
        <x:v>54</x:v>
      </x:c>
      <x:c r="C61" s="27"/>
      <x:c r="D61" s="27"/>
      <x:c r="E61" s="27"/>
      <x:c r="F61" s="27"/>
      <x:c r="G61" s="56"/>
      <x:c r="H61" s="27"/>
      <x:c r="I61" s="1"/>
      <x:c r="J61" s="1"/>
      <x:c r="K61" s="1"/>
      <x:c r="L61" s="1"/>
      <x:c r="M61" s="1"/>
      <x:c r="N61" s="1"/>
      <x:c r="O61" s="1"/>
      <x:c r="P61" s="1"/>
      <x:c r="Q61" s="1"/>
      <x:c r="R61" s="1"/>
      <x:c r="S61" s="1"/>
      <x:c r="T61" s="1"/>
    </x:row>
    <x:row r="62" ht="18" customHeight="1">
      <x:c r="A62" s="1"/>
      <x:c r="B62" s="19" t="n">
        <x:v>55</x:v>
      </x:c>
      <x:c r="C62" s="27"/>
      <x:c r="D62" s="27"/>
      <x:c r="E62" s="27"/>
      <x:c r="F62" s="27"/>
      <x:c r="G62" s="56"/>
      <x:c r="H62" s="27"/>
      <x:c r="I62" s="1"/>
      <x:c r="J62" s="1"/>
      <x:c r="K62" s="1"/>
      <x:c r="L62" s="1"/>
      <x:c r="M62" s="1"/>
      <x:c r="N62" s="1"/>
      <x:c r="O62" s="1"/>
      <x:c r="P62" s="1"/>
      <x:c r="Q62" s="1"/>
      <x:c r="R62" s="1"/>
      <x:c r="S62" s="1"/>
      <x:c r="T62" s="1"/>
    </x:row>
    <x:row r="63" ht="18" customHeight="1">
      <x:c r="A63" s="1"/>
      <x:c r="B63" s="19" t="n">
        <x:v>56</x:v>
      </x:c>
      <x:c r="C63" s="27"/>
      <x:c r="D63" s="27"/>
      <x:c r="E63" s="27"/>
      <x:c r="F63" s="27"/>
      <x:c r="G63" s="56"/>
      <x:c r="H63" s="27"/>
      <x:c r="I63" s="1"/>
      <x:c r="J63" s="1"/>
      <x:c r="K63" s="1"/>
      <x:c r="L63" s="1"/>
      <x:c r="M63" s="1"/>
      <x:c r="N63" s="1"/>
      <x:c r="O63" s="1"/>
      <x:c r="P63" s="1"/>
      <x:c r="Q63" s="1"/>
      <x:c r="R63" s="1"/>
      <x:c r="S63" s="1"/>
      <x:c r="T63" s="1"/>
    </x:row>
    <x:row r="64" ht="18" customHeight="1">
      <x:c r="A64" s="1"/>
      <x:c r="B64" s="19" t="n">
        <x:v>57</x:v>
      </x:c>
      <x:c r="C64" s="27"/>
      <x:c r="D64" s="27"/>
      <x:c r="E64" s="27"/>
      <x:c r="F64" s="27"/>
      <x:c r="G64" s="56"/>
      <x:c r="H64" s="27"/>
      <x:c r="I64" s="1"/>
      <x:c r="J64" s="1"/>
      <x:c r="K64" s="1"/>
      <x:c r="L64" s="1"/>
      <x:c r="M64" s="1"/>
      <x:c r="N64" s="1"/>
      <x:c r="O64" s="1"/>
      <x:c r="P64" s="1"/>
      <x:c r="Q64" s="1"/>
      <x:c r="R64" s="1"/>
      <x:c r="S64" s="1"/>
      <x:c r="T64" s="1"/>
    </x:row>
    <x:row r="65" ht="18" customHeight="1">
      <x:c r="A65" s="1"/>
      <x:c r="B65" s="19" t="n">
        <x:v>58</x:v>
      </x:c>
      <x:c r="C65" s="27"/>
      <x:c r="D65" s="27"/>
      <x:c r="E65" s="27"/>
      <x:c r="F65" s="27"/>
      <x:c r="G65" s="56"/>
      <x:c r="H65" s="27"/>
      <x:c r="I65" s="1"/>
      <x:c r="J65" s="1"/>
      <x:c r="K65" s="1"/>
      <x:c r="L65" s="1"/>
      <x:c r="M65" s="1"/>
      <x:c r="N65" s="1"/>
      <x:c r="O65" s="1"/>
      <x:c r="P65" s="1"/>
      <x:c r="Q65" s="1"/>
      <x:c r="R65" s="1"/>
      <x:c r="S65" s="1"/>
      <x:c r="T65" s="1"/>
    </x:row>
    <x:row r="66" ht="18" customHeight="1">
      <x:c r="A66" s="1"/>
      <x:c r="B66" s="19" t="n">
        <x:v>59</x:v>
      </x:c>
      <x:c r="C66" s="27"/>
      <x:c r="D66" s="27"/>
      <x:c r="E66" s="27"/>
      <x:c r="F66" s="27"/>
      <x:c r="G66" s="56"/>
      <x:c r="H66" s="27"/>
      <x:c r="I66" s="1"/>
      <x:c r="J66" s="1"/>
      <x:c r="K66" s="1"/>
      <x:c r="L66" s="1"/>
      <x:c r="M66" s="1"/>
      <x:c r="N66" s="1"/>
      <x:c r="O66" s="1"/>
      <x:c r="P66" s="1"/>
      <x:c r="Q66" s="1"/>
      <x:c r="R66" s="1"/>
      <x:c r="S66" s="1"/>
      <x:c r="T66" s="1"/>
    </x:row>
    <x:row r="67" ht="18" customHeight="1">
      <x:c r="A67" s="1"/>
      <x:c r="B67" s="19" t="n">
        <x:v>60</x:v>
      </x:c>
      <x:c r="C67" s="27"/>
      <x:c r="D67" s="27"/>
      <x:c r="E67" s="27"/>
      <x:c r="F67" s="27"/>
      <x:c r="G67" s="56"/>
      <x:c r="H67" s="27"/>
      <x:c r="I67" s="1"/>
      <x:c r="J67" s="1"/>
      <x:c r="K67" s="1"/>
      <x:c r="L67" s="1"/>
      <x:c r="M67" s="1"/>
      <x:c r="N67" s="1"/>
      <x:c r="O67" s="1"/>
      <x:c r="P67" s="1"/>
      <x:c r="Q67" s="1"/>
      <x:c r="R67" s="1"/>
      <x:c r="S67" s="1"/>
      <x:c r="T67" s="1"/>
    </x:row>
    <x:row r="68" ht="18" customHeight="1">
      <x:c r="A68" s="1"/>
      <x:c r="B68" s="19" t="n">
        <x:v>61</x:v>
      </x:c>
      <x:c r="C68" s="27"/>
      <x:c r="D68" s="27"/>
      <x:c r="E68" s="27"/>
      <x:c r="F68" s="27"/>
      <x:c r="G68" s="56"/>
      <x:c r="H68" s="27"/>
      <x:c r="I68" s="1"/>
      <x:c r="J68" s="1"/>
      <x:c r="K68" s="1"/>
      <x:c r="L68" s="1"/>
      <x:c r="M68" s="1"/>
      <x:c r="N68" s="1"/>
      <x:c r="O68" s="1"/>
      <x:c r="P68" s="1"/>
      <x:c r="Q68" s="1"/>
      <x:c r="R68" s="1"/>
      <x:c r="S68" s="1"/>
      <x:c r="T68" s="1"/>
    </x:row>
    <x:row r="69" ht="18" customHeight="1">
      <x:c r="A69" s="1"/>
      <x:c r="B69" s="19" t="n">
        <x:v>62</x:v>
      </x:c>
      <x:c r="C69" s="27"/>
      <x:c r="D69" s="27"/>
      <x:c r="E69" s="27"/>
      <x:c r="F69" s="27"/>
      <x:c r="G69" s="56"/>
      <x:c r="H69" s="27"/>
      <x:c r="I69" s="1"/>
      <x:c r="J69" s="1"/>
      <x:c r="K69" s="1"/>
      <x:c r="L69" s="1"/>
      <x:c r="M69" s="1"/>
      <x:c r="N69" s="1"/>
      <x:c r="O69" s="1"/>
      <x:c r="P69" s="1"/>
      <x:c r="Q69" s="1"/>
      <x:c r="R69" s="1"/>
      <x:c r="S69" s="1"/>
      <x:c r="T69" s="1"/>
    </x:row>
    <x:row r="70" ht="18" customHeight="1">
      <x:c r="A70" s="1"/>
      <x:c r="B70" s="19" t="n">
        <x:v>63</x:v>
      </x:c>
      <x:c r="C70" s="27"/>
      <x:c r="D70" s="27"/>
      <x:c r="E70" s="27"/>
      <x:c r="F70" s="27"/>
      <x:c r="G70" s="56"/>
      <x:c r="H70" s="27"/>
      <x:c r="I70" s="1"/>
      <x:c r="J70" s="1"/>
      <x:c r="K70" s="1"/>
      <x:c r="L70" s="1"/>
      <x:c r="M70" s="1"/>
      <x:c r="N70" s="1"/>
      <x:c r="O70" s="1"/>
      <x:c r="P70" s="1"/>
      <x:c r="Q70" s="1"/>
      <x:c r="R70" s="1"/>
      <x:c r="S70" s="1"/>
      <x:c r="T70" s="1"/>
    </x:row>
    <x:row r="71" ht="18" customHeight="1">
      <x:c r="A71" s="1"/>
      <x:c r="B71" s="19" t="n">
        <x:v>64</x:v>
      </x:c>
      <x:c r="C71" s="27"/>
      <x:c r="D71" s="27"/>
      <x:c r="E71" s="27"/>
      <x:c r="F71" s="27"/>
      <x:c r="G71" s="56"/>
      <x:c r="H71" s="27"/>
      <x:c r="I71" s="1"/>
      <x:c r="J71" s="1"/>
      <x:c r="K71" s="1"/>
      <x:c r="L71" s="1"/>
      <x:c r="M71" s="1"/>
      <x:c r="N71" s="1"/>
      <x:c r="O71" s="1"/>
      <x:c r="P71" s="1"/>
      <x:c r="Q71" s="1"/>
      <x:c r="R71" s="1"/>
      <x:c r="S71" s="1"/>
      <x:c r="T71" s="1"/>
    </x:row>
    <x:row r="72" ht="18" customHeight="1">
      <x:c r="A72" s="1"/>
      <x:c r="B72" s="19" t="n">
        <x:v>65</x:v>
      </x:c>
      <x:c r="C72" s="27"/>
      <x:c r="D72" s="27"/>
      <x:c r="E72" s="27"/>
      <x:c r="F72" s="27"/>
      <x:c r="G72" s="56"/>
      <x:c r="H72" s="27"/>
      <x:c r="I72" s="1"/>
      <x:c r="J72" s="1"/>
      <x:c r="K72" s="1"/>
      <x:c r="L72" s="1"/>
      <x:c r="M72" s="1"/>
      <x:c r="N72" s="1"/>
      <x:c r="O72" s="1"/>
      <x:c r="P72" s="1"/>
      <x:c r="Q72" s="1"/>
      <x:c r="R72" s="1"/>
      <x:c r="S72" s="1"/>
      <x:c r="T72" s="1"/>
    </x:row>
    <x:row r="73" ht="18" customHeight="1">
      <x:c r="A73" s="1"/>
      <x:c r="B73" s="19" t="n">
        <x:v>66</x:v>
      </x:c>
      <x:c r="C73" s="27"/>
      <x:c r="D73" s="27"/>
      <x:c r="E73" s="27"/>
      <x:c r="F73" s="27"/>
      <x:c r="G73" s="56"/>
      <x:c r="H73" s="27"/>
      <x:c r="I73" s="1"/>
      <x:c r="J73" s="1"/>
      <x:c r="K73" s="1"/>
      <x:c r="L73" s="1"/>
      <x:c r="M73" s="1"/>
      <x:c r="N73" s="1"/>
      <x:c r="O73" s="1"/>
      <x:c r="P73" s="1"/>
      <x:c r="Q73" s="1"/>
      <x:c r="R73" s="1"/>
      <x:c r="S73" s="1"/>
      <x:c r="T73" s="1"/>
    </x:row>
    <x:row r="74" ht="18" customHeight="1">
      <x:c r="A74" s="1"/>
      <x:c r="B74" s="19" t="n">
        <x:v>67</x:v>
      </x:c>
      <x:c r="C74" s="27"/>
      <x:c r="D74" s="27"/>
      <x:c r="E74" s="27"/>
      <x:c r="F74" s="27"/>
      <x:c r="G74" s="56"/>
      <x:c r="H74" s="27"/>
      <x:c r="I74" s="1"/>
      <x:c r="J74" s="1"/>
      <x:c r="K74" s="1"/>
      <x:c r="L74" s="1"/>
      <x:c r="M74" s="1"/>
      <x:c r="N74" s="1"/>
      <x:c r="O74" s="1"/>
      <x:c r="P74" s="1"/>
      <x:c r="Q74" s="1"/>
      <x:c r="R74" s="1"/>
      <x:c r="S74" s="1"/>
      <x:c r="T74" s="1"/>
    </x:row>
    <x:row r="75" ht="18" customHeight="1">
      <x:c r="A75" s="1"/>
      <x:c r="B75" s="19" t="n">
        <x:v>68</x:v>
      </x:c>
      <x:c r="C75" s="27"/>
      <x:c r="D75" s="27"/>
      <x:c r="E75" s="27"/>
      <x:c r="F75" s="27"/>
      <x:c r="G75" s="56"/>
      <x:c r="H75" s="27"/>
      <x:c r="I75" s="1"/>
      <x:c r="J75" s="1"/>
      <x:c r="K75" s="1"/>
      <x:c r="L75" s="1"/>
      <x:c r="M75" s="1"/>
      <x:c r="N75" s="1"/>
      <x:c r="O75" s="1"/>
      <x:c r="P75" s="1"/>
      <x:c r="Q75" s="1"/>
      <x:c r="R75" s="1"/>
      <x:c r="S75" s="1"/>
      <x:c r="T75" s="1"/>
    </x:row>
    <x:row r="76" ht="18" customHeight="1">
      <x:c r="A76" s="1"/>
      <x:c r="B76" s="19" t="n">
        <x:v>69</x:v>
      </x:c>
      <x:c r="C76" s="27"/>
      <x:c r="D76" s="27"/>
      <x:c r="E76" s="27"/>
      <x:c r="F76" s="27"/>
      <x:c r="G76" s="56"/>
      <x:c r="H76" s="27"/>
      <x:c r="I76" s="1"/>
      <x:c r="J76" s="1"/>
      <x:c r="K76" s="1"/>
      <x:c r="L76" s="1"/>
      <x:c r="M76" s="1"/>
      <x:c r="N76" s="1"/>
      <x:c r="O76" s="1"/>
      <x:c r="P76" s="1"/>
      <x:c r="Q76" s="1"/>
      <x:c r="R76" s="1"/>
      <x:c r="S76" s="1"/>
      <x:c r="T76" s="1"/>
    </x:row>
    <x:row r="77" ht="18" customHeight="1">
      <x:c r="A77" s="1"/>
      <x:c r="B77" s="19" t="n">
        <x:v>70</x:v>
      </x:c>
      <x:c r="C77" s="27"/>
      <x:c r="D77" s="27"/>
      <x:c r="E77" s="27"/>
      <x:c r="F77" s="27"/>
      <x:c r="G77" s="56"/>
      <x:c r="H77" s="27"/>
      <x:c r="I77" s="1"/>
      <x:c r="J77" s="1"/>
      <x:c r="K77" s="1"/>
      <x:c r="L77" s="1"/>
      <x:c r="M77" s="1"/>
      <x:c r="N77" s="1"/>
      <x:c r="O77" s="1"/>
      <x:c r="P77" s="1"/>
      <x:c r="Q77" s="1"/>
      <x:c r="R77" s="1"/>
      <x:c r="S77" s="1"/>
      <x:c r="T77" s="1"/>
    </x:row>
    <x:row r="78" ht="18" customHeight="1">
      <x:c r="A78" s="1"/>
      <x:c r="B78" s="19" t="n">
        <x:v>71</x:v>
      </x:c>
      <x:c r="C78" s="27"/>
      <x:c r="D78" s="27"/>
      <x:c r="E78" s="27"/>
      <x:c r="F78" s="27"/>
      <x:c r="G78" s="56"/>
      <x:c r="H78" s="27"/>
      <x:c r="I78" s="1"/>
      <x:c r="J78" s="1"/>
      <x:c r="K78" s="1"/>
      <x:c r="L78" s="1"/>
      <x:c r="M78" s="1"/>
      <x:c r="N78" s="1"/>
      <x:c r="O78" s="1"/>
      <x:c r="P78" s="1"/>
      <x:c r="Q78" s="1"/>
      <x:c r="R78" s="1"/>
      <x:c r="S78" s="1"/>
      <x:c r="T78" s="1"/>
    </x:row>
    <x:row r="79" ht="18" customHeight="1">
      <x:c r="A79" s="1"/>
      <x:c r="B79" s="19" t="n">
        <x:v>72</x:v>
      </x:c>
      <x:c r="C79" s="27"/>
      <x:c r="D79" s="27"/>
      <x:c r="E79" s="27"/>
      <x:c r="F79" s="27"/>
      <x:c r="G79" s="56"/>
      <x:c r="H79" s="27"/>
      <x:c r="I79" s="1"/>
      <x:c r="J79" s="1"/>
      <x:c r="K79" s="1"/>
      <x:c r="L79" s="1"/>
      <x:c r="M79" s="1"/>
      <x:c r="N79" s="1"/>
      <x:c r="O79" s="1"/>
      <x:c r="P79" s="1"/>
      <x:c r="Q79" s="1"/>
      <x:c r="R79" s="1"/>
      <x:c r="S79" s="1"/>
      <x:c r="T79" s="1"/>
    </x:row>
    <x:row r="80" ht="18" customHeight="1">
      <x:c r="A80" s="1"/>
      <x:c r="B80" s="19" t="n">
        <x:v>73</x:v>
      </x:c>
      <x:c r="C80" s="27"/>
      <x:c r="D80" s="27"/>
      <x:c r="E80" s="27"/>
      <x:c r="F80" s="27"/>
      <x:c r="G80" s="56"/>
      <x:c r="H80" s="27"/>
      <x:c r="I80" s="1"/>
      <x:c r="J80" s="1"/>
      <x:c r="K80" s="1"/>
      <x:c r="L80" s="1"/>
      <x:c r="M80" s="1"/>
      <x:c r="N80" s="1"/>
      <x:c r="O80" s="1"/>
      <x:c r="P80" s="1"/>
      <x:c r="Q80" s="1"/>
      <x:c r="R80" s="1"/>
      <x:c r="S80" s="1"/>
      <x:c r="T80" s="1"/>
    </x:row>
    <x:row r="81" ht="18" customHeight="1">
      <x:c r="A81" s="1"/>
      <x:c r="B81" s="19" t="n">
        <x:v>74</x:v>
      </x:c>
      <x:c r="C81" s="27"/>
      <x:c r="D81" s="27"/>
      <x:c r="E81" s="27"/>
      <x:c r="F81" s="27"/>
      <x:c r="G81" s="56"/>
      <x:c r="H81" s="27"/>
      <x:c r="I81" s="1"/>
      <x:c r="J81" s="1"/>
      <x:c r="K81" s="1"/>
      <x:c r="L81" s="1"/>
      <x:c r="M81" s="1"/>
      <x:c r="N81" s="1"/>
      <x:c r="O81" s="1"/>
      <x:c r="P81" s="1"/>
      <x:c r="Q81" s="1"/>
      <x:c r="R81" s="1"/>
      <x:c r="S81" s="1"/>
      <x:c r="T81" s="1"/>
    </x:row>
    <x:row r="82" ht="18" customHeight="1">
      <x:c r="A82" s="1"/>
      <x:c r="B82" s="19" t="n">
        <x:v>75</x:v>
      </x:c>
      <x:c r="C82" s="27"/>
      <x:c r="D82" s="27"/>
      <x:c r="E82" s="27"/>
      <x:c r="F82" s="27"/>
      <x:c r="G82" s="56"/>
      <x:c r="H82" s="27"/>
      <x:c r="I82" s="1"/>
      <x:c r="J82" s="1"/>
      <x:c r="K82" s="1"/>
      <x:c r="L82" s="1"/>
      <x:c r="M82" s="1"/>
      <x:c r="N82" s="1"/>
      <x:c r="O82" s="1"/>
      <x:c r="P82" s="1"/>
      <x:c r="Q82" s="1"/>
      <x:c r="R82" s="1"/>
      <x:c r="S82" s="1"/>
      <x:c r="T82" s="1"/>
    </x:row>
    <x:row r="83" ht="18" customHeight="1">
      <x:c r="A83" s="1"/>
      <x:c r="B83" s="19" t="n">
        <x:v>76</x:v>
      </x:c>
      <x:c r="C83" s="27"/>
      <x:c r="D83" s="27"/>
      <x:c r="E83" s="27"/>
      <x:c r="F83" s="27"/>
      <x:c r="G83" s="56"/>
      <x:c r="H83" s="27"/>
      <x:c r="I83" s="1"/>
      <x:c r="J83" s="1"/>
      <x:c r="K83" s="1"/>
      <x:c r="L83" s="1"/>
      <x:c r="M83" s="1"/>
      <x:c r="N83" s="1"/>
      <x:c r="O83" s="1"/>
      <x:c r="P83" s="1"/>
      <x:c r="Q83" s="1"/>
      <x:c r="R83" s="1"/>
      <x:c r="S83" s="1"/>
      <x:c r="T83" s="1"/>
    </x:row>
    <x:row r="84" ht="18" customHeight="1">
      <x:c r="A84" s="1"/>
      <x:c r="B84" s="19" t="n">
        <x:v>77</x:v>
      </x:c>
      <x:c r="C84" s="27"/>
      <x:c r="D84" s="27"/>
      <x:c r="E84" s="27"/>
      <x:c r="F84" s="27"/>
      <x:c r="G84" s="56"/>
      <x:c r="H84" s="27"/>
      <x:c r="I84" s="1"/>
      <x:c r="J84" s="1"/>
      <x:c r="K84" s="1"/>
      <x:c r="L84" s="1"/>
      <x:c r="M84" s="1"/>
      <x:c r="N84" s="1"/>
      <x:c r="O84" s="1"/>
      <x:c r="P84" s="1"/>
      <x:c r="Q84" s="1"/>
      <x:c r="R84" s="1"/>
      <x:c r="S84" s="1"/>
      <x:c r="T84" s="1"/>
    </x:row>
    <x:row r="85" ht="18" customHeight="1">
      <x:c r="A85" s="1"/>
      <x:c r="B85" s="19" t="n">
        <x:v>78</x:v>
      </x:c>
      <x:c r="C85" s="27"/>
      <x:c r="D85" s="27"/>
      <x:c r="E85" s="27"/>
      <x:c r="F85" s="27"/>
      <x:c r="G85" s="56"/>
      <x:c r="H85" s="27"/>
      <x:c r="I85" s="1"/>
      <x:c r="J85" s="1"/>
      <x:c r="K85" s="1"/>
      <x:c r="L85" s="1"/>
      <x:c r="M85" s="1"/>
      <x:c r="N85" s="1"/>
      <x:c r="O85" s="1"/>
      <x:c r="P85" s="1"/>
      <x:c r="Q85" s="1"/>
      <x:c r="R85" s="1"/>
      <x:c r="S85" s="1"/>
      <x:c r="T85" s="1"/>
    </x:row>
    <x:row r="86" ht="18" customHeight="1">
      <x:c r="A86" s="1"/>
      <x:c r="B86" s="19" t="n">
        <x:v>79</x:v>
      </x:c>
      <x:c r="C86" s="27"/>
      <x:c r="D86" s="27"/>
      <x:c r="E86" s="27"/>
      <x:c r="F86" s="27"/>
      <x:c r="G86" s="56"/>
      <x:c r="H86" s="27"/>
      <x:c r="I86" s="1"/>
      <x:c r="J86" s="1"/>
      <x:c r="K86" s="1"/>
      <x:c r="L86" s="1"/>
      <x:c r="M86" s="1"/>
      <x:c r="N86" s="1"/>
      <x:c r="O86" s="1"/>
      <x:c r="P86" s="1"/>
      <x:c r="Q86" s="1"/>
      <x:c r="R86" s="1"/>
      <x:c r="S86" s="1"/>
      <x:c r="T86" s="1"/>
    </x:row>
    <x:row r="87" ht="18" customHeight="1">
      <x:c r="A87" s="1"/>
      <x:c r="B87" s="19" t="n">
        <x:v>80</x:v>
      </x:c>
      <x:c r="C87" s="27"/>
      <x:c r="D87" s="27"/>
      <x:c r="E87" s="27"/>
      <x:c r="F87" s="27"/>
      <x:c r="G87" s="56"/>
      <x:c r="H87" s="27"/>
      <x:c r="I87" s="1"/>
      <x:c r="J87" s="1"/>
      <x:c r="K87" s="1"/>
      <x:c r="L87" s="1"/>
      <x:c r="M87" s="1"/>
      <x:c r="N87" s="1"/>
      <x:c r="O87" s="1"/>
      <x:c r="P87" s="1"/>
      <x:c r="Q87" s="1"/>
      <x:c r="R87" s="1"/>
      <x:c r="S87" s="1"/>
      <x:c r="T87" s="1"/>
    </x:row>
    <x:row r="88" ht="18" customHeight="1">
      <x:c r="A88" s="1"/>
      <x:c r="B88" s="19" t="n">
        <x:v>81</x:v>
      </x:c>
      <x:c r="C88" s="27"/>
      <x:c r="D88" s="27"/>
      <x:c r="E88" s="27"/>
      <x:c r="F88" s="27"/>
      <x:c r="G88" s="56"/>
      <x:c r="H88" s="27"/>
      <x:c r="I88" s="1"/>
      <x:c r="J88" s="1"/>
      <x:c r="K88" s="1"/>
      <x:c r="L88" s="1"/>
      <x:c r="M88" s="1"/>
      <x:c r="N88" s="1"/>
      <x:c r="O88" s="1"/>
      <x:c r="P88" s="1"/>
      <x:c r="Q88" s="1"/>
      <x:c r="R88" s="1"/>
      <x:c r="S88" s="1"/>
      <x:c r="T88" s="1"/>
    </x:row>
    <x:row r="89" ht="18" customHeight="1">
      <x:c r="A89" s="1"/>
      <x:c r="B89" s="19" t="n">
        <x:v>82</x:v>
      </x:c>
      <x:c r="C89" s="27"/>
      <x:c r="D89" s="27"/>
      <x:c r="E89" s="27"/>
      <x:c r="F89" s="27"/>
      <x:c r="G89" s="56"/>
      <x:c r="H89" s="27"/>
      <x:c r="I89" s="1"/>
      <x:c r="J89" s="1"/>
      <x:c r="K89" s="1"/>
      <x:c r="L89" s="1"/>
      <x:c r="M89" s="1"/>
      <x:c r="N89" s="1"/>
      <x:c r="O89" s="1"/>
      <x:c r="P89" s="1"/>
      <x:c r="Q89" s="1"/>
      <x:c r="R89" s="1"/>
      <x:c r="S89" s="1"/>
      <x:c r="T89" s="1"/>
    </x:row>
    <x:row r="90" ht="18" customHeight="1">
      <x:c r="A90" s="1"/>
      <x:c r="B90" s="19" t="n">
        <x:v>83</x:v>
      </x:c>
      <x:c r="C90" s="27"/>
      <x:c r="D90" s="27"/>
      <x:c r="E90" s="27"/>
      <x:c r="F90" s="27"/>
      <x:c r="G90" s="56"/>
      <x:c r="H90" s="27"/>
      <x:c r="I90" s="1"/>
      <x:c r="J90" s="1"/>
      <x:c r="K90" s="1"/>
      <x:c r="L90" s="1"/>
      <x:c r="M90" s="1"/>
      <x:c r="N90" s="1"/>
      <x:c r="O90" s="1"/>
      <x:c r="P90" s="1"/>
      <x:c r="Q90" s="1"/>
      <x:c r="R90" s="1"/>
      <x:c r="S90" s="1"/>
      <x:c r="T90" s="1"/>
    </x:row>
    <x:row r="91" ht="18" customHeight="1">
      <x:c r="A91" s="1"/>
      <x:c r="B91" s="19" t="n">
        <x:v>84</x:v>
      </x:c>
      <x:c r="C91" s="27"/>
      <x:c r="D91" s="27"/>
      <x:c r="E91" s="27"/>
      <x:c r="F91" s="27"/>
      <x:c r="G91" s="56"/>
      <x:c r="H91" s="27"/>
      <x:c r="I91" s="1"/>
      <x:c r="J91" s="1"/>
      <x:c r="K91" s="1"/>
      <x:c r="L91" s="1"/>
      <x:c r="M91" s="1"/>
      <x:c r="N91" s="1"/>
      <x:c r="O91" s="1"/>
      <x:c r="P91" s="1"/>
      <x:c r="Q91" s="1"/>
      <x:c r="R91" s="1"/>
      <x:c r="S91" s="1"/>
      <x:c r="T91" s="1"/>
    </x:row>
    <x:row r="92" ht="18" customHeight="1">
      <x:c r="A92" s="1"/>
      <x:c r="B92" s="19" t="n">
        <x:v>85</x:v>
      </x:c>
      <x:c r="C92" s="27"/>
      <x:c r="D92" s="27"/>
      <x:c r="E92" s="27"/>
      <x:c r="F92" s="27"/>
      <x:c r="G92" s="56"/>
      <x:c r="H92" s="27"/>
      <x:c r="I92" s="1"/>
      <x:c r="J92" s="1"/>
      <x:c r="K92" s="1"/>
      <x:c r="L92" s="1"/>
      <x:c r="M92" s="1"/>
      <x:c r="N92" s="1"/>
      <x:c r="O92" s="1"/>
      <x:c r="P92" s="1"/>
      <x:c r="Q92" s="1"/>
      <x:c r="R92" s="1"/>
      <x:c r="S92" s="1"/>
      <x:c r="T92" s="1"/>
    </x:row>
    <x:row r="93" ht="18" customHeight="1">
      <x:c r="A93" s="1"/>
      <x:c r="B93" s="19" t="n">
        <x:v>86</x:v>
      </x:c>
      <x:c r="C93" s="27"/>
      <x:c r="D93" s="27"/>
      <x:c r="E93" s="27"/>
      <x:c r="F93" s="27"/>
      <x:c r="G93" s="56"/>
      <x:c r="H93" s="27"/>
      <x:c r="I93" s="1"/>
      <x:c r="J93" s="1"/>
      <x:c r="K93" s="1"/>
      <x:c r="L93" s="1"/>
      <x:c r="M93" s="1"/>
      <x:c r="N93" s="1"/>
      <x:c r="O93" s="1"/>
      <x:c r="P93" s="1"/>
      <x:c r="Q93" s="1"/>
      <x:c r="R93" s="1"/>
      <x:c r="S93" s="1"/>
      <x:c r="T93" s="1"/>
    </x:row>
    <x:row r="94" ht="18" customHeight="1">
      <x:c r="A94" s="1"/>
      <x:c r="B94" s="19" t="n">
        <x:v>87</x:v>
      </x:c>
      <x:c r="C94" s="27"/>
      <x:c r="D94" s="27"/>
      <x:c r="E94" s="27"/>
      <x:c r="F94" s="27"/>
      <x:c r="G94" s="56"/>
      <x:c r="H94" s="27"/>
      <x:c r="I94" s="1"/>
      <x:c r="J94" s="1"/>
      <x:c r="K94" s="1"/>
      <x:c r="L94" s="1"/>
      <x:c r="M94" s="1"/>
      <x:c r="N94" s="1"/>
      <x:c r="O94" s="1"/>
      <x:c r="P94" s="1"/>
      <x:c r="Q94" s="1"/>
      <x:c r="R94" s="1"/>
      <x:c r="S94" s="1"/>
      <x:c r="T94" s="1"/>
    </x:row>
    <x:row r="95" ht="18" customHeight="1">
      <x:c r="A95" s="1"/>
      <x:c r="B95" s="19" t="n">
        <x:v>88</x:v>
      </x:c>
      <x:c r="C95" s="27"/>
      <x:c r="D95" s="27"/>
      <x:c r="E95" s="27"/>
      <x:c r="F95" s="27"/>
      <x:c r="G95" s="56"/>
      <x:c r="H95" s="27"/>
      <x:c r="I95" s="1"/>
      <x:c r="J95" s="1"/>
      <x:c r="K95" s="1"/>
      <x:c r="L95" s="1"/>
      <x:c r="M95" s="1"/>
      <x:c r="N95" s="1"/>
      <x:c r="O95" s="1"/>
      <x:c r="P95" s="1"/>
      <x:c r="Q95" s="1"/>
      <x:c r="R95" s="1"/>
      <x:c r="S95" s="1"/>
      <x:c r="T95" s="1"/>
    </x:row>
    <x:row r="96" ht="18" customHeight="1">
      <x:c r="A96" s="1"/>
      <x:c r="B96" s="19" t="n">
        <x:v>89</x:v>
      </x:c>
      <x:c r="C96" s="27"/>
      <x:c r="D96" s="27"/>
      <x:c r="E96" s="27"/>
      <x:c r="F96" s="27"/>
      <x:c r="G96" s="56"/>
      <x:c r="H96" s="27"/>
      <x:c r="I96" s="1"/>
      <x:c r="J96" s="1"/>
      <x:c r="K96" s="1"/>
      <x:c r="L96" s="1"/>
      <x:c r="M96" s="1"/>
      <x:c r="N96" s="1"/>
      <x:c r="O96" s="1"/>
      <x:c r="P96" s="1"/>
      <x:c r="Q96" s="1"/>
      <x:c r="R96" s="1"/>
      <x:c r="S96" s="1"/>
      <x:c r="T96" s="1"/>
    </x:row>
    <x:row r="97" ht="18" customHeight="1">
      <x:c r="A97" s="1"/>
      <x:c r="B97" s="19" t="n">
        <x:v>90</x:v>
      </x:c>
      <x:c r="C97" s="27"/>
      <x:c r="D97" s="27"/>
      <x:c r="E97" s="27"/>
      <x:c r="F97" s="27"/>
      <x:c r="G97" s="56"/>
      <x:c r="H97" s="27"/>
      <x:c r="I97" s="1"/>
      <x:c r="J97" s="1"/>
      <x:c r="K97" s="1"/>
      <x:c r="L97" s="1"/>
      <x:c r="M97" s="1"/>
      <x:c r="N97" s="1"/>
      <x:c r="O97" s="1"/>
      <x:c r="P97" s="1"/>
      <x:c r="Q97" s="1"/>
      <x:c r="R97" s="1"/>
      <x:c r="S97" s="1"/>
      <x:c r="T97" s="1"/>
    </x:row>
    <x:row r="98" ht="18" customHeight="1">
      <x:c r="A98" s="1"/>
      <x:c r="B98" s="19" t="n">
        <x:v>91</x:v>
      </x:c>
      <x:c r="C98" s="27"/>
      <x:c r="D98" s="27"/>
      <x:c r="E98" s="27"/>
      <x:c r="F98" s="27"/>
      <x:c r="G98" s="56"/>
      <x:c r="H98" s="27"/>
      <x:c r="I98" s="1"/>
      <x:c r="J98" s="1"/>
      <x:c r="K98" s="1"/>
      <x:c r="L98" s="1"/>
      <x:c r="M98" s="1"/>
      <x:c r="N98" s="1"/>
      <x:c r="O98" s="1"/>
      <x:c r="P98" s="1"/>
      <x:c r="Q98" s="1"/>
      <x:c r="R98" s="1"/>
      <x:c r="S98" s="1"/>
      <x:c r="T98" s="1"/>
    </x:row>
    <x:row r="99" ht="18" customHeight="1">
      <x:c r="A99" s="1"/>
      <x:c r="B99" s="19" t="n">
        <x:v>92</x:v>
      </x:c>
      <x:c r="C99" s="27"/>
      <x:c r="D99" s="27"/>
      <x:c r="E99" s="27"/>
      <x:c r="F99" s="27"/>
      <x:c r="G99" s="56"/>
      <x:c r="H99" s="27"/>
      <x:c r="I99" s="1"/>
      <x:c r="J99" s="1"/>
      <x:c r="K99" s="1"/>
      <x:c r="L99" s="1"/>
      <x:c r="M99" s="1"/>
      <x:c r="N99" s="1"/>
      <x:c r="O99" s="1"/>
      <x:c r="P99" s="1"/>
      <x:c r="Q99" s="1"/>
      <x:c r="R99" s="1"/>
      <x:c r="S99" s="1"/>
      <x:c r="T99" s="1"/>
    </x:row>
    <x:row r="100" ht="18" customHeight="1">
      <x:c r="A100" s="1"/>
      <x:c r="B100" s="19" t="n">
        <x:v>93</x:v>
      </x:c>
      <x:c r="C100" s="27"/>
      <x:c r="D100" s="27"/>
      <x:c r="E100" s="27"/>
      <x:c r="F100" s="27"/>
      <x:c r="G100" s="56"/>
      <x:c r="H100" s="27"/>
      <x:c r="I100" s="1"/>
      <x:c r="J100" s="1"/>
      <x:c r="K100" s="1"/>
      <x:c r="L100" s="1"/>
      <x:c r="M100" s="1"/>
      <x:c r="N100" s="1"/>
      <x:c r="O100" s="1"/>
      <x:c r="P100" s="1"/>
      <x:c r="Q100" s="1"/>
      <x:c r="R100" s="1"/>
      <x:c r="S100" s="1"/>
      <x:c r="T100" s="1"/>
    </x:row>
    <x:row r="101" ht="18" customHeight="1">
      <x:c r="A101" s="1"/>
      <x:c r="B101" s="19" t="n">
        <x:v>94</x:v>
      </x:c>
      <x:c r="C101" s="27"/>
      <x:c r="D101" s="27"/>
      <x:c r="E101" s="27"/>
      <x:c r="F101" s="27"/>
      <x:c r="G101" s="56"/>
      <x:c r="H101" s="27"/>
      <x:c r="I101" s="1"/>
      <x:c r="J101" s="1"/>
      <x:c r="K101" s="1"/>
      <x:c r="L101" s="1"/>
      <x:c r="M101" s="1"/>
      <x:c r="N101" s="1"/>
      <x:c r="O101" s="1"/>
      <x:c r="P101" s="1"/>
      <x:c r="Q101" s="1"/>
      <x:c r="R101" s="1"/>
      <x:c r="S101" s="1"/>
      <x:c r="T101" s="1"/>
    </x:row>
    <x:row r="102" ht="18" customHeight="1">
      <x:c r="A102" s="1"/>
      <x:c r="B102" s="19" t="n">
        <x:v>95</x:v>
      </x:c>
      <x:c r="C102" s="27"/>
      <x:c r="D102" s="27"/>
      <x:c r="E102" s="27"/>
      <x:c r="F102" s="27"/>
      <x:c r="G102" s="56"/>
      <x:c r="H102" s="27"/>
      <x:c r="I102" s="1"/>
      <x:c r="J102" s="1"/>
      <x:c r="K102" s="1"/>
      <x:c r="L102" s="1"/>
      <x:c r="M102" s="1"/>
      <x:c r="N102" s="1"/>
      <x:c r="O102" s="1"/>
      <x:c r="P102" s="1"/>
      <x:c r="Q102" s="1"/>
      <x:c r="R102" s="1"/>
      <x:c r="S102" s="1"/>
      <x:c r="T102" s="1"/>
    </x:row>
    <x:row r="103" ht="18" customHeight="1">
      <x:c r="A103" s="1"/>
      <x:c r="B103" s="19" t="n">
        <x:v>96</x:v>
      </x:c>
      <x:c r="C103" s="27"/>
      <x:c r="D103" s="27"/>
      <x:c r="E103" s="27"/>
      <x:c r="F103" s="27"/>
      <x:c r="G103" s="56"/>
      <x:c r="H103" s="27"/>
      <x:c r="I103" s="1"/>
      <x:c r="J103" s="1"/>
      <x:c r="K103" s="1"/>
      <x:c r="L103" s="1"/>
      <x:c r="M103" s="1"/>
      <x:c r="N103" s="1"/>
      <x:c r="O103" s="1"/>
      <x:c r="P103" s="1"/>
      <x:c r="Q103" s="1"/>
      <x:c r="R103" s="1"/>
      <x:c r="S103" s="1"/>
      <x:c r="T103" s="1"/>
    </x:row>
    <x:row r="104" ht="18" customHeight="1">
      <x:c r="A104" s="1"/>
      <x:c r="B104" s="19" t="n">
        <x:v>97</x:v>
      </x:c>
      <x:c r="C104" s="27"/>
      <x:c r="D104" s="27"/>
      <x:c r="E104" s="27"/>
      <x:c r="F104" s="27"/>
      <x:c r="G104" s="56"/>
      <x:c r="H104" s="27"/>
      <x:c r="I104" s="1"/>
      <x:c r="J104" s="1"/>
      <x:c r="K104" s="1"/>
      <x:c r="L104" s="1"/>
      <x:c r="M104" s="1"/>
      <x:c r="N104" s="1"/>
      <x:c r="O104" s="1"/>
      <x:c r="P104" s="1"/>
      <x:c r="Q104" s="1"/>
      <x:c r="R104" s="1"/>
      <x:c r="S104" s="1"/>
      <x:c r="T104" s="1"/>
    </x:row>
    <x:row r="105" ht="18" customHeight="1">
      <x:c r="A105" s="1"/>
      <x:c r="B105" s="19" t="n">
        <x:v>98</x:v>
      </x:c>
      <x:c r="C105" s="27"/>
      <x:c r="D105" s="27"/>
      <x:c r="E105" s="27"/>
      <x:c r="F105" s="27"/>
      <x:c r="G105" s="56"/>
      <x:c r="H105" s="27"/>
      <x:c r="I105" s="1"/>
      <x:c r="J105" s="1"/>
      <x:c r="K105" s="1"/>
      <x:c r="L105" s="1"/>
      <x:c r="M105" s="1"/>
      <x:c r="N105" s="1"/>
      <x:c r="O105" s="1"/>
      <x:c r="P105" s="1"/>
      <x:c r="Q105" s="1"/>
      <x:c r="R105" s="1"/>
      <x:c r="S105" s="1"/>
      <x:c r="T105" s="1"/>
    </x:row>
    <x:row r="106" ht="18" customHeight="1">
      <x:c r="A106" s="1"/>
      <x:c r="B106" s="19" t="n">
        <x:v>99</x:v>
      </x:c>
      <x:c r="C106" s="27"/>
      <x:c r="D106" s="27"/>
      <x:c r="E106" s="27"/>
      <x:c r="F106" s="27"/>
      <x:c r="G106" s="56"/>
      <x:c r="H106" s="27"/>
      <x:c r="I106" s="1"/>
      <x:c r="J106" s="1"/>
      <x:c r="K106" s="1"/>
      <x:c r="L106" s="1"/>
      <x:c r="M106" s="1"/>
      <x:c r="N106" s="1"/>
      <x:c r="O106" s="1"/>
      <x:c r="P106" s="1"/>
      <x:c r="Q106" s="1"/>
      <x:c r="R106" s="1"/>
      <x:c r="S106" s="1"/>
      <x:c r="T106" s="1"/>
    </x:row>
    <x:row r="107" ht="18" customHeight="1">
      <x:c r="A107" s="1"/>
      <x:c r="B107" s="19" t="n">
        <x:v>100</x:v>
      </x:c>
      <x:c r="C107" s="27"/>
      <x:c r="D107" s="27"/>
      <x:c r="E107" s="27"/>
      <x:c r="F107" s="27"/>
      <x:c r="G107" s="56"/>
      <x:c r="H107" s="27"/>
      <x:c r="I107" s="1"/>
      <x:c r="J107" s="1"/>
      <x:c r="K107" s="1"/>
      <x:c r="L107" s="1"/>
      <x:c r="M107" s="1"/>
      <x:c r="N107" s="1"/>
      <x:c r="O107" s="1"/>
      <x:c r="P107" s="1"/>
      <x:c r="Q107" s="1"/>
      <x:c r="R107" s="1"/>
      <x:c r="S107" s="1"/>
      <x:c r="T107" s="1"/>
    </x:row>
    <x:row r="108" ht="18" customHeight="1">
      <x:c r="A108" s="1"/>
      <x:c r="B108" s="1"/>
      <x:c r="C108" s="1"/>
      <x:c r="D108" s="1"/>
      <x:c r="E108" s="1"/>
      <x:c r="F108" s="1"/>
      <x:c r="G108" s="1"/>
      <x:c r="H108" s="1"/>
      <x:c r="I108" s="1"/>
      <x:c r="J108" s="1"/>
      <x:c r="K108" s="1"/>
      <x:c r="L108" s="1"/>
      <x:c r="M108" s="1"/>
      <x:c r="N108" s="1"/>
      <x:c r="O108" s="1"/>
      <x:c r="P108" s="1"/>
      <x:c r="Q108" s="1"/>
      <x:c r="R108" s="1"/>
      <x:c r="S108" s="1"/>
      <x:c r="T108" s="1"/>
    </x:row>
    <x:row r="109" ht="18" customHeight="1">
      <x:c r="A109" s="1"/>
      <x:c r="B109" s="1"/>
      <x:c r="C109" s="1"/>
      <x:c r="D109" s="1"/>
      <x:c r="E109" s="1"/>
      <x:c r="F109" s="1"/>
      <x:c r="G109" s="1"/>
      <x:c r="H109" s="1"/>
      <x:c r="I109" s="1"/>
      <x:c r="J109" s="1"/>
      <x:c r="K109" s="1"/>
      <x:c r="L109" s="1"/>
      <x:c r="M109" s="1"/>
      <x:c r="N109" s="1"/>
      <x:c r="O109" s="1"/>
      <x:c r="P109" s="1"/>
      <x:c r="Q109" s="1"/>
      <x:c r="R109" s="1"/>
      <x:c r="S109" s="1"/>
      <x:c r="T109" s="1"/>
    </x:row>
    <x:row r="110" ht="18" customHeight="1">
      <x:c r="A110" s="1"/>
      <x:c r="B110" s="1"/>
      <x:c r="C110" s="1"/>
      <x:c r="D110" s="1"/>
      <x:c r="E110" s="1"/>
      <x:c r="F110" s="1"/>
      <x:c r="G110" s="1"/>
      <x:c r="H110" s="1"/>
      <x:c r="I110" s="1"/>
      <x:c r="J110" s="1"/>
      <x:c r="K110" s="1"/>
      <x:c r="L110" s="1"/>
      <x:c r="M110" s="1"/>
      <x:c r="N110" s="1"/>
      <x:c r="O110" s="1"/>
      <x:c r="P110" s="1"/>
      <x:c r="Q110" s="1"/>
      <x:c r="R110" s="1"/>
      <x:c r="S110" s="1"/>
      <x:c r="T110" s="1"/>
    </x:row>
    <x:row r="111" ht="18" customHeight="1">
      <x:c r="A111" s="1"/>
      <x:c r="B111" s="1"/>
      <x:c r="C111" s="1"/>
      <x:c r="D111" s="1"/>
      <x:c r="E111" s="1"/>
      <x:c r="F111" s="1"/>
      <x:c r="G111" s="1"/>
      <x:c r="H111" s="1"/>
      <x:c r="I111" s="1"/>
      <x:c r="J111" s="1"/>
      <x:c r="K111" s="1"/>
      <x:c r="L111" s="1"/>
      <x:c r="M111" s="1"/>
      <x:c r="N111" s="1"/>
      <x:c r="O111" s="1"/>
      <x:c r="P111" s="1"/>
      <x:c r="Q111" s="1"/>
      <x:c r="R111" s="1"/>
      <x:c r="S111" s="1"/>
      <x:c r="T111" s="1"/>
    </x:row>
    <x:row r="112" ht="18" customHeight="1">
      <x:c r="A112" s="1"/>
      <x:c r="B112" s="1"/>
      <x:c r="C112" s="1"/>
      <x:c r="D112" s="1"/>
      <x:c r="E112" s="1"/>
      <x:c r="F112" s="1"/>
      <x:c r="G112" s="1"/>
      <x:c r="H112" s="1"/>
      <x:c r="I112" s="1"/>
      <x:c r="J112" s="1"/>
      <x:c r="K112" s="1"/>
      <x:c r="L112" s="1"/>
      <x:c r="M112" s="1"/>
      <x:c r="N112" s="1"/>
      <x:c r="O112" s="1"/>
      <x:c r="P112" s="1"/>
      <x:c r="Q112" s="1"/>
      <x:c r="R112" s="1"/>
      <x:c r="S112" s="1"/>
      <x:c r="T112" s="1"/>
    </x:row>
    <x:row r="113" ht="18" customHeight="1">
      <x:c r="A113" s="1"/>
      <x:c r="B113" s="1"/>
      <x:c r="C113" s="1"/>
      <x:c r="D113" s="1"/>
      <x:c r="E113" s="1"/>
      <x:c r="F113" s="1"/>
      <x:c r="G113" s="1"/>
      <x:c r="H113" s="1"/>
      <x:c r="I113" s="1"/>
      <x:c r="J113" s="1"/>
      <x:c r="K113" s="1"/>
      <x:c r="L113" s="1"/>
      <x:c r="M113" s="1"/>
      <x:c r="N113" s="1"/>
      <x:c r="O113" s="1"/>
      <x:c r="P113" s="1"/>
      <x:c r="Q113" s="1"/>
      <x:c r="R113" s="1"/>
      <x:c r="S113" s="1"/>
      <x:c r="T113" s="1"/>
    </x:row>
    <x:row r="114" ht="18" customHeight="1">
      <x:c r="A114" s="1"/>
      <x:c r="B114" s="1"/>
      <x:c r="C114" s="1"/>
      <x:c r="D114" s="1"/>
      <x:c r="E114" s="1"/>
      <x:c r="F114" s="1"/>
      <x:c r="G114" s="1"/>
      <x:c r="H114" s="1"/>
      <x:c r="I114" s="1"/>
      <x:c r="J114" s="1"/>
      <x:c r="K114" s="1"/>
      <x:c r="L114" s="1"/>
      <x:c r="M114" s="1"/>
      <x:c r="N114" s="1"/>
      <x:c r="O114" s="1"/>
      <x:c r="P114" s="1"/>
      <x:c r="Q114" s="1"/>
      <x:c r="R114" s="1"/>
      <x:c r="S114" s="1"/>
      <x:c r="T114" s="1"/>
    </x:row>
    <x:row r="115" ht="18" customHeight="1">
      <x:c r="A115" s="1"/>
      <x:c r="B115" s="1"/>
      <x:c r="C115" s="1"/>
      <x:c r="D115" s="1"/>
      <x:c r="E115" s="1"/>
      <x:c r="F115" s="1"/>
      <x:c r="G115" s="1"/>
      <x:c r="H115" s="1"/>
      <x:c r="I115" s="1"/>
      <x:c r="J115" s="1"/>
      <x:c r="K115" s="1"/>
      <x:c r="L115" s="1"/>
      <x:c r="M115" s="1"/>
      <x:c r="N115" s="1"/>
      <x:c r="O115" s="1"/>
      <x:c r="P115" s="1"/>
      <x:c r="Q115" s="1"/>
      <x:c r="R115" s="1"/>
      <x:c r="S115" s="1"/>
      <x:c r="T115" s="1"/>
    </x:row>
    <x:row r="116" ht="18" customHeight="1">
      <x:c r="A116" s="1"/>
      <x:c r="B116" s="1"/>
      <x:c r="C116" s="1"/>
      <x:c r="D116" s="1"/>
      <x:c r="E116" s="1"/>
      <x:c r="F116" s="1"/>
      <x:c r="G116" s="1"/>
      <x:c r="H116" s="1"/>
      <x:c r="I116" s="1"/>
      <x:c r="J116" s="1"/>
      <x:c r="K116" s="1"/>
      <x:c r="L116" s="1"/>
      <x:c r="M116" s="1"/>
      <x:c r="N116" s="1"/>
      <x:c r="O116" s="1"/>
      <x:c r="P116" s="1"/>
      <x:c r="Q116" s="1"/>
      <x:c r="R116" s="1"/>
      <x:c r="S116" s="1"/>
      <x:c r="T116" s="1"/>
    </x:row>
    <x:row r="117" ht="18" customHeight="1">
      <x:c r="A117" s="1"/>
      <x:c r="B117" s="1"/>
      <x:c r="C117" s="1"/>
      <x:c r="D117" s="1"/>
      <x:c r="E117" s="1"/>
      <x:c r="F117" s="1"/>
      <x:c r="G117" s="1"/>
      <x:c r="H117" s="1"/>
      <x:c r="I117" s="1"/>
      <x:c r="J117" s="1"/>
      <x:c r="K117" s="1"/>
      <x:c r="L117" s="1"/>
      <x:c r="M117" s="1"/>
      <x:c r="N117" s="1"/>
      <x:c r="O117" s="1"/>
      <x:c r="P117" s="1"/>
      <x:c r="Q117" s="1"/>
      <x:c r="R117" s="1"/>
      <x:c r="S117" s="1"/>
      <x:c r="T117" s="1"/>
    </x:row>
    <x:row r="118" ht="18" customHeight="1">
      <x:c r="A118" s="1"/>
      <x:c r="B118" s="1"/>
      <x:c r="C118" s="1"/>
      <x:c r="D118" s="1"/>
      <x:c r="E118" s="1"/>
      <x:c r="F118" s="1"/>
      <x:c r="G118" s="1"/>
      <x:c r="H118" s="1"/>
      <x:c r="I118" s="1"/>
      <x:c r="J118" s="1"/>
      <x:c r="K118" s="1"/>
      <x:c r="L118" s="1"/>
      <x:c r="M118" s="1"/>
      <x:c r="N118" s="1"/>
      <x:c r="O118" s="1"/>
      <x:c r="P118" s="1"/>
      <x:c r="Q118" s="1"/>
      <x:c r="R118" s="1"/>
      <x:c r="S118" s="1"/>
      <x:c r="T118" s="1"/>
    </x:row>
    <x:row r="119" ht="18" customHeight="1">
      <x:c r="A119" s="1"/>
      <x:c r="B119" s="1"/>
      <x:c r="C119" s="1"/>
      <x:c r="D119" s="1"/>
      <x:c r="E119" s="1"/>
      <x:c r="F119" s="1"/>
      <x:c r="G119" s="1"/>
      <x:c r="H119" s="1"/>
      <x:c r="I119" s="1"/>
      <x:c r="J119" s="1"/>
      <x:c r="K119" s="1"/>
      <x:c r="L119" s="1"/>
      <x:c r="M119" s="1"/>
      <x:c r="N119" s="1"/>
      <x:c r="O119" s="1"/>
      <x:c r="P119" s="1"/>
      <x:c r="Q119" s="1"/>
      <x:c r="R119" s="1"/>
      <x:c r="S119" s="1"/>
      <x:c r="T119" s="1"/>
    </x:row>
    <x:row r="120" ht="18" customHeight="1">
      <x:c r="A120" s="1"/>
      <x:c r="B120" s="1"/>
      <x:c r="C120" s="1"/>
      <x:c r="D120" s="1"/>
      <x:c r="E120" s="1"/>
      <x:c r="F120" s="1"/>
      <x:c r="G120" s="1"/>
      <x:c r="H120" s="1"/>
      <x:c r="I120" s="1"/>
      <x:c r="J120" s="1"/>
      <x:c r="K120" s="1"/>
      <x:c r="L120" s="1"/>
      <x:c r="M120" s="1"/>
      <x:c r="N120" s="1"/>
      <x:c r="O120" s="1"/>
      <x:c r="P120" s="1"/>
      <x:c r="Q120" s="1"/>
      <x:c r="R120" s="1"/>
      <x:c r="S120" s="1"/>
      <x:c r="T120" s="1"/>
    </x:row>
    <x:row r="121" ht="18" customHeight="1">
      <x:c r="A121" s="1"/>
      <x:c r="B121" s="1"/>
      <x:c r="C121" s="1"/>
      <x:c r="D121" s="1"/>
      <x:c r="E121" s="1"/>
      <x:c r="F121" s="1"/>
      <x:c r="G121" s="1"/>
      <x:c r="H121" s="1"/>
      <x:c r="I121" s="1"/>
      <x:c r="J121" s="1"/>
      <x:c r="K121" s="1"/>
      <x:c r="L121" s="1"/>
      <x:c r="M121" s="1"/>
      <x:c r="N121" s="1"/>
      <x:c r="O121" s="1"/>
      <x:c r="P121" s="1"/>
      <x:c r="Q121" s="1"/>
      <x:c r="R121" s="1"/>
      <x:c r="S121" s="1"/>
      <x:c r="T121" s="1"/>
    </x:row>
    <x:row r="122" ht="18" customHeight="1">
      <x:c r="A122" s="1"/>
      <x:c r="B122" s="1"/>
      <x:c r="C122" s="1"/>
      <x:c r="D122" s="1"/>
      <x:c r="E122" s="1"/>
      <x:c r="F122" s="1"/>
      <x:c r="G122" s="1"/>
      <x:c r="H122" s="1"/>
      <x:c r="I122" s="1"/>
      <x:c r="J122" s="1"/>
      <x:c r="K122" s="1"/>
      <x:c r="L122" s="1"/>
      <x:c r="M122" s="1"/>
      <x:c r="N122" s="1"/>
      <x:c r="O122" s="1"/>
      <x:c r="P122" s="1"/>
      <x:c r="Q122" s="1"/>
      <x:c r="R122" s="1"/>
      <x:c r="S122" s="1"/>
      <x:c r="T122" s="1"/>
    </x:row>
    <x:row r="123" ht="18" customHeight="1">
      <x:c r="A123" s="1"/>
      <x:c r="B123" s="1"/>
      <x:c r="C123" s="1"/>
      <x:c r="D123" s="1"/>
      <x:c r="E123" s="1"/>
      <x:c r="F123" s="1"/>
      <x:c r="G123" s="1"/>
      <x:c r="H123" s="1"/>
      <x:c r="I123" s="1"/>
      <x:c r="J123" s="1"/>
      <x:c r="K123" s="1"/>
      <x:c r="L123" s="1"/>
      <x:c r="M123" s="1"/>
      <x:c r="N123" s="1"/>
      <x:c r="O123" s="1"/>
      <x:c r="P123" s="1"/>
      <x:c r="Q123" s="1"/>
      <x:c r="R123" s="1"/>
      <x:c r="S123" s="1"/>
      <x:c r="T123" s="1"/>
    </x:row>
    <x:row r="124" ht="18" customHeight="1">
      <x:c r="A124" s="1"/>
      <x:c r="B124" s="1"/>
      <x:c r="C124" s="1"/>
      <x:c r="D124" s="1"/>
      <x:c r="E124" s="1"/>
      <x:c r="F124" s="1"/>
      <x:c r="G124" s="1"/>
      <x:c r="H124" s="1"/>
      <x:c r="I124" s="1"/>
      <x:c r="J124" s="1"/>
      <x:c r="K124" s="1"/>
      <x:c r="L124" s="1"/>
      <x:c r="M124" s="1"/>
      <x:c r="N124" s="1"/>
      <x:c r="O124" s="1"/>
      <x:c r="P124" s="1"/>
      <x:c r="Q124" s="1"/>
      <x:c r="R124" s="1"/>
      <x:c r="S124" s="1"/>
      <x:c r="T124" s="1"/>
    </x:row>
    <x:row r="125" ht="18" customHeight="1">
      <x:c r="A125" s="1"/>
      <x:c r="B125" s="1"/>
      <x:c r="C125" s="1"/>
      <x:c r="D125" s="1"/>
      <x:c r="E125" s="1"/>
      <x:c r="F125" s="1"/>
      <x:c r="G125" s="1"/>
      <x:c r="H125" s="1"/>
      <x:c r="I125" s="1"/>
      <x:c r="J125" s="1"/>
      <x:c r="K125" s="1"/>
      <x:c r="L125" s="1"/>
      <x:c r="M125" s="1"/>
      <x:c r="N125" s="1"/>
      <x:c r="O125" s="1"/>
      <x:c r="P125" s="1"/>
      <x:c r="Q125" s="1"/>
      <x:c r="R125" s="1"/>
      <x:c r="S125" s="1"/>
      <x:c r="T125" s="1"/>
    </x:row>
    <x:row r="126" ht="18" customHeight="1">
      <x:c r="A126" s="1"/>
      <x:c r="B126" s="1"/>
      <x:c r="C126" s="1"/>
      <x:c r="D126" s="1"/>
      <x:c r="E126" s="1"/>
      <x:c r="F126" s="1"/>
      <x:c r="G126" s="1"/>
      <x:c r="H126" s="1"/>
      <x:c r="I126" s="1"/>
      <x:c r="J126" s="1"/>
      <x:c r="K126" s="1"/>
      <x:c r="L126" s="1"/>
      <x:c r="M126" s="1"/>
      <x:c r="N126" s="1"/>
      <x:c r="O126" s="1"/>
      <x:c r="P126" s="1"/>
      <x:c r="Q126" s="1"/>
      <x:c r="R126" s="1"/>
      <x:c r="S126" s="1"/>
      <x:c r="T126" s="1"/>
    </x:row>
    <x:row r="127" ht="18" customHeight="1">
      <x:c r="A127" s="1"/>
      <x:c r="B127" s="1"/>
      <x:c r="C127" s="1"/>
      <x:c r="D127" s="1"/>
      <x:c r="E127" s="1"/>
      <x:c r="F127" s="1"/>
      <x:c r="G127" s="1"/>
      <x:c r="H127" s="1"/>
      <x:c r="I127" s="1"/>
      <x:c r="J127" s="1"/>
      <x:c r="K127" s="1"/>
      <x:c r="L127" s="1"/>
      <x:c r="M127" s="1"/>
      <x:c r="N127" s="1"/>
      <x:c r="O127" s="1"/>
      <x:c r="P127" s="1"/>
      <x:c r="Q127" s="1"/>
      <x:c r="R127" s="1"/>
      <x:c r="S127" s="1"/>
      <x:c r="T127" s="1"/>
    </x:row>
    <x:row r="128" ht="18" customHeight="1">
      <x:c r="A128" s="1"/>
      <x:c r="B128" s="1"/>
      <x:c r="C128" s="1"/>
      <x:c r="D128" s="1"/>
      <x:c r="E128" s="1"/>
      <x:c r="F128" s="1"/>
      <x:c r="G128" s="1"/>
      <x:c r="H128" s="1"/>
      <x:c r="I128" s="1"/>
      <x:c r="J128" s="1"/>
      <x:c r="K128" s="1"/>
      <x:c r="L128" s="1"/>
      <x:c r="M128" s="1"/>
      <x:c r="N128" s="1"/>
      <x:c r="O128" s="1"/>
      <x:c r="P128" s="1"/>
      <x:c r="Q128" s="1"/>
      <x:c r="R128" s="1"/>
      <x:c r="S128" s="1"/>
      <x:c r="T128" s="1"/>
    </x:row>
    <x:row r="129" ht="18" customHeight="1">
      <x:c r="A129" s="1"/>
      <x:c r="B129" s="1"/>
      <x:c r="C129" s="1"/>
      <x:c r="D129" s="1"/>
      <x:c r="E129" s="1"/>
      <x:c r="F129" s="1"/>
      <x:c r="G129" s="1"/>
      <x:c r="H129" s="1"/>
      <x:c r="I129" s="1"/>
      <x:c r="J129" s="1"/>
      <x:c r="K129" s="1"/>
      <x:c r="L129" s="1"/>
      <x:c r="M129" s="1"/>
      <x:c r="N129" s="1"/>
      <x:c r="O129" s="1"/>
      <x:c r="P129" s="1"/>
      <x:c r="Q129" s="1"/>
      <x:c r="R129" s="1"/>
      <x:c r="S129" s="1"/>
      <x:c r="T129" s="1"/>
    </x:row>
    <x:row r="130" ht="18" customHeight="1">
      <x:c r="A130" s="1"/>
      <x:c r="B130" s="1"/>
      <x:c r="C130" s="1"/>
      <x:c r="D130" s="1"/>
      <x:c r="E130" s="1"/>
      <x:c r="F130" s="1"/>
      <x:c r="G130" s="1"/>
      <x:c r="H130" s="1"/>
      <x:c r="I130" s="1"/>
      <x:c r="J130" s="1"/>
      <x:c r="K130" s="1"/>
      <x:c r="L130" s="1"/>
      <x:c r="M130" s="1"/>
      <x:c r="N130" s="1"/>
      <x:c r="O130" s="1"/>
      <x:c r="P130" s="1"/>
      <x:c r="Q130" s="1"/>
      <x:c r="R130" s="1"/>
      <x:c r="S130" s="1"/>
      <x:c r="T130" s="1"/>
    </x:row>
    <x:row r="131" ht="18" customHeight="1">
      <x:c r="A131" s="1"/>
      <x:c r="B131" s="1"/>
      <x:c r="C131" s="1"/>
      <x:c r="D131" s="1"/>
      <x:c r="E131" s="1"/>
      <x:c r="F131" s="1"/>
      <x:c r="G131" s="1"/>
      <x:c r="H131" s="1"/>
      <x:c r="I131" s="1"/>
      <x:c r="J131" s="1"/>
      <x:c r="K131" s="1"/>
      <x:c r="L131" s="1"/>
      <x:c r="M131" s="1"/>
      <x:c r="N131" s="1"/>
      <x:c r="O131" s="1"/>
      <x:c r="P131" s="1"/>
      <x:c r="Q131" s="1"/>
      <x:c r="R131" s="1"/>
      <x:c r="S131" s="1"/>
      <x:c r="T131" s="1"/>
    </x:row>
    <x:row r="132" ht="18" customHeight="1">
      <x:c r="A132" s="1"/>
      <x:c r="B132" s="1"/>
      <x:c r="C132" s="1"/>
      <x:c r="D132" s="1"/>
      <x:c r="E132" s="1"/>
      <x:c r="F132" s="1"/>
      <x:c r="G132" s="1"/>
      <x:c r="H132" s="1"/>
      <x:c r="I132" s="1"/>
      <x:c r="J132" s="1"/>
      <x:c r="K132" s="1"/>
      <x:c r="L132" s="1"/>
      <x:c r="M132" s="1"/>
      <x:c r="N132" s="1"/>
      <x:c r="O132" s="1"/>
      <x:c r="P132" s="1"/>
      <x:c r="Q132" s="1"/>
      <x:c r="R132" s="1"/>
      <x:c r="S132" s="1"/>
      <x:c r="T132" s="1"/>
    </x:row>
    <x:row r="133" ht="18" customHeight="1">
      <x:c r="A133" s="1"/>
      <x:c r="B133" s="1"/>
      <x:c r="C133" s="1"/>
      <x:c r="D133" s="1"/>
      <x:c r="E133" s="1"/>
      <x:c r="F133" s="1"/>
      <x:c r="G133" s="1"/>
      <x:c r="H133" s="1"/>
      <x:c r="I133" s="1"/>
      <x:c r="J133" s="1"/>
      <x:c r="K133" s="1"/>
      <x:c r="L133" s="1"/>
      <x:c r="M133" s="1"/>
      <x:c r="N133" s="1"/>
      <x:c r="O133" s="1"/>
      <x:c r="P133" s="1"/>
      <x:c r="Q133" s="1"/>
      <x:c r="R133" s="1"/>
      <x:c r="S133" s="1"/>
      <x:c r="T133" s="1"/>
    </x:row>
    <x:row r="134" ht="18" customHeight="1">
      <x:c r="A134" s="1"/>
      <x:c r="B134" s="1"/>
      <x:c r="C134" s="1"/>
      <x:c r="D134" s="1"/>
      <x:c r="E134" s="1"/>
      <x:c r="F134" s="1"/>
      <x:c r="G134" s="1"/>
      <x:c r="H134" s="1"/>
      <x:c r="I134" s="1"/>
      <x:c r="J134" s="1"/>
      <x:c r="K134" s="1"/>
      <x:c r="L134" s="1"/>
      <x:c r="M134" s="1"/>
      <x:c r="N134" s="1"/>
      <x:c r="O134" s="1"/>
      <x:c r="P134" s="1"/>
      <x:c r="Q134" s="1"/>
      <x:c r="R134" s="1"/>
      <x:c r="S134" s="1"/>
      <x:c r="T134" s="1"/>
    </x:row>
    <x:row r="135" ht="18" customHeight="1">
      <x:c r="A135" s="1"/>
      <x:c r="B135" s="1"/>
      <x:c r="C135" s="1"/>
      <x:c r="D135" s="1"/>
      <x:c r="E135" s="1"/>
      <x:c r="F135" s="1"/>
      <x:c r="G135" s="1"/>
      <x:c r="H135" s="1"/>
      <x:c r="I135" s="1"/>
      <x:c r="J135" s="1"/>
      <x:c r="K135" s="1"/>
      <x:c r="L135" s="1"/>
      <x:c r="M135" s="1"/>
      <x:c r="N135" s="1"/>
      <x:c r="O135" s="1"/>
      <x:c r="P135" s="1"/>
      <x:c r="Q135" s="1"/>
      <x:c r="R135" s="1"/>
      <x:c r="S135" s="1"/>
      <x:c r="T135" s="1"/>
    </x:row>
    <x:row r="136" ht="18" customHeight="1">
      <x:c r="A136" s="1"/>
      <x:c r="B136" s="1"/>
      <x:c r="C136" s="1"/>
      <x:c r="D136" s="1"/>
      <x:c r="E136" s="1"/>
      <x:c r="F136" s="1"/>
      <x:c r="G136" s="1"/>
      <x:c r="H136" s="1"/>
      <x:c r="I136" s="1"/>
      <x:c r="J136" s="1"/>
      <x:c r="K136" s="1"/>
      <x:c r="L136" s="1"/>
      <x:c r="M136" s="1"/>
      <x:c r="N136" s="1"/>
      <x:c r="O136" s="1"/>
      <x:c r="P136" s="1"/>
      <x:c r="Q136" s="1"/>
      <x:c r="R136" s="1"/>
      <x:c r="S136" s="1"/>
      <x:c r="T136" s="1"/>
    </x:row>
    <x:row r="137" ht="18" customHeight="1">
      <x:c r="A137" s="1"/>
      <x:c r="B137" s="1"/>
      <x:c r="C137" s="1"/>
      <x:c r="D137" s="1"/>
      <x:c r="E137" s="1"/>
      <x:c r="F137" s="1"/>
      <x:c r="G137" s="1"/>
      <x:c r="H137" s="1"/>
      <x:c r="I137" s="1"/>
      <x:c r="J137" s="1"/>
      <x:c r="K137" s="1"/>
      <x:c r="L137" s="1"/>
      <x:c r="M137" s="1"/>
      <x:c r="N137" s="1"/>
      <x:c r="O137" s="1"/>
      <x:c r="P137" s="1"/>
      <x:c r="Q137" s="1"/>
      <x:c r="R137" s="1"/>
      <x:c r="S137" s="1"/>
      <x:c r="T137" s="1"/>
    </x:row>
    <x:row r="138" ht="18" customHeight="1">
      <x:c r="A138" s="1"/>
      <x:c r="B138" s="1"/>
      <x:c r="C138" s="1"/>
      <x:c r="D138" s="1"/>
      <x:c r="E138" s="1"/>
      <x:c r="F138" s="1"/>
      <x:c r="G138" s="1"/>
      <x:c r="H138" s="1"/>
      <x:c r="I138" s="1"/>
      <x:c r="J138" s="1"/>
      <x:c r="K138" s="1"/>
      <x:c r="L138" s="1"/>
      <x:c r="M138" s="1"/>
      <x:c r="N138" s="1"/>
      <x:c r="O138" s="1"/>
      <x:c r="P138" s="1"/>
      <x:c r="Q138" s="1"/>
      <x:c r="R138" s="1"/>
      <x:c r="S138" s="1"/>
      <x:c r="T138" s="1"/>
    </x:row>
    <x:row r="139" ht="18" customHeight="1">
      <x:c r="A139" s="1"/>
      <x:c r="B139" s="1"/>
      <x:c r="C139" s="1"/>
      <x:c r="D139" s="1"/>
      <x:c r="E139" s="1"/>
      <x:c r="F139" s="1"/>
      <x:c r="G139" s="1"/>
      <x:c r="H139" s="1"/>
      <x:c r="I139" s="1"/>
      <x:c r="J139" s="1"/>
      <x:c r="K139" s="1"/>
      <x:c r="L139" s="1"/>
      <x:c r="M139" s="1"/>
      <x:c r="N139" s="1"/>
      <x:c r="O139" s="1"/>
      <x:c r="P139" s="1"/>
      <x:c r="Q139" s="1"/>
      <x:c r="R139" s="1"/>
      <x:c r="S139" s="1"/>
      <x:c r="T139" s="1"/>
    </x:row>
    <x:row r="140" ht="18" customHeight="1">
      <x:c r="A140" s="1"/>
      <x:c r="B140" s="1"/>
      <x:c r="C140" s="1"/>
      <x:c r="D140" s="1"/>
      <x:c r="E140" s="1"/>
      <x:c r="F140" s="1"/>
      <x:c r="G140" s="1"/>
      <x:c r="H140" s="1"/>
      <x:c r="I140" s="1"/>
      <x:c r="J140" s="1"/>
      <x:c r="K140" s="1"/>
      <x:c r="L140" s="1"/>
      <x:c r="M140" s="1"/>
      <x:c r="N140" s="1"/>
      <x:c r="O140" s="1"/>
      <x:c r="P140" s="1"/>
      <x:c r="Q140" s="1"/>
      <x:c r="R140" s="1"/>
      <x:c r="S140" s="1"/>
      <x:c r="T140" s="1"/>
    </x:row>
    <x:row r="141" ht="18" customHeight="1">
      <x:c r="A141" s="1"/>
      <x:c r="B141" s="1"/>
      <x:c r="C141" s="1"/>
      <x:c r="D141" s="1"/>
      <x:c r="E141" s="1"/>
      <x:c r="F141" s="1"/>
      <x:c r="G141" s="1"/>
      <x:c r="H141" s="1"/>
      <x:c r="I141" s="1"/>
      <x:c r="J141" s="1"/>
      <x:c r="K141" s="1"/>
      <x:c r="L141" s="1"/>
      <x:c r="M141" s="1"/>
      <x:c r="N141" s="1"/>
      <x:c r="O141" s="1"/>
      <x:c r="P141" s="1"/>
      <x:c r="Q141" s="1"/>
      <x:c r="R141" s="1"/>
      <x:c r="S141" s="1"/>
      <x:c r="T141" s="1"/>
    </x:row>
    <x:row r="142" ht="18" customHeight="1">
      <x:c r="A142" s="1"/>
      <x:c r="B142" s="1"/>
      <x:c r="C142" s="1"/>
      <x:c r="D142" s="1"/>
      <x:c r="E142" s="1"/>
      <x:c r="F142" s="1"/>
      <x:c r="G142" s="1"/>
      <x:c r="H142" s="1"/>
      <x:c r="I142" s="1"/>
      <x:c r="J142" s="1"/>
      <x:c r="K142" s="1"/>
      <x:c r="L142" s="1"/>
      <x:c r="M142" s="1"/>
      <x:c r="N142" s="1"/>
      <x:c r="O142" s="1"/>
      <x:c r="P142" s="1"/>
      <x:c r="Q142" s="1"/>
      <x:c r="R142" s="1"/>
      <x:c r="S142" s="1"/>
      <x:c r="T142" s="1"/>
    </x:row>
    <x:row r="143" ht="18" customHeight="1">
      <x:c r="A143" s="1"/>
      <x:c r="B143" s="1"/>
      <x:c r="C143" s="1"/>
      <x:c r="D143" s="1"/>
      <x:c r="E143" s="1"/>
      <x:c r="F143" s="1"/>
      <x:c r="G143" s="1"/>
      <x:c r="H143" s="1"/>
      <x:c r="I143" s="1"/>
      <x:c r="J143" s="1"/>
      <x:c r="K143" s="1"/>
      <x:c r="L143" s="1"/>
      <x:c r="M143" s="1"/>
      <x:c r="N143" s="1"/>
      <x:c r="O143" s="1"/>
      <x:c r="P143" s="1"/>
      <x:c r="Q143" s="1"/>
      <x:c r="R143" s="1"/>
      <x:c r="S143" s="1"/>
      <x:c r="T143" s="1"/>
    </x:row>
    <x:row r="144" ht="18" customHeight="1">
      <x:c r="A144" s="1"/>
      <x:c r="B144" s="1"/>
      <x:c r="C144" s="1"/>
      <x:c r="D144" s="1"/>
      <x:c r="E144" s="1"/>
      <x:c r="F144" s="1"/>
      <x:c r="G144" s="1"/>
      <x:c r="H144" s="1"/>
      <x:c r="I144" s="1"/>
      <x:c r="J144" s="1"/>
      <x:c r="K144" s="1"/>
      <x:c r="L144" s="1"/>
      <x:c r="M144" s="1"/>
      <x:c r="N144" s="1"/>
      <x:c r="O144" s="1"/>
      <x:c r="P144" s="1"/>
      <x:c r="Q144" s="1"/>
      <x:c r="R144" s="1"/>
      <x:c r="S144" s="1"/>
      <x:c r="T144" s="1"/>
    </x:row>
    <x:row r="145" ht="18" customHeight="1">
      <x:c r="A145" s="1"/>
      <x:c r="B145" s="1"/>
      <x:c r="C145" s="1"/>
      <x:c r="D145" s="1"/>
      <x:c r="E145" s="1"/>
      <x:c r="F145" s="1"/>
      <x:c r="G145" s="1"/>
      <x:c r="H145" s="1"/>
      <x:c r="I145" s="1"/>
      <x:c r="J145" s="1"/>
      <x:c r="K145" s="1"/>
      <x:c r="L145" s="1"/>
      <x:c r="M145" s="1"/>
      <x:c r="N145" s="1"/>
      <x:c r="O145" s="1"/>
      <x:c r="P145" s="1"/>
      <x:c r="Q145" s="1"/>
      <x:c r="R145" s="1"/>
      <x:c r="S145" s="1"/>
      <x:c r="T145" s="1"/>
    </x:row>
    <x:row r="146" ht="18" customHeight="1">
      <x:c r="A146" s="1"/>
      <x:c r="B146" s="1"/>
      <x:c r="C146" s="1"/>
      <x:c r="D146" s="1"/>
      <x:c r="E146" s="1"/>
      <x:c r="F146" s="1"/>
      <x:c r="G146" s="1"/>
      <x:c r="H146" s="1"/>
      <x:c r="I146" s="1"/>
      <x:c r="J146" s="1"/>
      <x:c r="K146" s="1"/>
      <x:c r="L146" s="1"/>
      <x:c r="M146" s="1"/>
      <x:c r="N146" s="1"/>
      <x:c r="O146" s="1"/>
      <x:c r="P146" s="1"/>
      <x:c r="Q146" s="1"/>
      <x:c r="R146" s="1"/>
      <x:c r="S146" s="1"/>
      <x:c r="T146" s="1"/>
    </x:row>
    <x:row r="147" ht="18" customHeight="1">
      <x:c r="A147" s="1"/>
      <x:c r="B147" s="1"/>
      <x:c r="C147" s="1"/>
      <x:c r="D147" s="1"/>
      <x:c r="E147" s="1"/>
      <x:c r="F147" s="1"/>
      <x:c r="G147" s="1"/>
      <x:c r="H147" s="1"/>
      <x:c r="I147" s="1"/>
      <x:c r="J147" s="1"/>
      <x:c r="K147" s="1"/>
      <x:c r="L147" s="1"/>
      <x:c r="M147" s="1"/>
      <x:c r="N147" s="1"/>
      <x:c r="O147" s="1"/>
      <x:c r="P147" s="1"/>
      <x:c r="Q147" s="1"/>
      <x:c r="R147" s="1"/>
      <x:c r="S147" s="1"/>
      <x:c r="T147" s="1"/>
    </x:row>
    <x:row r="148" ht="18" customHeight="1">
      <x:c r="A148" s="1"/>
      <x:c r="B148" s="1"/>
      <x:c r="C148" s="1"/>
      <x:c r="D148" s="1"/>
      <x:c r="E148" s="1"/>
      <x:c r="F148" s="1"/>
      <x:c r="G148" s="1"/>
      <x:c r="H148" s="1"/>
      <x:c r="I148" s="1"/>
      <x:c r="J148" s="1"/>
      <x:c r="K148" s="1"/>
      <x:c r="L148" s="1"/>
      <x:c r="M148" s="1"/>
      <x:c r="N148" s="1"/>
      <x:c r="O148" s="1"/>
      <x:c r="P148" s="1"/>
      <x:c r="Q148" s="1"/>
      <x:c r="R148" s="1"/>
      <x:c r="S148" s="1"/>
      <x:c r="T148" s="1"/>
    </x:row>
    <x:row r="149" ht="18" customHeight="1">
      <x:c r="A149" s="1"/>
      <x:c r="B149" s="1"/>
      <x:c r="C149" s="1"/>
      <x:c r="D149" s="1"/>
      <x:c r="E149" s="1"/>
      <x:c r="F149" s="1"/>
      <x:c r="G149" s="1"/>
      <x:c r="H149" s="1"/>
      <x:c r="I149" s="1"/>
      <x:c r="J149" s="1"/>
      <x:c r="K149" s="1"/>
      <x:c r="L149" s="1"/>
      <x:c r="M149" s="1"/>
      <x:c r="N149" s="1"/>
      <x:c r="O149" s="1"/>
      <x:c r="P149" s="1"/>
      <x:c r="Q149" s="1"/>
      <x:c r="R149" s="1"/>
      <x:c r="S149" s="1"/>
      <x:c r="T149" s="1"/>
    </x:row>
    <x:row r="150" ht="18" customHeight="1">
      <x:c r="A150" s="1"/>
      <x:c r="B150" s="1"/>
      <x:c r="C150" s="1"/>
      <x:c r="D150" s="1"/>
      <x:c r="E150" s="1"/>
      <x:c r="F150" s="1"/>
      <x:c r="G150" s="1"/>
      <x:c r="H150" s="1"/>
      <x:c r="I150" s="1"/>
      <x:c r="J150" s="1"/>
      <x:c r="K150" s="1"/>
      <x:c r="L150" s="1"/>
      <x:c r="M150" s="1"/>
      <x:c r="N150" s="1"/>
      <x:c r="O150" s="1"/>
      <x:c r="P150" s="1"/>
      <x:c r="Q150" s="1"/>
      <x:c r="R150" s="1"/>
      <x:c r="S150" s="1"/>
      <x:c r="T150" s="1"/>
    </x:row>
    <x:row r="151" ht="18" customHeight="1">
      <x:c r="A151" s="1"/>
      <x:c r="B151" s="1"/>
      <x:c r="C151" s="1"/>
      <x:c r="D151" s="1"/>
      <x:c r="E151" s="1"/>
      <x:c r="F151" s="1"/>
      <x:c r="G151" s="1"/>
      <x:c r="H151" s="1"/>
      <x:c r="I151" s="1"/>
      <x:c r="J151" s="1"/>
      <x:c r="K151" s="1"/>
      <x:c r="L151" s="1"/>
      <x:c r="M151" s="1"/>
      <x:c r="N151" s="1"/>
      <x:c r="O151" s="1"/>
      <x:c r="P151" s="1"/>
      <x:c r="Q151" s="1"/>
      <x:c r="R151" s="1"/>
      <x:c r="S151" s="1"/>
      <x:c r="T151" s="1"/>
    </x:row>
    <x:row r="152" ht="18" customHeight="1">
      <x:c r="A152" s="1"/>
      <x:c r="B152" s="1"/>
      <x:c r="C152" s="1"/>
      <x:c r="D152" s="1"/>
      <x:c r="E152" s="1"/>
      <x:c r="F152" s="1"/>
      <x:c r="G152" s="1"/>
      <x:c r="H152" s="1"/>
      <x:c r="I152" s="1"/>
      <x:c r="J152" s="1"/>
      <x:c r="K152" s="1"/>
      <x:c r="L152" s="1"/>
      <x:c r="M152" s="1"/>
      <x:c r="N152" s="1"/>
      <x:c r="O152" s="1"/>
      <x:c r="P152" s="1"/>
      <x:c r="Q152" s="1"/>
      <x:c r="R152" s="1"/>
      <x:c r="S152" s="1"/>
      <x:c r="T152" s="1"/>
    </x:row>
    <x:row r="153" ht="18" customHeight="1">
      <x:c r="A153" s="1"/>
      <x:c r="B153" s="1"/>
      <x:c r="C153" s="1"/>
      <x:c r="D153" s="1"/>
      <x:c r="E153" s="1"/>
      <x:c r="F153" s="1"/>
      <x:c r="G153" s="1"/>
      <x:c r="H153" s="1"/>
      <x:c r="I153" s="1"/>
      <x:c r="J153" s="1"/>
      <x:c r="K153" s="1"/>
      <x:c r="L153" s="1"/>
      <x:c r="M153" s="1"/>
      <x:c r="N153" s="1"/>
      <x:c r="O153" s="1"/>
      <x:c r="P153" s="1"/>
      <x:c r="Q153" s="1"/>
      <x:c r="R153" s="1"/>
      <x:c r="S153" s="1"/>
      <x:c r="T153" s="1"/>
    </x:row>
    <x:row r="154" ht="18" customHeight="1">
      <x:c r="A154" s="1"/>
      <x:c r="B154" s="1"/>
      <x:c r="C154" s="1"/>
      <x:c r="D154" s="1"/>
      <x:c r="E154" s="1"/>
      <x:c r="F154" s="1"/>
      <x:c r="G154" s="1"/>
      <x:c r="H154" s="1"/>
      <x:c r="I154" s="1"/>
      <x:c r="J154" s="1"/>
      <x:c r="K154" s="1"/>
      <x:c r="L154" s="1"/>
      <x:c r="M154" s="1"/>
      <x:c r="N154" s="1"/>
      <x:c r="O154" s="1"/>
      <x:c r="P154" s="1"/>
      <x:c r="Q154" s="1"/>
      <x:c r="R154" s="1"/>
      <x:c r="S154" s="1"/>
      <x:c r="T154" s="1"/>
    </x:row>
    <x:row r="155" ht="18" customHeight="1">
      <x:c r="A155" s="1"/>
      <x:c r="B155" s="1"/>
      <x:c r="C155" s="1"/>
      <x:c r="D155" s="1"/>
      <x:c r="E155" s="1"/>
      <x:c r="F155" s="1"/>
      <x:c r="G155" s="1"/>
      <x:c r="H155" s="1"/>
      <x:c r="I155" s="1"/>
      <x:c r="J155" s="1"/>
      <x:c r="K155" s="1"/>
      <x:c r="L155" s="1"/>
      <x:c r="M155" s="1"/>
      <x:c r="N155" s="1"/>
      <x:c r="O155" s="1"/>
      <x:c r="P155" s="1"/>
      <x:c r="Q155" s="1"/>
      <x:c r="R155" s="1"/>
      <x:c r="S155" s="1"/>
      <x:c r="T155" s="1"/>
    </x:row>
    <x:row r="156" ht="18" customHeight="1">
      <x:c r="A156" s="1"/>
      <x:c r="B156" s="1"/>
      <x:c r="C156" s="1"/>
      <x:c r="D156" s="1"/>
      <x:c r="E156" s="1"/>
      <x:c r="F156" s="1"/>
      <x:c r="G156" s="1"/>
      <x:c r="H156" s="1"/>
      <x:c r="I156" s="1"/>
      <x:c r="J156" s="1"/>
      <x:c r="K156" s="1"/>
      <x:c r="L156" s="1"/>
      <x:c r="M156" s="1"/>
      <x:c r="N156" s="1"/>
      <x:c r="O156" s="1"/>
      <x:c r="P156" s="1"/>
      <x:c r="Q156" s="1"/>
      <x:c r="R156" s="1"/>
      <x:c r="S156" s="1"/>
      <x:c r="T156" s="1"/>
    </x:row>
    <x:row r="157" ht="18" customHeight="1">
      <x:c r="A157" s="1"/>
      <x:c r="B157" s="1"/>
      <x:c r="C157" s="1"/>
      <x:c r="D157" s="1"/>
      <x:c r="E157" s="1"/>
      <x:c r="F157" s="1"/>
      <x:c r="G157" s="1"/>
      <x:c r="H157" s="1"/>
      <x:c r="I157" s="1"/>
      <x:c r="J157" s="1"/>
      <x:c r="K157" s="1"/>
      <x:c r="L157" s="1"/>
      <x:c r="M157" s="1"/>
      <x:c r="N157" s="1"/>
      <x:c r="O157" s="1"/>
      <x:c r="P157" s="1"/>
      <x:c r="Q157" s="1"/>
      <x:c r="R157" s="1"/>
      <x:c r="S157" s="1"/>
      <x:c r="T157" s="1"/>
    </x:row>
    <x:row r="158" ht="18" customHeight="1">
      <x:c r="A158" s="1"/>
      <x:c r="B158" s="1"/>
      <x:c r="C158" s="1"/>
      <x:c r="D158" s="1"/>
      <x:c r="E158" s="1"/>
      <x:c r="F158" s="1"/>
      <x:c r="G158" s="1"/>
      <x:c r="H158" s="1"/>
      <x:c r="I158" s="1"/>
      <x:c r="J158" s="1"/>
      <x:c r="K158" s="1"/>
      <x:c r="L158" s="1"/>
      <x:c r="M158" s="1"/>
      <x:c r="N158" s="1"/>
      <x:c r="O158" s="1"/>
      <x:c r="P158" s="1"/>
      <x:c r="Q158" s="1"/>
      <x:c r="R158" s="1"/>
      <x:c r="S158" s="1"/>
      <x:c r="T158" s="1"/>
    </x:row>
    <x:row r="159" ht="18" customHeight="1">
      <x:c r="A159" s="1"/>
      <x:c r="B159" s="1"/>
      <x:c r="C159" s="1"/>
      <x:c r="D159" s="1"/>
      <x:c r="E159" s="1"/>
      <x:c r="F159" s="1"/>
      <x:c r="G159" s="1"/>
      <x:c r="H159" s="1"/>
      <x:c r="I159" s="1"/>
      <x:c r="J159" s="1"/>
      <x:c r="K159" s="1"/>
      <x:c r="L159" s="1"/>
      <x:c r="M159" s="1"/>
      <x:c r="N159" s="1"/>
      <x:c r="O159" s="1"/>
      <x:c r="P159" s="1"/>
      <x:c r="Q159" s="1"/>
      <x:c r="R159" s="1"/>
      <x:c r="S159" s="1"/>
      <x:c r="T159" s="1"/>
    </x:row>
    <x:row r="160" ht="18" customHeight="1">
      <x:c r="A160" s="1"/>
      <x:c r="B160" s="1"/>
      <x:c r="C160" s="1"/>
      <x:c r="D160" s="1"/>
      <x:c r="E160" s="1"/>
      <x:c r="F160" s="1"/>
      <x:c r="G160" s="1"/>
      <x:c r="H160" s="1"/>
      <x:c r="I160" s="1"/>
      <x:c r="J160" s="1"/>
      <x:c r="K160" s="1"/>
      <x:c r="L160" s="1"/>
      <x:c r="M160" s="1"/>
      <x:c r="N160" s="1"/>
      <x:c r="O160" s="1"/>
      <x:c r="P160" s="1"/>
      <x:c r="Q160" s="1"/>
      <x:c r="R160" s="1"/>
      <x:c r="S160" s="1"/>
      <x:c r="T160" s="1"/>
    </x:row>
    <x:row r="161" ht="18" customHeight="1">
      <x:c r="A161" s="1"/>
      <x:c r="B161" s="1"/>
      <x:c r="C161" s="1"/>
      <x:c r="D161" s="1"/>
      <x:c r="E161" s="1"/>
      <x:c r="F161" s="1"/>
      <x:c r="G161" s="1"/>
      <x:c r="H161" s="1"/>
      <x:c r="I161" s="1"/>
      <x:c r="J161" s="1"/>
      <x:c r="K161" s="1"/>
      <x:c r="L161" s="1"/>
      <x:c r="M161" s="1"/>
      <x:c r="N161" s="1"/>
      <x:c r="O161" s="1"/>
      <x:c r="P161" s="1"/>
      <x:c r="Q161" s="1"/>
      <x:c r="R161" s="1"/>
      <x:c r="S161" s="1"/>
      <x:c r="T161" s="1"/>
    </x:row>
    <x:row r="162" ht="18" customHeight="1">
      <x:c r="A162" s="1"/>
      <x:c r="B162" s="1"/>
      <x:c r="C162" s="1"/>
      <x:c r="D162" s="1"/>
      <x:c r="E162" s="1"/>
      <x:c r="F162" s="1"/>
      <x:c r="G162" s="1"/>
      <x:c r="H162" s="1"/>
      <x:c r="I162" s="1"/>
      <x:c r="J162" s="1"/>
      <x:c r="K162" s="1"/>
      <x:c r="L162" s="1"/>
      <x:c r="M162" s="1"/>
      <x:c r="N162" s="1"/>
      <x:c r="O162" s="1"/>
      <x:c r="P162" s="1"/>
      <x:c r="Q162" s="1"/>
      <x:c r="R162" s="1"/>
      <x:c r="S162" s="1"/>
      <x:c r="T162" s="1"/>
    </x:row>
    <x:row r="163" ht="18" customHeight="1">
      <x:c r="A163" s="1"/>
      <x:c r="B163" s="1"/>
      <x:c r="C163" s="1"/>
      <x:c r="D163" s="1"/>
      <x:c r="E163" s="1"/>
      <x:c r="F163" s="1"/>
      <x:c r="G163" s="1"/>
      <x:c r="H163" s="1"/>
      <x:c r="I163" s="1"/>
      <x:c r="J163" s="1"/>
      <x:c r="K163" s="1"/>
      <x:c r="L163" s="1"/>
      <x:c r="M163" s="1"/>
      <x:c r="N163" s="1"/>
      <x:c r="O163" s="1"/>
      <x:c r="P163" s="1"/>
      <x:c r="Q163" s="1"/>
      <x:c r="R163" s="1"/>
      <x:c r="S163" s="1"/>
      <x:c r="T163" s="1"/>
    </x:row>
    <x:row r="164" ht="18" customHeight="1">
      <x:c r="A164" s="1"/>
      <x:c r="B164" s="1"/>
      <x:c r="C164" s="1"/>
      <x:c r="D164" s="1"/>
      <x:c r="E164" s="1"/>
      <x:c r="F164" s="1"/>
      <x:c r="G164" s="1"/>
      <x:c r="H164" s="1"/>
      <x:c r="I164" s="1"/>
      <x:c r="J164" s="1"/>
      <x:c r="K164" s="1"/>
      <x:c r="L164" s="1"/>
      <x:c r="M164" s="1"/>
      <x:c r="N164" s="1"/>
      <x:c r="O164" s="1"/>
      <x:c r="P164" s="1"/>
      <x:c r="Q164" s="1"/>
      <x:c r="R164" s="1"/>
      <x:c r="S164" s="1"/>
      <x:c r="T164" s="1"/>
    </x:row>
    <x:row r="165" ht="18" customHeight="1">
      <x:c r="A165" s="1"/>
      <x:c r="B165" s="1"/>
      <x:c r="C165" s="1"/>
      <x:c r="D165" s="1"/>
      <x:c r="E165" s="1"/>
      <x:c r="F165" s="1"/>
      <x:c r="G165" s="1"/>
      <x:c r="H165" s="1"/>
      <x:c r="I165" s="1"/>
      <x:c r="J165" s="1"/>
      <x:c r="K165" s="1"/>
      <x:c r="L165" s="1"/>
      <x:c r="M165" s="1"/>
      <x:c r="N165" s="1"/>
      <x:c r="O165" s="1"/>
      <x:c r="P165" s="1"/>
      <x:c r="Q165" s="1"/>
      <x:c r="R165" s="1"/>
      <x:c r="S165" s="1"/>
      <x:c r="T165" s="1"/>
    </x:row>
    <x:row r="166" ht="18" customHeight="1">
      <x:c r="A166" s="1"/>
      <x:c r="B166" s="1"/>
      <x:c r="C166" s="1"/>
      <x:c r="D166" s="1"/>
      <x:c r="E166" s="1"/>
      <x:c r="F166" s="1"/>
      <x:c r="G166" s="1"/>
      <x:c r="H166" s="1"/>
      <x:c r="I166" s="1"/>
      <x:c r="J166" s="1"/>
      <x:c r="K166" s="1"/>
      <x:c r="L166" s="1"/>
      <x:c r="M166" s="1"/>
      <x:c r="N166" s="1"/>
      <x:c r="O166" s="1"/>
      <x:c r="P166" s="1"/>
      <x:c r="Q166" s="1"/>
      <x:c r="R166" s="1"/>
      <x:c r="S166" s="1"/>
      <x:c r="T166" s="1"/>
    </x:row>
    <x:row r="167" ht="18" customHeight="1">
      <x:c r="A167" s="1"/>
      <x:c r="B167" s="1"/>
      <x:c r="C167" s="1"/>
      <x:c r="D167" s="1"/>
      <x:c r="E167" s="1"/>
      <x:c r="F167" s="1"/>
      <x:c r="G167" s="1"/>
      <x:c r="H167" s="1"/>
      <x:c r="I167" s="1"/>
      <x:c r="J167" s="1"/>
      <x:c r="K167" s="1"/>
      <x:c r="L167" s="1"/>
      <x:c r="M167" s="1"/>
      <x:c r="N167" s="1"/>
      <x:c r="O167" s="1"/>
      <x:c r="P167" s="1"/>
      <x:c r="Q167" s="1"/>
      <x:c r="R167" s="1"/>
      <x:c r="S167" s="1"/>
      <x:c r="T167" s="1"/>
    </x:row>
    <x:row r="168" ht="18" customHeight="1">
      <x:c r="A168" s="1"/>
      <x:c r="B168" s="1"/>
      <x:c r="C168" s="1"/>
      <x:c r="D168" s="1"/>
      <x:c r="E168" s="1"/>
      <x:c r="F168" s="1"/>
      <x:c r="G168" s="1"/>
      <x:c r="H168" s="1"/>
      <x:c r="I168" s="1"/>
      <x:c r="J168" s="1"/>
      <x:c r="K168" s="1"/>
      <x:c r="L168" s="1"/>
      <x:c r="M168" s="1"/>
      <x:c r="N168" s="1"/>
      <x:c r="O168" s="1"/>
      <x:c r="P168" s="1"/>
      <x:c r="Q168" s="1"/>
      <x:c r="R168" s="1"/>
      <x:c r="S168" s="1"/>
      <x:c r="T168" s="1"/>
    </x:row>
    <x:row r="169" ht="18" customHeight="1">
      <x:c r="A169" s="1"/>
      <x:c r="B169" s="1"/>
      <x:c r="C169" s="1"/>
      <x:c r="D169" s="1"/>
      <x:c r="E169" s="1"/>
      <x:c r="F169" s="1"/>
      <x:c r="G169" s="1"/>
      <x:c r="H169" s="1"/>
      <x:c r="I169" s="1"/>
      <x:c r="J169" s="1"/>
      <x:c r="K169" s="1"/>
      <x:c r="L169" s="1"/>
      <x:c r="M169" s="1"/>
      <x:c r="N169" s="1"/>
      <x:c r="O169" s="1"/>
      <x:c r="P169" s="1"/>
      <x:c r="Q169" s="1"/>
      <x:c r="R169" s="1"/>
      <x:c r="S169" s="1"/>
      <x:c r="T169" s="1"/>
    </x:row>
    <x:row r="170" ht="18" customHeight="1">
      <x:c r="A170" s="1"/>
      <x:c r="B170" s="1"/>
      <x:c r="C170" s="1"/>
      <x:c r="D170" s="1"/>
      <x:c r="E170" s="1"/>
      <x:c r="F170" s="1"/>
      <x:c r="G170" s="1"/>
      <x:c r="H170" s="1"/>
      <x:c r="I170" s="1"/>
      <x:c r="J170" s="1"/>
      <x:c r="K170" s="1"/>
      <x:c r="L170" s="1"/>
      <x:c r="M170" s="1"/>
      <x:c r="N170" s="1"/>
      <x:c r="O170" s="1"/>
      <x:c r="P170" s="1"/>
      <x:c r="Q170" s="1"/>
      <x:c r="R170" s="1"/>
      <x:c r="S170" s="1"/>
      <x:c r="T170" s="1"/>
    </x:row>
    <x:row r="171" ht="18" customHeight="1">
      <x:c r="A171" s="1"/>
      <x:c r="B171" s="1"/>
      <x:c r="C171" s="1"/>
      <x:c r="D171" s="1"/>
      <x:c r="E171" s="1"/>
      <x:c r="F171" s="1"/>
      <x:c r="G171" s="1"/>
      <x:c r="H171" s="1"/>
      <x:c r="I171" s="1"/>
      <x:c r="J171" s="1"/>
      <x:c r="K171" s="1"/>
      <x:c r="L171" s="1"/>
      <x:c r="M171" s="1"/>
      <x:c r="N171" s="1"/>
      <x:c r="O171" s="1"/>
      <x:c r="P171" s="1"/>
      <x:c r="Q171" s="1"/>
      <x:c r="R171" s="1"/>
      <x:c r="S171" s="1"/>
      <x:c r="T171" s="1"/>
    </x:row>
    <x:row r="172" ht="18" customHeight="1">
      <x:c r="A172" s="1"/>
      <x:c r="B172" s="1"/>
      <x:c r="C172" s="1"/>
      <x:c r="D172" s="1"/>
      <x:c r="E172" s="1"/>
      <x:c r="F172" s="1"/>
      <x:c r="G172" s="1"/>
      <x:c r="H172" s="1"/>
      <x:c r="I172" s="1"/>
      <x:c r="J172" s="1"/>
      <x:c r="K172" s="1"/>
      <x:c r="L172" s="1"/>
      <x:c r="M172" s="1"/>
      <x:c r="N172" s="1"/>
      <x:c r="O172" s="1"/>
      <x:c r="P172" s="1"/>
      <x:c r="Q172" s="1"/>
      <x:c r="R172" s="1"/>
      <x:c r="S172" s="1"/>
      <x:c r="T172" s="1"/>
    </x:row>
    <x:row r="173" ht="18" customHeight="1">
      <x:c r="A173" s="1"/>
      <x:c r="B173" s="1"/>
      <x:c r="C173" s="1"/>
      <x:c r="D173" s="1"/>
      <x:c r="E173" s="1"/>
      <x:c r="F173" s="1"/>
      <x:c r="G173" s="1"/>
      <x:c r="H173" s="1"/>
      <x:c r="I173" s="1"/>
      <x:c r="J173" s="1"/>
      <x:c r="K173" s="1"/>
      <x:c r="L173" s="1"/>
      <x:c r="M173" s="1"/>
      <x:c r="N173" s="1"/>
      <x:c r="O173" s="1"/>
      <x:c r="P173" s="1"/>
      <x:c r="Q173" s="1"/>
      <x:c r="R173" s="1"/>
      <x:c r="S173" s="1"/>
      <x:c r="T173" s="1"/>
    </x:row>
    <x:row r="174" ht="18" customHeight="1">
      <x:c r="A174" s="1"/>
      <x:c r="B174" s="1"/>
      <x:c r="C174" s="1"/>
      <x:c r="D174" s="1"/>
      <x:c r="E174" s="1"/>
      <x:c r="F174" s="1"/>
      <x:c r="G174" s="1"/>
      <x:c r="H174" s="1"/>
      <x:c r="I174" s="1"/>
      <x:c r="J174" s="1"/>
      <x:c r="K174" s="1"/>
      <x:c r="L174" s="1"/>
      <x:c r="M174" s="1"/>
      <x:c r="N174" s="1"/>
      <x:c r="O174" s="1"/>
      <x:c r="P174" s="1"/>
      <x:c r="Q174" s="1"/>
      <x:c r="R174" s="1"/>
      <x:c r="S174" s="1"/>
      <x:c r="T174" s="1"/>
    </x:row>
    <x:row r="175" ht="18" customHeight="1">
      <x:c r="A175" s="1"/>
      <x:c r="B175" s="1"/>
      <x:c r="C175" s="1"/>
      <x:c r="D175" s="1"/>
      <x:c r="E175" s="1"/>
      <x:c r="F175" s="1"/>
      <x:c r="G175" s="1"/>
      <x:c r="H175" s="1"/>
      <x:c r="I175" s="1"/>
      <x:c r="J175" s="1"/>
      <x:c r="K175" s="1"/>
      <x:c r="L175" s="1"/>
      <x:c r="M175" s="1"/>
      <x:c r="N175" s="1"/>
      <x:c r="O175" s="1"/>
      <x:c r="P175" s="1"/>
      <x:c r="Q175" s="1"/>
      <x:c r="R175" s="1"/>
      <x:c r="S175" s="1"/>
      <x:c r="T175" s="1"/>
    </x:row>
    <x:row r="176" ht="18" customHeight="1">
      <x:c r="A176" s="1"/>
      <x:c r="B176" s="1"/>
      <x:c r="C176" s="1"/>
      <x:c r="D176" s="1"/>
      <x:c r="E176" s="1"/>
      <x:c r="F176" s="1"/>
      <x:c r="G176" s="1"/>
      <x:c r="H176" s="1"/>
      <x:c r="I176" s="1"/>
      <x:c r="J176" s="1"/>
      <x:c r="K176" s="1"/>
      <x:c r="L176" s="1"/>
      <x:c r="M176" s="1"/>
      <x:c r="N176" s="1"/>
      <x:c r="O176" s="1"/>
      <x:c r="P176" s="1"/>
      <x:c r="Q176" s="1"/>
      <x:c r="R176" s="1"/>
      <x:c r="S176" s="1"/>
      <x:c r="T176" s="1"/>
    </x:row>
    <x:row r="177" ht="18" customHeight="1">
      <x:c r="A177" s="1"/>
      <x:c r="B177" s="1"/>
      <x:c r="C177" s="1"/>
      <x:c r="D177" s="1"/>
      <x:c r="E177" s="1"/>
      <x:c r="F177" s="1"/>
      <x:c r="G177" s="1"/>
      <x:c r="H177" s="1"/>
      <x:c r="I177" s="1"/>
      <x:c r="J177" s="1"/>
      <x:c r="K177" s="1"/>
      <x:c r="L177" s="1"/>
      <x:c r="M177" s="1"/>
      <x:c r="N177" s="1"/>
      <x:c r="O177" s="1"/>
      <x:c r="P177" s="1"/>
      <x:c r="Q177" s="1"/>
      <x:c r="R177" s="1"/>
      <x:c r="S177" s="1"/>
      <x:c r="T177" s="1"/>
    </x:row>
    <x:row r="178" ht="18" customHeight="1">
      <x:c r="A178" s="1"/>
      <x:c r="B178" s="1"/>
      <x:c r="C178" s="1"/>
      <x:c r="D178" s="1"/>
      <x:c r="E178" s="1"/>
      <x:c r="F178" s="1"/>
      <x:c r="G178" s="1"/>
      <x:c r="H178" s="1"/>
      <x:c r="I178" s="1"/>
      <x:c r="J178" s="1"/>
      <x:c r="K178" s="1"/>
      <x:c r="L178" s="1"/>
      <x:c r="M178" s="1"/>
      <x:c r="N178" s="1"/>
      <x:c r="O178" s="1"/>
      <x:c r="P178" s="1"/>
      <x:c r="Q178" s="1"/>
      <x:c r="R178" s="1"/>
      <x:c r="S178" s="1"/>
      <x:c r="T178" s="1"/>
    </x:row>
    <x:row r="179" ht="18" customHeight="1">
      <x:c r="A179" s="1"/>
      <x:c r="B179" s="1"/>
      <x:c r="C179" s="1"/>
      <x:c r="D179" s="1"/>
      <x:c r="E179" s="1"/>
      <x:c r="F179" s="1"/>
      <x:c r="G179" s="1"/>
      <x:c r="H179" s="1"/>
      <x:c r="I179" s="1"/>
      <x:c r="J179" s="1"/>
      <x:c r="K179" s="1"/>
      <x:c r="L179" s="1"/>
      <x:c r="M179" s="1"/>
      <x:c r="N179" s="1"/>
      <x:c r="O179" s="1"/>
      <x:c r="P179" s="1"/>
      <x:c r="Q179" s="1"/>
      <x:c r="R179" s="1"/>
      <x:c r="S179" s="1"/>
      <x:c r="T179" s="1"/>
    </x:row>
    <x:row r="180" ht="18" customHeight="1">
      <x:c r="A180" s="1"/>
      <x:c r="B180" s="1"/>
      <x:c r="C180" s="1"/>
      <x:c r="D180" s="1"/>
      <x:c r="E180" s="1"/>
      <x:c r="F180" s="1"/>
      <x:c r="G180" s="1"/>
      <x:c r="H180" s="1"/>
      <x:c r="I180" s="1"/>
      <x:c r="J180" s="1"/>
      <x:c r="K180" s="1"/>
      <x:c r="L180" s="1"/>
      <x:c r="M180" s="1"/>
      <x:c r="N180" s="1"/>
      <x:c r="O180" s="1"/>
      <x:c r="P180" s="1"/>
      <x:c r="Q180" s="1"/>
      <x:c r="R180" s="1"/>
      <x:c r="S180" s="1"/>
      <x:c r="T180" s="1"/>
    </x:row>
    <x:row r="181" ht="18" customHeight="1">
      <x:c r="A181" s="1"/>
      <x:c r="B181" s="1"/>
      <x:c r="C181" s="1"/>
      <x:c r="D181" s="1"/>
      <x:c r="E181" s="1"/>
      <x:c r="F181" s="1"/>
      <x:c r="G181" s="1"/>
      <x:c r="H181" s="1"/>
      <x:c r="I181" s="1"/>
      <x:c r="J181" s="1"/>
      <x:c r="K181" s="1"/>
      <x:c r="L181" s="1"/>
      <x:c r="M181" s="1"/>
      <x:c r="N181" s="1"/>
      <x:c r="O181" s="1"/>
      <x:c r="P181" s="1"/>
      <x:c r="Q181" s="1"/>
      <x:c r="R181" s="1"/>
      <x:c r="S181" s="1"/>
      <x:c r="T181" s="1"/>
    </x:row>
    <x:row r="182" ht="18" customHeight="1">
      <x:c r="A182" s="1"/>
      <x:c r="B182" s="1"/>
      <x:c r="C182" s="1"/>
      <x:c r="D182" s="1"/>
      <x:c r="E182" s="1"/>
      <x:c r="F182" s="1"/>
      <x:c r="G182" s="1"/>
      <x:c r="H182" s="1"/>
      <x:c r="I182" s="1"/>
      <x:c r="J182" s="1"/>
      <x:c r="K182" s="1"/>
      <x:c r="L182" s="1"/>
      <x:c r="M182" s="1"/>
      <x:c r="N182" s="1"/>
      <x:c r="O182" s="1"/>
      <x:c r="P182" s="1"/>
      <x:c r="Q182" s="1"/>
      <x:c r="R182" s="1"/>
      <x:c r="S182" s="1"/>
      <x:c r="T182" s="1"/>
    </x:row>
    <x:row r="183" ht="18" customHeight="1">
      <x:c r="A183" s="1"/>
      <x:c r="B183" s="1"/>
      <x:c r="C183" s="1"/>
      <x:c r="D183" s="1"/>
      <x:c r="E183" s="1"/>
      <x:c r="F183" s="1"/>
      <x:c r="G183" s="1"/>
      <x:c r="H183" s="1"/>
      <x:c r="I183" s="1"/>
      <x:c r="J183" s="1"/>
      <x:c r="K183" s="1"/>
      <x:c r="L183" s="1"/>
      <x:c r="M183" s="1"/>
      <x:c r="N183" s="1"/>
      <x:c r="O183" s="1"/>
      <x:c r="P183" s="1"/>
      <x:c r="Q183" s="1"/>
      <x:c r="R183" s="1"/>
      <x:c r="S183" s="1"/>
      <x:c r="T183" s="1"/>
    </x:row>
    <x:row r="184" ht="18" customHeight="1">
      <x:c r="A184" s="1"/>
      <x:c r="B184" s="1"/>
      <x:c r="C184" s="1"/>
      <x:c r="D184" s="1"/>
      <x:c r="E184" s="1"/>
      <x:c r="F184" s="1"/>
      <x:c r="G184" s="1"/>
      <x:c r="H184" s="1"/>
      <x:c r="I184" s="1"/>
      <x:c r="J184" s="1"/>
      <x:c r="K184" s="1"/>
      <x:c r="L184" s="1"/>
      <x:c r="M184" s="1"/>
      <x:c r="N184" s="1"/>
      <x:c r="O184" s="1"/>
      <x:c r="P184" s="1"/>
      <x:c r="Q184" s="1"/>
      <x:c r="R184" s="1"/>
      <x:c r="S184" s="1"/>
      <x:c r="T184" s="1"/>
    </x:row>
    <x:row r="185" ht="18" customHeight="1">
      <x:c r="A185" s="1"/>
      <x:c r="B185" s="1"/>
      <x:c r="C185" s="1"/>
      <x:c r="D185" s="1"/>
      <x:c r="E185" s="1"/>
      <x:c r="F185" s="1"/>
      <x:c r="G185" s="1"/>
      <x:c r="H185" s="1"/>
      <x:c r="I185" s="1"/>
      <x:c r="J185" s="1"/>
      <x:c r="K185" s="1"/>
      <x:c r="L185" s="1"/>
      <x:c r="M185" s="1"/>
      <x:c r="N185" s="1"/>
      <x:c r="O185" s="1"/>
      <x:c r="P185" s="1"/>
      <x:c r="Q185" s="1"/>
      <x:c r="R185" s="1"/>
      <x:c r="S185" s="1"/>
      <x:c r="T185" s="1"/>
    </x:row>
    <x:row r="186" ht="18" customHeight="1">
      <x:c r="A186" s="1"/>
      <x:c r="B186" s="1"/>
      <x:c r="C186" s="1"/>
      <x:c r="D186" s="1"/>
      <x:c r="E186" s="1"/>
      <x:c r="F186" s="1"/>
      <x:c r="G186" s="1"/>
      <x:c r="H186" s="1"/>
      <x:c r="I186" s="1"/>
      <x:c r="J186" s="1"/>
      <x:c r="K186" s="1"/>
      <x:c r="L186" s="1"/>
      <x:c r="M186" s="1"/>
      <x:c r="N186" s="1"/>
      <x:c r="O186" s="1"/>
      <x:c r="P186" s="1"/>
      <x:c r="Q186" s="1"/>
      <x:c r="R186" s="1"/>
      <x:c r="S186" s="1"/>
      <x:c r="T186" s="1"/>
    </x:row>
    <x:row r="187" ht="18" customHeight="1">
      <x:c r="A187" s="1"/>
      <x:c r="B187" s="1"/>
      <x:c r="C187" s="1"/>
      <x:c r="D187" s="1"/>
      <x:c r="E187" s="1"/>
      <x:c r="F187" s="1"/>
      <x:c r="G187" s="1"/>
      <x:c r="H187" s="1"/>
      <x:c r="I187" s="1"/>
      <x:c r="J187" s="1"/>
      <x:c r="K187" s="1"/>
      <x:c r="L187" s="1"/>
      <x:c r="M187" s="1"/>
      <x:c r="N187" s="1"/>
      <x:c r="O187" s="1"/>
      <x:c r="P187" s="1"/>
      <x:c r="Q187" s="1"/>
      <x:c r="R187" s="1"/>
      <x:c r="S187" s="1"/>
      <x:c r="T187" s="1"/>
    </x:row>
    <x:row r="188" ht="18" customHeight="1">
      <x:c r="A188" s="1"/>
      <x:c r="B188" s="1"/>
      <x:c r="C188" s="1"/>
      <x:c r="D188" s="1"/>
      <x:c r="E188" s="1"/>
      <x:c r="F188" s="1"/>
      <x:c r="G188" s="1"/>
      <x:c r="H188" s="1"/>
      <x:c r="I188" s="1"/>
      <x:c r="J188" s="1"/>
      <x:c r="K188" s="1"/>
      <x:c r="L188" s="1"/>
      <x:c r="M188" s="1"/>
      <x:c r="N188" s="1"/>
      <x:c r="O188" s="1"/>
      <x:c r="P188" s="1"/>
      <x:c r="Q188" s="1"/>
      <x:c r="R188" s="1"/>
      <x:c r="S188" s="1"/>
      <x:c r="T188" s="1"/>
    </x:row>
    <x:row r="189" ht="18" customHeight="1">
      <x:c r="A189" s="1"/>
      <x:c r="B189" s="1"/>
      <x:c r="C189" s="1"/>
      <x:c r="D189" s="1"/>
      <x:c r="E189" s="1"/>
      <x:c r="F189" s="1"/>
      <x:c r="G189" s="1"/>
      <x:c r="H189" s="1"/>
      <x:c r="I189" s="1"/>
      <x:c r="J189" s="1"/>
      <x:c r="K189" s="1"/>
      <x:c r="L189" s="1"/>
      <x:c r="M189" s="1"/>
      <x:c r="N189" s="1"/>
      <x:c r="O189" s="1"/>
      <x:c r="P189" s="1"/>
      <x:c r="Q189" s="1"/>
      <x:c r="R189" s="1"/>
      <x:c r="S189" s="1"/>
      <x:c r="T189" s="1"/>
    </x:row>
    <x:row r="190" ht="18" customHeight="1">
      <x:c r="A190" s="1"/>
      <x:c r="B190" s="1"/>
      <x:c r="C190" s="1"/>
      <x:c r="D190" s="1"/>
      <x:c r="E190" s="1"/>
      <x:c r="F190" s="1"/>
      <x:c r="G190" s="1"/>
      <x:c r="H190" s="1"/>
      <x:c r="I190" s="1"/>
      <x:c r="J190" s="1"/>
      <x:c r="K190" s="1"/>
      <x:c r="L190" s="1"/>
      <x:c r="M190" s="1"/>
      <x:c r="N190" s="1"/>
      <x:c r="O190" s="1"/>
      <x:c r="P190" s="1"/>
      <x:c r="Q190" s="1"/>
      <x:c r="R190" s="1"/>
      <x:c r="S190" s="1"/>
      <x:c r="T190" s="1"/>
    </x:row>
    <x:row r="191" ht="18" customHeight="1">
      <x:c r="A191" s="1"/>
      <x:c r="B191" s="1"/>
      <x:c r="C191" s="1"/>
      <x:c r="D191" s="1"/>
      <x:c r="E191" s="1"/>
      <x:c r="F191" s="1"/>
      <x:c r="G191" s="1"/>
      <x:c r="H191" s="1"/>
      <x:c r="I191" s="1"/>
      <x:c r="J191" s="1"/>
      <x:c r="K191" s="1"/>
      <x:c r="L191" s="1"/>
      <x:c r="M191" s="1"/>
      <x:c r="N191" s="1"/>
      <x:c r="O191" s="1"/>
      <x:c r="P191" s="1"/>
      <x:c r="Q191" s="1"/>
      <x:c r="R191" s="1"/>
      <x:c r="S191" s="1"/>
      <x:c r="T191" s="1"/>
    </x:row>
    <x:row r="192" ht="18" customHeight="1">
      <x:c r="A192" s="1"/>
      <x:c r="B192" s="1"/>
      <x:c r="C192" s="1"/>
      <x:c r="D192" s="1"/>
      <x:c r="E192" s="1"/>
      <x:c r="F192" s="1"/>
      <x:c r="G192" s="1"/>
      <x:c r="H192" s="1"/>
      <x:c r="I192" s="1"/>
      <x:c r="J192" s="1"/>
      <x:c r="K192" s="1"/>
      <x:c r="L192" s="1"/>
      <x:c r="M192" s="1"/>
      <x:c r="N192" s="1"/>
      <x:c r="O192" s="1"/>
      <x:c r="P192" s="1"/>
      <x:c r="Q192" s="1"/>
      <x:c r="R192" s="1"/>
      <x:c r="S192" s="1"/>
      <x:c r="T192" s="1"/>
    </x:row>
    <x:row r="193" ht="18" customHeight="1">
      <x:c r="A193" s="1"/>
      <x:c r="B193" s="1"/>
      <x:c r="C193" s="1"/>
      <x:c r="D193" s="1"/>
      <x:c r="E193" s="1"/>
      <x:c r="F193" s="1"/>
      <x:c r="G193" s="1"/>
      <x:c r="H193" s="1"/>
      <x:c r="I193" s="1"/>
      <x:c r="J193" s="1"/>
      <x:c r="K193" s="1"/>
      <x:c r="L193" s="1"/>
      <x:c r="M193" s="1"/>
      <x:c r="N193" s="1"/>
      <x:c r="O193" s="1"/>
      <x:c r="P193" s="1"/>
      <x:c r="Q193" s="1"/>
      <x:c r="R193" s="1"/>
      <x:c r="S193" s="1"/>
      <x:c r="T193" s="1"/>
    </x:row>
    <x:row r="194" ht="18" customHeight="1">
      <x:c r="A194" s="1"/>
      <x:c r="B194" s="1"/>
      <x:c r="C194" s="1"/>
      <x:c r="D194" s="1"/>
      <x:c r="E194" s="1"/>
      <x:c r="F194" s="1"/>
      <x:c r="G194" s="1"/>
      <x:c r="H194" s="1"/>
      <x:c r="I194" s="1"/>
      <x:c r="J194" s="1"/>
      <x:c r="K194" s="1"/>
      <x:c r="L194" s="1"/>
      <x:c r="M194" s="1"/>
      <x:c r="N194" s="1"/>
      <x:c r="O194" s="1"/>
      <x:c r="P194" s="1"/>
      <x:c r="Q194" s="1"/>
      <x:c r="R194" s="1"/>
      <x:c r="S194" s="1"/>
      <x:c r="T194" s="1"/>
    </x:row>
    <x:row r="195" ht="18" customHeight="1">
      <x:c r="A195" s="1"/>
      <x:c r="B195" s="1"/>
      <x:c r="C195" s="1"/>
      <x:c r="D195" s="1"/>
      <x:c r="E195" s="1"/>
      <x:c r="F195" s="1"/>
      <x:c r="G195" s="1"/>
      <x:c r="H195" s="1"/>
      <x:c r="I195" s="1"/>
      <x:c r="J195" s="1"/>
      <x:c r="K195" s="1"/>
      <x:c r="L195" s="1"/>
      <x:c r="M195" s="1"/>
      <x:c r="N195" s="1"/>
      <x:c r="O195" s="1"/>
      <x:c r="P195" s="1"/>
      <x:c r="Q195" s="1"/>
      <x:c r="R195" s="1"/>
      <x:c r="S195" s="1"/>
      <x:c r="T195" s="1"/>
    </x:row>
    <x:row r="196" ht="18" customHeight="1">
      <x:c r="A196" s="1"/>
      <x:c r="B196" s="1"/>
      <x:c r="C196" s="1"/>
      <x:c r="D196" s="1"/>
      <x:c r="E196" s="1"/>
      <x:c r="F196" s="1"/>
      <x:c r="G196" s="1"/>
      <x:c r="H196" s="1"/>
      <x:c r="I196" s="1"/>
      <x:c r="J196" s="1"/>
      <x:c r="K196" s="1"/>
      <x:c r="L196" s="1"/>
      <x:c r="M196" s="1"/>
      <x:c r="N196" s="1"/>
      <x:c r="O196" s="1"/>
      <x:c r="P196" s="1"/>
      <x:c r="Q196" s="1"/>
      <x:c r="R196" s="1"/>
      <x:c r="S196" s="1"/>
      <x:c r="T196" s="1"/>
    </x:row>
    <x:row r="197" ht="18" customHeight="1">
      <x:c r="A197" s="1"/>
      <x:c r="B197" s="1"/>
      <x:c r="C197" s="1"/>
      <x:c r="D197" s="1"/>
      <x:c r="E197" s="1"/>
      <x:c r="F197" s="1"/>
      <x:c r="G197" s="1"/>
      <x:c r="H197" s="1"/>
      <x:c r="I197" s="1"/>
      <x:c r="J197" s="1"/>
      <x:c r="K197" s="1"/>
      <x:c r="L197" s="1"/>
      <x:c r="M197" s="1"/>
      <x:c r="N197" s="1"/>
      <x:c r="O197" s="1"/>
      <x:c r="P197" s="1"/>
      <x:c r="Q197" s="1"/>
      <x:c r="R197" s="1"/>
      <x:c r="S197" s="1"/>
      <x:c r="T197" s="1"/>
    </x:row>
    <x:row r="198" ht="18" customHeight="1">
      <x:c r="A198" s="1"/>
      <x:c r="B198" s="1"/>
      <x:c r="C198" s="1"/>
      <x:c r="D198" s="1"/>
      <x:c r="E198" s="1"/>
      <x:c r="F198" s="1"/>
      <x:c r="G198" s="1"/>
      <x:c r="H198" s="1"/>
      <x:c r="I198" s="1"/>
      <x:c r="J198" s="1"/>
      <x:c r="K198" s="1"/>
      <x:c r="L198" s="1"/>
      <x:c r="M198" s="1"/>
      <x:c r="N198" s="1"/>
      <x:c r="O198" s="1"/>
      <x:c r="P198" s="1"/>
      <x:c r="Q198" s="1"/>
      <x:c r="R198" s="1"/>
      <x:c r="S198" s="1"/>
      <x:c r="T198" s="1"/>
    </x:row>
    <x:row r="199" ht="18" customHeight="1">
      <x:c r="A199" s="1"/>
      <x:c r="B199" s="1"/>
      <x:c r="C199" s="1"/>
      <x:c r="D199" s="1"/>
      <x:c r="E199" s="1"/>
      <x:c r="F199" s="1"/>
      <x:c r="G199" s="1"/>
      <x:c r="H199" s="1"/>
      <x:c r="I199" s="1"/>
      <x:c r="J199" s="1"/>
      <x:c r="K199" s="1"/>
      <x:c r="L199" s="1"/>
      <x:c r="M199" s="1"/>
      <x:c r="N199" s="1"/>
      <x:c r="O199" s="1"/>
      <x:c r="P199" s="1"/>
      <x:c r="Q199" s="1"/>
      <x:c r="R199" s="1"/>
      <x:c r="S199" s="1"/>
      <x:c r="T199" s="1"/>
    </x:row>
    <x:row r="200" ht="18" customHeight="1">
      <x:c r="A200" s="1"/>
      <x:c r="B200" s="1"/>
      <x:c r="C200" s="1"/>
      <x:c r="D200" s="1"/>
      <x:c r="E200" s="1"/>
      <x:c r="F200" s="1"/>
      <x:c r="G200" s="1"/>
      <x:c r="H200" s="1"/>
      <x:c r="I200" s="1"/>
      <x:c r="J200" s="1"/>
      <x:c r="K200" s="1"/>
      <x:c r="L200" s="1"/>
      <x:c r="M200" s="1"/>
      <x:c r="N200" s="1"/>
      <x:c r="O200" s="1"/>
      <x:c r="P200" s="1"/>
      <x:c r="Q200" s="1"/>
      <x:c r="R200" s="1"/>
      <x:c r="S200" s="1"/>
      <x:c r="T200" s="1"/>
    </x:row>
    <x:row r="201" ht="18" customHeight="1">
      <x:c r="A201" s="1"/>
      <x:c r="B201" s="1"/>
      <x:c r="C201" s="1"/>
      <x:c r="D201" s="1"/>
      <x:c r="E201" s="1"/>
      <x:c r="F201" s="1"/>
      <x:c r="G201" s="1"/>
      <x:c r="H201" s="1"/>
      <x:c r="I201" s="1"/>
      <x:c r="J201" s="1"/>
      <x:c r="K201" s="1"/>
      <x:c r="L201" s="1"/>
      <x:c r="M201" s="1"/>
      <x:c r="N201" s="1"/>
      <x:c r="O201" s="1"/>
      <x:c r="P201" s="1"/>
      <x:c r="Q201" s="1"/>
      <x:c r="R201" s="1"/>
      <x:c r="S201" s="1"/>
      <x:c r="T201" s="1"/>
    </x:row>
    <x:row r="202" ht="18" customHeight="1">
      <x:c r="A202" s="1"/>
      <x:c r="B202" s="1"/>
      <x:c r="C202" s="1"/>
      <x:c r="D202" s="1"/>
      <x:c r="E202" s="1"/>
      <x:c r="F202" s="1"/>
      <x:c r="G202" s="1"/>
      <x:c r="H202" s="1"/>
      <x:c r="I202" s="1"/>
      <x:c r="J202" s="1"/>
      <x:c r="K202" s="1"/>
      <x:c r="L202" s="1"/>
      <x:c r="M202" s="1"/>
      <x:c r="N202" s="1"/>
      <x:c r="O202" s="1"/>
      <x:c r="P202" s="1"/>
      <x:c r="Q202" s="1"/>
      <x:c r="R202" s="1"/>
      <x:c r="S202" s="1"/>
      <x:c r="T202" s="1"/>
    </x:row>
    <x:row r="203" ht="18" customHeight="1">
      <x:c r="A203" s="1"/>
      <x:c r="B203" s="1"/>
      <x:c r="C203" s="1"/>
      <x:c r="D203" s="1"/>
      <x:c r="E203" s="1"/>
      <x:c r="F203" s="1"/>
      <x:c r="G203" s="1"/>
      <x:c r="H203" s="1"/>
      <x:c r="I203" s="1"/>
      <x:c r="J203" s="1"/>
      <x:c r="K203" s="1"/>
      <x:c r="L203" s="1"/>
      <x:c r="M203" s="1"/>
      <x:c r="N203" s="1"/>
      <x:c r="O203" s="1"/>
      <x:c r="P203" s="1"/>
      <x:c r="Q203" s="1"/>
      <x:c r="R203" s="1"/>
      <x:c r="S203" s="1"/>
      <x:c r="T203" s="1"/>
    </x:row>
    <x:row r="204" ht="18" customHeight="1">
      <x:c r="A204" s="1"/>
      <x:c r="B204" s="1"/>
      <x:c r="C204" s="1"/>
      <x:c r="D204" s="1"/>
      <x:c r="E204" s="1"/>
      <x:c r="F204" s="1"/>
      <x:c r="G204" s="1"/>
      <x:c r="H204" s="1"/>
      <x:c r="I204" s="1"/>
      <x:c r="J204" s="1"/>
      <x:c r="K204" s="1"/>
      <x:c r="L204" s="1"/>
      <x:c r="M204" s="1"/>
      <x:c r="N204" s="1"/>
      <x:c r="O204" s="1"/>
      <x:c r="P204" s="1"/>
      <x:c r="Q204" s="1"/>
      <x:c r="R204" s="1"/>
      <x:c r="S204" s="1"/>
      <x:c r="T204" s="1"/>
    </x:row>
    <x:row r="205" ht="18" customHeight="1">
      <x:c r="A205" s="1"/>
      <x:c r="B205" s="1"/>
      <x:c r="C205" s="1"/>
      <x:c r="D205" s="1"/>
      <x:c r="E205" s="1"/>
      <x:c r="F205" s="1"/>
      <x:c r="G205" s="1"/>
      <x:c r="H205" s="1"/>
      <x:c r="I205" s="1"/>
      <x:c r="J205" s="1"/>
      <x:c r="K205" s="1"/>
      <x:c r="L205" s="1"/>
      <x:c r="M205" s="1"/>
      <x:c r="N205" s="1"/>
      <x:c r="O205" s="1"/>
      <x:c r="P205" s="1"/>
      <x:c r="Q205" s="1"/>
      <x:c r="R205" s="1"/>
      <x:c r="S205" s="1"/>
      <x:c r="T205" s="1"/>
    </x:row>
    <x:row r="206" ht="18" customHeight="1">
      <x:c r="A206" s="1"/>
      <x:c r="B206" s="1"/>
      <x:c r="C206" s="1"/>
      <x:c r="D206" s="1"/>
      <x:c r="E206" s="1"/>
      <x:c r="F206" s="1"/>
      <x:c r="G206" s="1"/>
      <x:c r="H206" s="1"/>
      <x:c r="I206" s="1"/>
      <x:c r="J206" s="1"/>
      <x:c r="K206" s="1"/>
      <x:c r="L206" s="1"/>
      <x:c r="M206" s="1"/>
      <x:c r="N206" s="1"/>
      <x:c r="O206" s="1"/>
      <x:c r="P206" s="1"/>
      <x:c r="Q206" s="1"/>
      <x:c r="R206" s="1"/>
      <x:c r="S206" s="1"/>
      <x:c r="T206" s="1"/>
    </x:row>
    <x:row r="207" ht="18" customHeight="1">
      <x:c r="A207" s="1"/>
      <x:c r="B207" s="1"/>
      <x:c r="C207" s="1"/>
      <x:c r="D207" s="1"/>
      <x:c r="E207" s="1"/>
      <x:c r="F207" s="1"/>
      <x:c r="G207" s="1"/>
      <x:c r="H207" s="1"/>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sheetData>
  <x:mergeCells>
    <x:mergeCell ref="B3:H3"/>
    <x:mergeCell ref="B4:H4"/>
  </x:mergeCell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6" hidden="0" customWidth="1"/>
    <x:col min="3" max="3" width="13" hidden="0" customWidth="1"/>
    <x:col min="4" max="4" width="43.0099983215332" hidden="0" customWidth="1"/>
    <x:col min="5" max="5" width="15" hidden="0" customWidth="1"/>
    <x:col min="6" max="6" width="13" hidden="0" customWidth="1"/>
    <x:col min="7" max="7" width="35.0099983215332" hidden="0" customWidth="1"/>
    <x:col min="8" max="8" width="10"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Routinen</x:v>
      </x:c>
      <x:c r="C3" s="5"/>
      <x:c r="D3" s="5"/>
      <x:c r="E3" s="5"/>
      <x:c r="F3" s="5"/>
      <x:c r="G3" s="5"/>
      <x:c r="H3" s="5"/>
      <x:c r="I3" s="1"/>
      <x:c r="J3" s="1"/>
      <x:c r="K3" s="1"/>
      <x:c r="L3" s="1"/>
      <x:c r="M3" s="1"/>
      <x:c r="N3" s="1"/>
      <x:c r="O3" s="1"/>
      <x:c r="P3" s="1"/>
      <x:c r="Q3" s="1"/>
      <x:c r="R3" s="1"/>
      <x:c r="S3" s="1"/>
      <x:c r="T3" s="1"/>
    </x:row>
    <x:row r="4" ht="20.017499923706055" customHeight="1">
      <x:c r="A4" s="1"/>
      <x:c r="B4" s="8" t="str">
        <x:v>Wiederkehrende Kontrollen · konkrete Einzelaufgaben gehören in „Offene Vorgänge“</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14" t="str">
        <x:v>Nr.</x:v>
      </x:c>
      <x:c r="C7" s="14" t="str">
        <x:v>Takt</x:v>
      </x:c>
      <x:c r="D7" s="14" t="str">
        <x:v>Routine</x:v>
      </x:c>
      <x:c r="E7" s="14" t="str">
        <x:v>Zeitpunkt</x:v>
      </x:c>
      <x:c r="F7" s="14" t="str">
        <x:v>Letzte Prüfung</x:v>
      </x:c>
      <x:c r="G7" s="14" t="str">
        <x:v>Ablage / System</x:v>
      </x:c>
      <x:c r="H7" s="14" t="str">
        <x:v>Aktiv</x:v>
      </x:c>
      <x:c r="I7" s="1"/>
      <x:c r="J7" s="1"/>
      <x:c r="K7" s="1"/>
      <x:c r="L7" s="1"/>
      <x:c r="M7" s="1"/>
      <x:c r="N7" s="1"/>
      <x:c r="O7" s="1"/>
      <x:c r="P7" s="1"/>
      <x:c r="Q7" s="1"/>
      <x:c r="R7" s="1"/>
      <x:c r="S7" s="1"/>
      <x:c r="T7" s="1"/>
    </x:row>
    <x:row r="8" ht="18" customHeight="1">
      <x:c r="A8" s="1"/>
      <x:c r="B8" s="19" t="n">
        <x:v>1</x:v>
      </x:c>
      <x:c r="C8" s="22" t="str">
        <x:v>wöchentlich</x:v>
      </x:c>
      <x:c r="D8" s="55" t="str">
        <x:v>Klassenbuch und Fehlzeiten prüfen</x:v>
      </x:c>
      <x:c r="E8" s="27" t="str">
        <x:v>Freitag</x:v>
      </x:c>
      <x:c r="F8" s="56" t="str"/>
      <x:c r="G8" s="27" t="str">
        <x:v>Klassenbuch</x:v>
      </x:c>
      <x:c r="H8" s="31" t="str">
        <x:v>ja</x:v>
      </x:c>
      <x:c r="I8" s="1"/>
      <x:c r="J8" s="1"/>
      <x:c r="K8" s="1"/>
      <x:c r="L8" s="1"/>
      <x:c r="M8" s="1"/>
      <x:c r="N8" s="1"/>
      <x:c r="O8" s="1"/>
      <x:c r="P8" s="1"/>
      <x:c r="Q8" s="1"/>
      <x:c r="R8" s="1"/>
      <x:c r="S8" s="1"/>
      <x:c r="T8" s="1"/>
    </x:row>
    <x:row r="9" ht="18" customHeight="1">
      <x:c r="A9" s="1"/>
      <x:c r="B9" s="19" t="n">
        <x:v>2</x:v>
      </x:c>
      <x:c r="C9" s="22" t="str">
        <x:v>wöchentlich</x:v>
      </x:c>
      <x:c r="D9" s="55" t="str">
        <x:v>Offene Entschuldigungen prüfen</x:v>
      </x:c>
      <x:c r="E9" s="27" t="str">
        <x:v>Freitag</x:v>
      </x:c>
      <x:c r="F9" s="56" t="str"/>
      <x:c r="G9" s="27" t="str">
        <x:v>Offene Vorgänge</x:v>
      </x:c>
      <x:c r="H9" s="31" t="str">
        <x:v>ja</x:v>
      </x:c>
      <x:c r="I9" s="1"/>
      <x:c r="J9" s="1"/>
      <x:c r="K9" s="1"/>
      <x:c r="L9" s="1"/>
      <x:c r="M9" s="1"/>
      <x:c r="N9" s="1"/>
      <x:c r="O9" s="1"/>
      <x:c r="P9" s="1"/>
      <x:c r="Q9" s="1"/>
      <x:c r="R9" s="1"/>
      <x:c r="S9" s="1"/>
      <x:c r="T9" s="1"/>
    </x:row>
    <x:row r="10" ht="18" customHeight="1">
      <x:c r="A10" s="1"/>
      <x:c r="B10" s="19" t="n">
        <x:v>3</x:v>
      </x:c>
      <x:c r="C10" s="22" t="str">
        <x:v>wöchentlich</x:v>
      </x:c>
      <x:c r="D10" s="55" t="str">
        <x:v>Nachrichten und Rückläufe prüfen</x:v>
      </x:c>
      <x:c r="E10" s="27" t="str">
        <x:v>Freitag</x:v>
      </x:c>
      <x:c r="F10" s="56" t="str"/>
      <x:c r="G10" s="27" t="str">
        <x:v>Eltern / Offene Vorgänge</x:v>
      </x:c>
      <x:c r="H10" s="31" t="str">
        <x:v>ja</x:v>
      </x:c>
      <x:c r="I10" s="1"/>
      <x:c r="J10" s="1"/>
      <x:c r="K10" s="1"/>
      <x:c r="L10" s="1"/>
      <x:c r="M10" s="1"/>
      <x:c r="N10" s="1"/>
      <x:c r="O10" s="1"/>
      <x:c r="P10" s="1"/>
      <x:c r="Q10" s="1"/>
      <x:c r="R10" s="1"/>
      <x:c r="S10" s="1"/>
      <x:c r="T10" s="1"/>
    </x:row>
    <x:row r="11" ht="18" customHeight="1">
      <x:c r="A11" s="1"/>
      <x:c r="B11" s="19" t="n">
        <x:v>4</x:v>
      </x:c>
      <x:c r="C11" s="22" t="str">
        <x:v>monatlich</x:v>
      </x:c>
      <x:c r="D11" s="55" t="str">
        <x:v>Austauschbedarf im Klassenteam prüfen</x:v>
      </x:c>
      <x:c r="E11" s="27" t="str">
        <x:v>Monatsende</x:v>
      </x:c>
      <x:c r="F11" s="56" t="str"/>
      <x:c r="G11" s="27" t="str">
        <x:v>Klassenteam</x:v>
      </x:c>
      <x:c r="H11" s="31" t="str">
        <x:v>ja</x:v>
      </x:c>
      <x:c r="I11" s="1"/>
      <x:c r="J11" s="1"/>
      <x:c r="K11" s="1"/>
      <x:c r="L11" s="1"/>
      <x:c r="M11" s="1"/>
      <x:c r="N11" s="1"/>
      <x:c r="O11" s="1"/>
      <x:c r="P11" s="1"/>
      <x:c r="Q11" s="1"/>
      <x:c r="R11" s="1"/>
      <x:c r="S11" s="1"/>
      <x:c r="T11" s="1"/>
    </x:row>
    <x:row r="12" ht="18" customHeight="1">
      <x:c r="A12" s="1"/>
      <x:c r="B12" s="19" t="n">
        <x:v>5</x:v>
      </x:c>
      <x:c r="C12" s="22" t="str">
        <x:v>quartalsweise</x:v>
      </x:c>
      <x:c r="D12" s="55" t="str">
        <x:v>Konferenz- und Zeugnisfristen prüfen</x:v>
      </x:c>
      <x:c r="E12" s="27" t="str">
        <x:v>Quartalsbeginn</x:v>
      </x:c>
      <x:c r="F12" s="56" t="str"/>
      <x:c r="G12" s="27" t="str">
        <x:v>Konferenzen</x:v>
      </x:c>
      <x:c r="H12" s="31" t="str">
        <x:v>ja</x:v>
      </x:c>
      <x:c r="I12" s="1"/>
      <x:c r="J12" s="1"/>
      <x:c r="K12" s="1"/>
      <x:c r="L12" s="1"/>
      <x:c r="M12" s="1"/>
      <x:c r="N12" s="1"/>
      <x:c r="O12" s="1"/>
      <x:c r="P12" s="1"/>
      <x:c r="Q12" s="1"/>
      <x:c r="R12" s="1"/>
      <x:c r="S12" s="1"/>
      <x:c r="T12" s="1"/>
    </x:row>
    <x:row r="13" ht="18" customHeight="1">
      <x:c r="A13" s="1"/>
      <x:c r="B13" s="19" t="n">
        <x:v>6</x:v>
      </x:c>
      <x:c r="C13" s="22"/>
      <x:c r="D13" s="55"/>
      <x:c r="E13" s="27"/>
      <x:c r="F13" s="56"/>
      <x:c r="G13" s="27"/>
      <x:c r="H13" s="31"/>
      <x:c r="I13" s="1"/>
      <x:c r="J13" s="1"/>
      <x:c r="K13" s="1"/>
      <x:c r="L13" s="1"/>
      <x:c r="M13" s="1"/>
      <x:c r="N13" s="1"/>
      <x:c r="O13" s="1"/>
      <x:c r="P13" s="1"/>
      <x:c r="Q13" s="1"/>
      <x:c r="R13" s="1"/>
      <x:c r="S13" s="1"/>
      <x:c r="T13" s="1"/>
    </x:row>
    <x:row r="14" ht="18" customHeight="1">
      <x:c r="A14" s="1"/>
      <x:c r="B14" s="19" t="n">
        <x:v>7</x:v>
      </x:c>
      <x:c r="C14" s="22"/>
      <x:c r="D14" s="55"/>
      <x:c r="E14" s="27"/>
      <x:c r="F14" s="56"/>
      <x:c r="G14" s="27"/>
      <x:c r="H14" s="31"/>
      <x:c r="I14" s="1"/>
      <x:c r="J14" s="1"/>
      <x:c r="K14" s="1"/>
      <x:c r="L14" s="1"/>
      <x:c r="M14" s="1"/>
      <x:c r="N14" s="1"/>
      <x:c r="O14" s="1"/>
      <x:c r="P14" s="1"/>
      <x:c r="Q14" s="1"/>
      <x:c r="R14" s="1"/>
      <x:c r="S14" s="1"/>
      <x:c r="T14" s="1"/>
    </x:row>
    <x:row r="15" ht="18" customHeight="1">
      <x:c r="A15" s="1"/>
      <x:c r="B15" s="19" t="n">
        <x:v>8</x:v>
      </x:c>
      <x:c r="C15" s="22"/>
      <x:c r="D15" s="55"/>
      <x:c r="E15" s="27"/>
      <x:c r="F15" s="56"/>
      <x:c r="G15" s="27"/>
      <x:c r="H15" s="31"/>
      <x:c r="I15" s="1"/>
      <x:c r="J15" s="1"/>
      <x:c r="K15" s="1"/>
      <x:c r="L15" s="1"/>
      <x:c r="M15" s="1"/>
      <x:c r="N15" s="1"/>
      <x:c r="O15" s="1"/>
      <x:c r="P15" s="1"/>
      <x:c r="Q15" s="1"/>
      <x:c r="R15" s="1"/>
      <x:c r="S15" s="1"/>
      <x:c r="T15" s="1"/>
    </x:row>
    <x:row r="16" ht="18" customHeight="1">
      <x:c r="A16" s="1"/>
      <x:c r="B16" s="19" t="n">
        <x:v>9</x:v>
      </x:c>
      <x:c r="C16" s="22"/>
      <x:c r="D16" s="55"/>
      <x:c r="E16" s="27"/>
      <x:c r="F16" s="56"/>
      <x:c r="G16" s="27"/>
      <x:c r="H16" s="31"/>
      <x:c r="I16" s="1"/>
      <x:c r="J16" s="1"/>
      <x:c r="K16" s="1"/>
      <x:c r="L16" s="1"/>
      <x:c r="M16" s="1"/>
      <x:c r="N16" s="1"/>
      <x:c r="O16" s="1"/>
      <x:c r="P16" s="1"/>
      <x:c r="Q16" s="1"/>
      <x:c r="R16" s="1"/>
      <x:c r="S16" s="1"/>
      <x:c r="T16" s="1"/>
    </x:row>
    <x:row r="17" ht="18" customHeight="1">
      <x:c r="A17" s="1"/>
      <x:c r="B17" s="19" t="n">
        <x:v>10</x:v>
      </x:c>
      <x:c r="C17" s="22"/>
      <x:c r="D17" s="55"/>
      <x:c r="E17" s="27"/>
      <x:c r="F17" s="56"/>
      <x:c r="G17" s="27"/>
      <x:c r="H17" s="31"/>
      <x:c r="I17" s="1"/>
      <x:c r="J17" s="1"/>
      <x:c r="K17" s="1"/>
      <x:c r="L17" s="1"/>
      <x:c r="M17" s="1"/>
      <x:c r="N17" s="1"/>
      <x:c r="O17" s="1"/>
      <x:c r="P17" s="1"/>
      <x:c r="Q17" s="1"/>
      <x:c r="R17" s="1"/>
      <x:c r="S17" s="1"/>
      <x:c r="T17" s="1"/>
    </x:row>
    <x:row r="18" ht="18" customHeight="1">
      <x:c r="A18" s="1"/>
      <x:c r="B18" s="19" t="n">
        <x:v>11</x:v>
      </x:c>
      <x:c r="C18" s="22"/>
      <x:c r="D18" s="55"/>
      <x:c r="E18" s="27"/>
      <x:c r="F18" s="56"/>
      <x:c r="G18" s="27"/>
      <x:c r="H18" s="31"/>
      <x:c r="I18" s="1"/>
      <x:c r="J18" s="1"/>
      <x:c r="K18" s="1"/>
      <x:c r="L18" s="1"/>
      <x:c r="M18" s="1"/>
      <x:c r="N18" s="1"/>
      <x:c r="O18" s="1"/>
      <x:c r="P18" s="1"/>
      <x:c r="Q18" s="1"/>
      <x:c r="R18" s="1"/>
      <x:c r="S18" s="1"/>
      <x:c r="T18" s="1"/>
    </x:row>
    <x:row r="19" ht="18" customHeight="1">
      <x:c r="A19" s="1"/>
      <x:c r="B19" s="19" t="n">
        <x:v>12</x:v>
      </x:c>
      <x:c r="C19" s="22"/>
      <x:c r="D19" s="55"/>
      <x:c r="E19" s="27"/>
      <x:c r="F19" s="56"/>
      <x:c r="G19" s="27"/>
      <x:c r="H19" s="31"/>
      <x:c r="I19" s="1"/>
      <x:c r="J19" s="1"/>
      <x:c r="K19" s="1"/>
      <x:c r="L19" s="1"/>
      <x:c r="M19" s="1"/>
      <x:c r="N19" s="1"/>
      <x:c r="O19" s="1"/>
      <x:c r="P19" s="1"/>
      <x:c r="Q19" s="1"/>
      <x:c r="R19" s="1"/>
      <x:c r="S19" s="1"/>
      <x:c r="T19" s="1"/>
    </x:row>
    <x:row r="20" ht="18" customHeight="1">
      <x:c r="A20" s="1"/>
      <x:c r="B20" s="19" t="n">
        <x:v>13</x:v>
      </x:c>
      <x:c r="C20" s="22"/>
      <x:c r="D20" s="55"/>
      <x:c r="E20" s="27"/>
      <x:c r="F20" s="56"/>
      <x:c r="G20" s="27"/>
      <x:c r="H20" s="31"/>
      <x:c r="I20" s="1"/>
      <x:c r="J20" s="1"/>
      <x:c r="K20" s="1"/>
      <x:c r="L20" s="1"/>
      <x:c r="M20" s="1"/>
      <x:c r="N20" s="1"/>
      <x:c r="O20" s="1"/>
      <x:c r="P20" s="1"/>
      <x:c r="Q20" s="1"/>
      <x:c r="R20" s="1"/>
      <x:c r="S20" s="1"/>
      <x:c r="T20" s="1"/>
    </x:row>
    <x:row r="21" ht="18" customHeight="1">
      <x:c r="A21" s="1"/>
      <x:c r="B21" s="19" t="n">
        <x:v>14</x:v>
      </x:c>
      <x:c r="C21" s="22"/>
      <x:c r="D21" s="55"/>
      <x:c r="E21" s="27"/>
      <x:c r="F21" s="56"/>
      <x:c r="G21" s="27"/>
      <x:c r="H21" s="31"/>
      <x:c r="I21" s="1"/>
      <x:c r="J21" s="1"/>
      <x:c r="K21" s="1"/>
      <x:c r="L21" s="1"/>
      <x:c r="M21" s="1"/>
      <x:c r="N21" s="1"/>
      <x:c r="O21" s="1"/>
      <x:c r="P21" s="1"/>
      <x:c r="Q21" s="1"/>
      <x:c r="R21" s="1"/>
      <x:c r="S21" s="1"/>
      <x:c r="T21" s="1"/>
    </x:row>
    <x:row r="22" ht="18" customHeight="1">
      <x:c r="A22" s="1"/>
      <x:c r="B22" s="19" t="n">
        <x:v>15</x:v>
      </x:c>
      <x:c r="C22" s="22"/>
      <x:c r="D22" s="55"/>
      <x:c r="E22" s="27"/>
      <x:c r="F22" s="56"/>
      <x:c r="G22" s="27"/>
      <x:c r="H22" s="31"/>
      <x:c r="I22" s="1"/>
      <x:c r="J22" s="1"/>
      <x:c r="K22" s="1"/>
      <x:c r="L22" s="1"/>
      <x:c r="M22" s="1"/>
      <x:c r="N22" s="1"/>
      <x:c r="O22" s="1"/>
      <x:c r="P22" s="1"/>
      <x:c r="Q22" s="1"/>
      <x:c r="R22" s="1"/>
      <x:c r="S22" s="1"/>
      <x:c r="T22" s="1"/>
    </x:row>
    <x:row r="23" ht="18" customHeight="1">
      <x:c r="A23" s="1"/>
      <x:c r="B23" s="19" t="n">
        <x:v>16</x:v>
      </x:c>
      <x:c r="C23" s="22"/>
      <x:c r="D23" s="55"/>
      <x:c r="E23" s="27"/>
      <x:c r="F23" s="56"/>
      <x:c r="G23" s="27"/>
      <x:c r="H23" s="31"/>
      <x:c r="I23" s="1"/>
      <x:c r="J23" s="1"/>
      <x:c r="K23" s="1"/>
      <x:c r="L23" s="1"/>
      <x:c r="M23" s="1"/>
      <x:c r="N23" s="1"/>
      <x:c r="O23" s="1"/>
      <x:c r="P23" s="1"/>
      <x:c r="Q23" s="1"/>
      <x:c r="R23" s="1"/>
      <x:c r="S23" s="1"/>
      <x:c r="T23" s="1"/>
    </x:row>
    <x:row r="24" ht="18" customHeight="1">
      <x:c r="A24" s="1"/>
      <x:c r="B24" s="19" t="n">
        <x:v>17</x:v>
      </x:c>
      <x:c r="C24" s="22"/>
      <x:c r="D24" s="55"/>
      <x:c r="E24" s="27"/>
      <x:c r="F24" s="56"/>
      <x:c r="G24" s="27"/>
      <x:c r="H24" s="31"/>
      <x:c r="I24" s="1"/>
      <x:c r="J24" s="1"/>
      <x:c r="K24" s="1"/>
      <x:c r="L24" s="1"/>
      <x:c r="M24" s="1"/>
      <x:c r="N24" s="1"/>
      <x:c r="O24" s="1"/>
      <x:c r="P24" s="1"/>
      <x:c r="Q24" s="1"/>
      <x:c r="R24" s="1"/>
      <x:c r="S24" s="1"/>
      <x:c r="T24" s="1"/>
    </x:row>
    <x:row r="25" ht="18" customHeight="1">
      <x:c r="A25" s="1"/>
      <x:c r="B25" s="19" t="n">
        <x:v>18</x:v>
      </x:c>
      <x:c r="C25" s="22"/>
      <x:c r="D25" s="55"/>
      <x:c r="E25" s="27"/>
      <x:c r="F25" s="56"/>
      <x:c r="G25" s="27"/>
      <x:c r="H25" s="31"/>
      <x:c r="I25" s="1"/>
      <x:c r="J25" s="1"/>
      <x:c r="K25" s="1"/>
      <x:c r="L25" s="1"/>
      <x:c r="M25" s="1"/>
      <x:c r="N25" s="1"/>
      <x:c r="O25" s="1"/>
      <x:c r="P25" s="1"/>
      <x:c r="Q25" s="1"/>
      <x:c r="R25" s="1"/>
      <x:c r="S25" s="1"/>
      <x:c r="T25" s="1"/>
    </x:row>
    <x:row r="26" ht="18" customHeight="1">
      <x:c r="A26" s="1"/>
      <x:c r="B26" s="19" t="n">
        <x:v>19</x:v>
      </x:c>
      <x:c r="C26" s="22"/>
      <x:c r="D26" s="55"/>
      <x:c r="E26" s="27"/>
      <x:c r="F26" s="56"/>
      <x:c r="G26" s="27"/>
      <x:c r="H26" s="31"/>
      <x:c r="I26" s="1"/>
      <x:c r="J26" s="1"/>
      <x:c r="K26" s="1"/>
      <x:c r="L26" s="1"/>
      <x:c r="M26" s="1"/>
      <x:c r="N26" s="1"/>
      <x:c r="O26" s="1"/>
      <x:c r="P26" s="1"/>
      <x:c r="Q26" s="1"/>
      <x:c r="R26" s="1"/>
      <x:c r="S26" s="1"/>
      <x:c r="T26" s="1"/>
    </x:row>
    <x:row r="27" ht="18" customHeight="1">
      <x:c r="A27" s="1"/>
      <x:c r="B27" s="19" t="n">
        <x:v>20</x:v>
      </x:c>
      <x:c r="C27" s="22"/>
      <x:c r="D27" s="55"/>
      <x:c r="E27" s="27"/>
      <x:c r="F27" s="56"/>
      <x:c r="G27" s="27"/>
      <x:c r="H27" s="31"/>
      <x:c r="I27" s="1"/>
      <x:c r="J27" s="1"/>
      <x:c r="K27" s="1"/>
      <x:c r="L27" s="1"/>
      <x:c r="M27" s="1"/>
      <x:c r="N27" s="1"/>
      <x:c r="O27" s="1"/>
      <x:c r="P27" s="1"/>
      <x:c r="Q27" s="1"/>
      <x:c r="R27" s="1"/>
      <x:c r="S27" s="1"/>
      <x:c r="T27" s="1"/>
    </x:row>
    <x:row r="28" ht="18" customHeight="1">
      <x:c r="A28" s="1"/>
      <x:c r="B28" s="19" t="n">
        <x:v>21</x:v>
      </x:c>
      <x:c r="C28" s="22"/>
      <x:c r="D28" s="55"/>
      <x:c r="E28" s="27"/>
      <x:c r="F28" s="56"/>
      <x:c r="G28" s="27"/>
      <x:c r="H28" s="31"/>
      <x:c r="I28" s="1"/>
      <x:c r="J28" s="1"/>
      <x:c r="K28" s="1"/>
      <x:c r="L28" s="1"/>
      <x:c r="M28" s="1"/>
      <x:c r="N28" s="1"/>
      <x:c r="O28" s="1"/>
      <x:c r="P28" s="1"/>
      <x:c r="Q28" s="1"/>
      <x:c r="R28" s="1"/>
      <x:c r="S28" s="1"/>
      <x:c r="T28" s="1"/>
    </x:row>
    <x:row r="29" ht="18" customHeight="1">
      <x:c r="A29" s="1"/>
      <x:c r="B29" s="19" t="n">
        <x:v>22</x:v>
      </x:c>
      <x:c r="C29" s="22"/>
      <x:c r="D29" s="55"/>
      <x:c r="E29" s="27"/>
      <x:c r="F29" s="56"/>
      <x:c r="G29" s="27"/>
      <x:c r="H29" s="31"/>
      <x:c r="I29" s="1"/>
      <x:c r="J29" s="1"/>
      <x:c r="K29" s="1"/>
      <x:c r="L29" s="1"/>
      <x:c r="M29" s="1"/>
      <x:c r="N29" s="1"/>
      <x:c r="O29" s="1"/>
      <x:c r="P29" s="1"/>
      <x:c r="Q29" s="1"/>
      <x:c r="R29" s="1"/>
      <x:c r="S29" s="1"/>
      <x:c r="T29" s="1"/>
    </x:row>
    <x:row r="30" ht="18" customHeight="1">
      <x:c r="A30" s="1"/>
      <x:c r="B30" s="19" t="n">
        <x:v>23</x:v>
      </x:c>
      <x:c r="C30" s="22"/>
      <x:c r="D30" s="55"/>
      <x:c r="E30" s="27"/>
      <x:c r="F30" s="56"/>
      <x:c r="G30" s="27"/>
      <x:c r="H30" s="31"/>
      <x:c r="I30" s="1"/>
      <x:c r="J30" s="1"/>
      <x:c r="K30" s="1"/>
      <x:c r="L30" s="1"/>
      <x:c r="M30" s="1"/>
      <x:c r="N30" s="1"/>
      <x:c r="O30" s="1"/>
      <x:c r="P30" s="1"/>
      <x:c r="Q30" s="1"/>
      <x:c r="R30" s="1"/>
      <x:c r="S30" s="1"/>
      <x:c r="T30" s="1"/>
    </x:row>
    <x:row r="31" ht="18" customHeight="1">
      <x:c r="A31" s="1"/>
      <x:c r="B31" s="19" t="n">
        <x:v>24</x:v>
      </x:c>
      <x:c r="C31" s="22"/>
      <x:c r="D31" s="55"/>
      <x:c r="E31" s="27"/>
      <x:c r="F31" s="56"/>
      <x:c r="G31" s="27"/>
      <x:c r="H31" s="31"/>
      <x:c r="I31" s="1"/>
      <x:c r="J31" s="1"/>
      <x:c r="K31" s="1"/>
      <x:c r="L31" s="1"/>
      <x:c r="M31" s="1"/>
      <x:c r="N31" s="1"/>
      <x:c r="O31" s="1"/>
      <x:c r="P31" s="1"/>
      <x:c r="Q31" s="1"/>
      <x:c r="R31" s="1"/>
      <x:c r="S31" s="1"/>
      <x:c r="T31" s="1"/>
    </x:row>
    <x:row r="32" ht="18" customHeight="1">
      <x:c r="A32" s="1"/>
      <x:c r="B32" s="19" t="n">
        <x:v>25</x:v>
      </x:c>
      <x:c r="C32" s="22"/>
      <x:c r="D32" s="55"/>
      <x:c r="E32" s="27"/>
      <x:c r="F32" s="56"/>
      <x:c r="G32" s="27"/>
      <x:c r="H32" s="31"/>
      <x:c r="I32" s="1"/>
      <x:c r="J32" s="1"/>
      <x:c r="K32" s="1"/>
      <x:c r="L32" s="1"/>
      <x:c r="M32" s="1"/>
      <x:c r="N32" s="1"/>
      <x:c r="O32" s="1"/>
      <x:c r="P32" s="1"/>
      <x:c r="Q32" s="1"/>
      <x:c r="R32" s="1"/>
      <x:c r="S32" s="1"/>
      <x:c r="T32" s="1"/>
    </x:row>
    <x:row r="33" ht="18" customHeight="1">
      <x:c r="A33" s="1"/>
      <x:c r="B33" s="19" t="n">
        <x:v>26</x:v>
      </x:c>
      <x:c r="C33" s="22"/>
      <x:c r="D33" s="55"/>
      <x:c r="E33" s="27"/>
      <x:c r="F33" s="56"/>
      <x:c r="G33" s="27"/>
      <x:c r="H33" s="31"/>
      <x:c r="I33" s="1"/>
      <x:c r="J33" s="1"/>
      <x:c r="K33" s="1"/>
      <x:c r="L33" s="1"/>
      <x:c r="M33" s="1"/>
      <x:c r="N33" s="1"/>
      <x:c r="O33" s="1"/>
      <x:c r="P33" s="1"/>
      <x:c r="Q33" s="1"/>
      <x:c r="R33" s="1"/>
      <x:c r="S33" s="1"/>
      <x:c r="T33" s="1"/>
    </x:row>
    <x:row r="34" ht="18" customHeight="1">
      <x:c r="A34" s="1"/>
      <x:c r="B34" s="19" t="n">
        <x:v>27</x:v>
      </x:c>
      <x:c r="C34" s="22"/>
      <x:c r="D34" s="55"/>
      <x:c r="E34" s="27"/>
      <x:c r="F34" s="56"/>
      <x:c r="G34" s="27"/>
      <x:c r="H34" s="31"/>
      <x:c r="I34" s="1"/>
      <x:c r="J34" s="1"/>
      <x:c r="K34" s="1"/>
      <x:c r="L34" s="1"/>
      <x:c r="M34" s="1"/>
      <x:c r="N34" s="1"/>
      <x:c r="O34" s="1"/>
      <x:c r="P34" s="1"/>
      <x:c r="Q34" s="1"/>
      <x:c r="R34" s="1"/>
      <x:c r="S34" s="1"/>
      <x:c r="T34" s="1"/>
    </x:row>
    <x:row r="35" ht="18" customHeight="1">
      <x:c r="A35" s="1"/>
      <x:c r="B35" s="19" t="n">
        <x:v>28</x:v>
      </x:c>
      <x:c r="C35" s="22"/>
      <x:c r="D35" s="55"/>
      <x:c r="E35" s="27"/>
      <x:c r="F35" s="56"/>
      <x:c r="G35" s="27"/>
      <x:c r="H35" s="31"/>
      <x:c r="I35" s="1"/>
      <x:c r="J35" s="1"/>
      <x:c r="K35" s="1"/>
      <x:c r="L35" s="1"/>
      <x:c r="M35" s="1"/>
      <x:c r="N35" s="1"/>
      <x:c r="O35" s="1"/>
      <x:c r="P35" s="1"/>
      <x:c r="Q35" s="1"/>
      <x:c r="R35" s="1"/>
      <x:c r="S35" s="1"/>
      <x:c r="T35" s="1"/>
    </x:row>
    <x:row r="36" ht="18" customHeight="1">
      <x:c r="A36" s="1"/>
      <x:c r="B36" s="19" t="n">
        <x:v>29</x:v>
      </x:c>
      <x:c r="C36" s="22"/>
      <x:c r="D36" s="55"/>
      <x:c r="E36" s="27"/>
      <x:c r="F36" s="56"/>
      <x:c r="G36" s="27"/>
      <x:c r="H36" s="31"/>
      <x:c r="I36" s="1"/>
      <x:c r="J36" s="1"/>
      <x:c r="K36" s="1"/>
      <x:c r="L36" s="1"/>
      <x:c r="M36" s="1"/>
      <x:c r="N36" s="1"/>
      <x:c r="O36" s="1"/>
      <x:c r="P36" s="1"/>
      <x:c r="Q36" s="1"/>
      <x:c r="R36" s="1"/>
      <x:c r="S36" s="1"/>
      <x:c r="T36" s="1"/>
    </x:row>
    <x:row r="37" ht="18" customHeight="1">
      <x:c r="A37" s="1"/>
      <x:c r="B37" s="19" t="n">
        <x:v>30</x:v>
      </x:c>
      <x:c r="C37" s="22"/>
      <x:c r="D37" s="55"/>
      <x:c r="E37" s="27"/>
      <x:c r="F37" s="56"/>
      <x:c r="G37" s="27"/>
      <x:c r="H37" s="31"/>
      <x:c r="I37" s="1"/>
      <x:c r="J37" s="1"/>
      <x:c r="K37" s="1"/>
      <x:c r="L37" s="1"/>
      <x:c r="M37" s="1"/>
      <x:c r="N37" s="1"/>
      <x:c r="O37" s="1"/>
      <x:c r="P37" s="1"/>
      <x:c r="Q37" s="1"/>
      <x:c r="R37" s="1"/>
      <x:c r="S37" s="1"/>
      <x:c r="T37" s="1"/>
    </x:row>
    <x:row r="38" ht="18" customHeight="1">
      <x:c r="A38" s="1"/>
      <x:c r="B38" s="19" t="n">
        <x:v>31</x:v>
      </x:c>
      <x:c r="C38" s="22"/>
      <x:c r="D38" s="55"/>
      <x:c r="E38" s="27"/>
      <x:c r="F38" s="56"/>
      <x:c r="G38" s="27"/>
      <x:c r="H38" s="31"/>
      <x:c r="I38" s="1"/>
      <x:c r="J38" s="1"/>
      <x:c r="K38" s="1"/>
      <x:c r="L38" s="1"/>
      <x:c r="M38" s="1"/>
      <x:c r="N38" s="1"/>
      <x:c r="O38" s="1"/>
      <x:c r="P38" s="1"/>
      <x:c r="Q38" s="1"/>
      <x:c r="R38" s="1"/>
      <x:c r="S38" s="1"/>
      <x:c r="T38" s="1"/>
    </x:row>
    <x:row r="39" ht="18" customHeight="1">
      <x:c r="A39" s="1"/>
      <x:c r="B39" s="19" t="n">
        <x:v>32</x:v>
      </x:c>
      <x:c r="C39" s="22"/>
      <x:c r="D39" s="55"/>
      <x:c r="E39" s="27"/>
      <x:c r="F39" s="56"/>
      <x:c r="G39" s="27"/>
      <x:c r="H39" s="31"/>
      <x:c r="I39" s="1"/>
      <x:c r="J39" s="1"/>
      <x:c r="K39" s="1"/>
      <x:c r="L39" s="1"/>
      <x:c r="M39" s="1"/>
      <x:c r="N39" s="1"/>
      <x:c r="O39" s="1"/>
      <x:c r="P39" s="1"/>
      <x:c r="Q39" s="1"/>
      <x:c r="R39" s="1"/>
      <x:c r="S39" s="1"/>
      <x:c r="T39" s="1"/>
    </x:row>
    <x:row r="40" ht="18" customHeight="1">
      <x:c r="A40" s="1"/>
      <x:c r="B40" s="19" t="n">
        <x:v>33</x:v>
      </x:c>
      <x:c r="C40" s="22"/>
      <x:c r="D40" s="55"/>
      <x:c r="E40" s="27"/>
      <x:c r="F40" s="56"/>
      <x:c r="G40" s="27"/>
      <x:c r="H40" s="31"/>
      <x:c r="I40" s="1"/>
      <x:c r="J40" s="1"/>
      <x:c r="K40" s="1"/>
      <x:c r="L40" s="1"/>
      <x:c r="M40" s="1"/>
      <x:c r="N40" s="1"/>
      <x:c r="O40" s="1"/>
      <x:c r="P40" s="1"/>
      <x:c r="Q40" s="1"/>
      <x:c r="R40" s="1"/>
      <x:c r="S40" s="1"/>
      <x:c r="T40" s="1"/>
    </x:row>
    <x:row r="41" ht="18" customHeight="1">
      <x:c r="A41" s="1"/>
      <x:c r="B41" s="19" t="n">
        <x:v>34</x:v>
      </x:c>
      <x:c r="C41" s="22"/>
      <x:c r="D41" s="55"/>
      <x:c r="E41" s="27"/>
      <x:c r="F41" s="56"/>
      <x:c r="G41" s="27"/>
      <x:c r="H41" s="31"/>
      <x:c r="I41" s="1"/>
      <x:c r="J41" s="1"/>
      <x:c r="K41" s="1"/>
      <x:c r="L41" s="1"/>
      <x:c r="M41" s="1"/>
      <x:c r="N41" s="1"/>
      <x:c r="O41" s="1"/>
      <x:c r="P41" s="1"/>
      <x:c r="Q41" s="1"/>
      <x:c r="R41" s="1"/>
      <x:c r="S41" s="1"/>
      <x:c r="T41" s="1"/>
    </x:row>
    <x:row r="42" ht="18" customHeight="1">
      <x:c r="A42" s="1"/>
      <x:c r="B42" s="19" t="n">
        <x:v>35</x:v>
      </x:c>
      <x:c r="C42" s="22"/>
      <x:c r="D42" s="55"/>
      <x:c r="E42" s="27"/>
      <x:c r="F42" s="56"/>
      <x:c r="G42" s="27"/>
      <x:c r="H42" s="31"/>
      <x:c r="I42" s="1"/>
      <x:c r="J42" s="1"/>
      <x:c r="K42" s="1"/>
      <x:c r="L42" s="1"/>
      <x:c r="M42" s="1"/>
      <x:c r="N42" s="1"/>
      <x:c r="O42" s="1"/>
      <x:c r="P42" s="1"/>
      <x:c r="Q42" s="1"/>
      <x:c r="R42" s="1"/>
      <x:c r="S42" s="1"/>
      <x:c r="T42" s="1"/>
    </x:row>
    <x:row r="43" ht="18" customHeight="1">
      <x:c r="A43" s="1"/>
      <x:c r="B43" s="19" t="n">
        <x:v>36</x:v>
      </x:c>
      <x:c r="C43" s="22"/>
      <x:c r="D43" s="55"/>
      <x:c r="E43" s="27"/>
      <x:c r="F43" s="56"/>
      <x:c r="G43" s="27"/>
      <x:c r="H43" s="31"/>
      <x:c r="I43" s="1"/>
      <x:c r="J43" s="1"/>
      <x:c r="K43" s="1"/>
      <x:c r="L43" s="1"/>
      <x:c r="M43" s="1"/>
      <x:c r="N43" s="1"/>
      <x:c r="O43" s="1"/>
      <x:c r="P43" s="1"/>
      <x:c r="Q43" s="1"/>
      <x:c r="R43" s="1"/>
      <x:c r="S43" s="1"/>
      <x:c r="T43" s="1"/>
    </x:row>
    <x:row r="44" ht="18" customHeight="1">
      <x:c r="A44" s="1"/>
      <x:c r="B44" s="19" t="n">
        <x:v>37</x:v>
      </x:c>
      <x:c r="C44" s="22"/>
      <x:c r="D44" s="55"/>
      <x:c r="E44" s="27"/>
      <x:c r="F44" s="56"/>
      <x:c r="G44" s="27"/>
      <x:c r="H44" s="31"/>
      <x:c r="I44" s="1"/>
      <x:c r="J44" s="1"/>
      <x:c r="K44" s="1"/>
      <x:c r="L44" s="1"/>
      <x:c r="M44" s="1"/>
      <x:c r="N44" s="1"/>
      <x:c r="O44" s="1"/>
      <x:c r="P44" s="1"/>
      <x:c r="Q44" s="1"/>
      <x:c r="R44" s="1"/>
      <x:c r="S44" s="1"/>
      <x:c r="T44" s="1"/>
    </x:row>
    <x:row r="45" ht="18" customHeight="1">
      <x:c r="A45" s="1"/>
      <x:c r="B45" s="19" t="n">
        <x:v>38</x:v>
      </x:c>
      <x:c r="C45" s="22"/>
      <x:c r="D45" s="55"/>
      <x:c r="E45" s="27"/>
      <x:c r="F45" s="56"/>
      <x:c r="G45" s="27"/>
      <x:c r="H45" s="31"/>
      <x:c r="I45" s="1"/>
      <x:c r="J45" s="1"/>
      <x:c r="K45" s="1"/>
      <x:c r="L45" s="1"/>
      <x:c r="M45" s="1"/>
      <x:c r="N45" s="1"/>
      <x:c r="O45" s="1"/>
      <x:c r="P45" s="1"/>
      <x:c r="Q45" s="1"/>
      <x:c r="R45" s="1"/>
      <x:c r="S45" s="1"/>
      <x:c r="T45" s="1"/>
    </x:row>
    <x:row r="46" ht="18" customHeight="1">
      <x:c r="A46" s="1"/>
      <x:c r="B46" s="19" t="n">
        <x:v>39</x:v>
      </x:c>
      <x:c r="C46" s="22"/>
      <x:c r="D46" s="55"/>
      <x:c r="E46" s="27"/>
      <x:c r="F46" s="56"/>
      <x:c r="G46" s="27"/>
      <x:c r="H46" s="31"/>
      <x:c r="I46" s="1"/>
      <x:c r="J46" s="1"/>
      <x:c r="K46" s="1"/>
      <x:c r="L46" s="1"/>
      <x:c r="M46" s="1"/>
      <x:c r="N46" s="1"/>
      <x:c r="O46" s="1"/>
      <x:c r="P46" s="1"/>
      <x:c r="Q46" s="1"/>
      <x:c r="R46" s="1"/>
      <x:c r="S46" s="1"/>
      <x:c r="T46" s="1"/>
    </x:row>
    <x:row r="47" ht="18" customHeight="1">
      <x:c r="A47" s="1"/>
      <x:c r="B47" s="19" t="n">
        <x:v>40</x:v>
      </x:c>
      <x:c r="C47" s="22"/>
      <x:c r="D47" s="55"/>
      <x:c r="E47" s="27"/>
      <x:c r="F47" s="56"/>
      <x:c r="G47" s="27"/>
      <x:c r="H47" s="31"/>
      <x:c r="I47" s="1"/>
      <x:c r="J47" s="1"/>
      <x:c r="K47" s="1"/>
      <x:c r="L47" s="1"/>
      <x:c r="M47" s="1"/>
      <x:c r="N47" s="1"/>
      <x:c r="O47" s="1"/>
      <x:c r="P47" s="1"/>
      <x:c r="Q47" s="1"/>
      <x:c r="R47" s="1"/>
      <x:c r="S47" s="1"/>
      <x:c r="T47" s="1"/>
    </x:row>
    <x:row r="48" ht="18" customHeight="1">
      <x:c r="A48" s="1"/>
      <x:c r="B48" s="19" t="n">
        <x:v>41</x:v>
      </x:c>
      <x:c r="C48" s="22"/>
      <x:c r="D48" s="55"/>
      <x:c r="E48" s="27"/>
      <x:c r="F48" s="56"/>
      <x:c r="G48" s="27"/>
      <x:c r="H48" s="31"/>
      <x:c r="I48" s="1"/>
      <x:c r="J48" s="1"/>
      <x:c r="K48" s="1"/>
      <x:c r="L48" s="1"/>
      <x:c r="M48" s="1"/>
      <x:c r="N48" s="1"/>
      <x:c r="O48" s="1"/>
      <x:c r="P48" s="1"/>
      <x:c r="Q48" s="1"/>
      <x:c r="R48" s="1"/>
      <x:c r="S48" s="1"/>
      <x:c r="T48" s="1"/>
    </x:row>
    <x:row r="49" ht="18" customHeight="1">
      <x:c r="A49" s="1"/>
      <x:c r="B49" s="19" t="n">
        <x:v>42</x:v>
      </x:c>
      <x:c r="C49" s="22"/>
      <x:c r="D49" s="55"/>
      <x:c r="E49" s="27"/>
      <x:c r="F49" s="56"/>
      <x:c r="G49" s="27"/>
      <x:c r="H49" s="31"/>
      <x:c r="I49" s="1"/>
      <x:c r="J49" s="1"/>
      <x:c r="K49" s="1"/>
      <x:c r="L49" s="1"/>
      <x:c r="M49" s="1"/>
      <x:c r="N49" s="1"/>
      <x:c r="O49" s="1"/>
      <x:c r="P49" s="1"/>
      <x:c r="Q49" s="1"/>
      <x:c r="R49" s="1"/>
      <x:c r="S49" s="1"/>
      <x:c r="T49" s="1"/>
    </x:row>
    <x:row r="50" ht="18" customHeight="1">
      <x:c r="A50" s="1"/>
      <x:c r="B50" s="19" t="n">
        <x:v>43</x:v>
      </x:c>
      <x:c r="C50" s="22"/>
      <x:c r="D50" s="55"/>
      <x:c r="E50" s="27"/>
      <x:c r="F50" s="56"/>
      <x:c r="G50" s="27"/>
      <x:c r="H50" s="31"/>
      <x:c r="I50" s="1"/>
      <x:c r="J50" s="1"/>
      <x:c r="K50" s="1"/>
      <x:c r="L50" s="1"/>
      <x:c r="M50" s="1"/>
      <x:c r="N50" s="1"/>
      <x:c r="O50" s="1"/>
      <x:c r="P50" s="1"/>
      <x:c r="Q50" s="1"/>
      <x:c r="R50" s="1"/>
      <x:c r="S50" s="1"/>
      <x:c r="T50" s="1"/>
    </x:row>
    <x:row r="51" ht="18" customHeight="1">
      <x:c r="A51" s="1"/>
      <x:c r="B51" s="19" t="n">
        <x:v>44</x:v>
      </x:c>
      <x:c r="C51" s="22"/>
      <x:c r="D51" s="55"/>
      <x:c r="E51" s="27"/>
      <x:c r="F51" s="56"/>
      <x:c r="G51" s="27"/>
      <x:c r="H51" s="31"/>
      <x:c r="I51" s="1"/>
      <x:c r="J51" s="1"/>
      <x:c r="K51" s="1"/>
      <x:c r="L51" s="1"/>
      <x:c r="M51" s="1"/>
      <x:c r="N51" s="1"/>
      <x:c r="O51" s="1"/>
      <x:c r="P51" s="1"/>
      <x:c r="Q51" s="1"/>
      <x:c r="R51" s="1"/>
      <x:c r="S51" s="1"/>
      <x:c r="T51" s="1"/>
    </x:row>
    <x:row r="52" ht="18" customHeight="1">
      <x:c r="A52" s="1"/>
      <x:c r="B52" s="19" t="n">
        <x:v>45</x:v>
      </x:c>
      <x:c r="C52" s="22"/>
      <x:c r="D52" s="55"/>
      <x:c r="E52" s="27"/>
      <x:c r="F52" s="56"/>
      <x:c r="G52" s="27"/>
      <x:c r="H52" s="31"/>
      <x:c r="I52" s="1"/>
      <x:c r="J52" s="1"/>
      <x:c r="K52" s="1"/>
      <x:c r="L52" s="1"/>
      <x:c r="M52" s="1"/>
      <x:c r="N52" s="1"/>
      <x:c r="O52" s="1"/>
      <x:c r="P52" s="1"/>
      <x:c r="Q52" s="1"/>
      <x:c r="R52" s="1"/>
      <x:c r="S52" s="1"/>
      <x:c r="T52" s="1"/>
    </x:row>
    <x:row r="53" ht="18" customHeight="1">
      <x:c r="A53" s="1"/>
      <x:c r="B53" s="19" t="n">
        <x:v>46</x:v>
      </x:c>
      <x:c r="C53" s="22"/>
      <x:c r="D53" s="55"/>
      <x:c r="E53" s="27"/>
      <x:c r="F53" s="56"/>
      <x:c r="G53" s="27"/>
      <x:c r="H53" s="31"/>
      <x:c r="I53" s="1"/>
      <x:c r="J53" s="1"/>
      <x:c r="K53" s="1"/>
      <x:c r="L53" s="1"/>
      <x:c r="M53" s="1"/>
      <x:c r="N53" s="1"/>
      <x:c r="O53" s="1"/>
      <x:c r="P53" s="1"/>
      <x:c r="Q53" s="1"/>
      <x:c r="R53" s="1"/>
      <x:c r="S53" s="1"/>
      <x:c r="T53" s="1"/>
    </x:row>
    <x:row r="54" ht="18" customHeight="1">
      <x:c r="A54" s="1"/>
      <x:c r="B54" s="19" t="n">
        <x:v>47</x:v>
      </x:c>
      <x:c r="C54" s="22"/>
      <x:c r="D54" s="55"/>
      <x:c r="E54" s="27"/>
      <x:c r="F54" s="56"/>
      <x:c r="G54" s="27"/>
      <x:c r="H54" s="31"/>
      <x:c r="I54" s="1"/>
      <x:c r="J54" s="1"/>
      <x:c r="K54" s="1"/>
      <x:c r="L54" s="1"/>
      <x:c r="M54" s="1"/>
      <x:c r="N54" s="1"/>
      <x:c r="O54" s="1"/>
      <x:c r="P54" s="1"/>
      <x:c r="Q54" s="1"/>
      <x:c r="R54" s="1"/>
      <x:c r="S54" s="1"/>
      <x:c r="T54" s="1"/>
    </x:row>
    <x:row r="55" ht="18" customHeight="1">
      <x:c r="A55" s="1"/>
      <x:c r="B55" s="19" t="n">
        <x:v>48</x:v>
      </x:c>
      <x:c r="C55" s="22"/>
      <x:c r="D55" s="55"/>
      <x:c r="E55" s="27"/>
      <x:c r="F55" s="56"/>
      <x:c r="G55" s="27"/>
      <x:c r="H55" s="31"/>
      <x:c r="I55" s="1"/>
      <x:c r="J55" s="1"/>
      <x:c r="K55" s="1"/>
      <x:c r="L55" s="1"/>
      <x:c r="M55" s="1"/>
      <x:c r="N55" s="1"/>
      <x:c r="O55" s="1"/>
      <x:c r="P55" s="1"/>
      <x:c r="Q55" s="1"/>
      <x:c r="R55" s="1"/>
      <x:c r="S55" s="1"/>
      <x:c r="T55" s="1"/>
    </x:row>
    <x:row r="56" ht="18" customHeight="1">
      <x:c r="A56" s="1"/>
      <x:c r="B56" s="19" t="n">
        <x:v>49</x:v>
      </x:c>
      <x:c r="C56" s="22"/>
      <x:c r="D56" s="55"/>
      <x:c r="E56" s="27"/>
      <x:c r="F56" s="56"/>
      <x:c r="G56" s="27"/>
      <x:c r="H56" s="31"/>
      <x:c r="I56" s="1"/>
      <x:c r="J56" s="1"/>
      <x:c r="K56" s="1"/>
      <x:c r="L56" s="1"/>
      <x:c r="M56" s="1"/>
      <x:c r="N56" s="1"/>
      <x:c r="O56" s="1"/>
      <x:c r="P56" s="1"/>
      <x:c r="Q56" s="1"/>
      <x:c r="R56" s="1"/>
      <x:c r="S56" s="1"/>
      <x:c r="T56" s="1"/>
    </x:row>
    <x:row r="57" ht="18" customHeight="1">
      <x:c r="A57" s="1"/>
      <x:c r="B57" s="19" t="n">
        <x:v>50</x:v>
      </x:c>
      <x:c r="C57" s="22"/>
      <x:c r="D57" s="55"/>
      <x:c r="E57" s="27"/>
      <x:c r="F57" s="56"/>
      <x:c r="G57" s="27"/>
      <x:c r="H57" s="31"/>
      <x:c r="I57" s="1"/>
      <x:c r="J57" s="1"/>
      <x:c r="K57" s="1"/>
      <x:c r="L57" s="1"/>
      <x:c r="M57" s="1"/>
      <x:c r="N57" s="1"/>
      <x:c r="O57" s="1"/>
      <x:c r="P57" s="1"/>
      <x:c r="Q57" s="1"/>
      <x:c r="R57" s="1"/>
      <x:c r="S57" s="1"/>
      <x:c r="T57" s="1"/>
    </x:row>
    <x:row r="58" ht="18" customHeight="1">
      <x:c r="A58" s="1"/>
      <x:c r="B58" s="19" t="n">
        <x:v>51</x:v>
      </x:c>
      <x:c r="C58" s="22"/>
      <x:c r="D58" s="55"/>
      <x:c r="E58" s="27"/>
      <x:c r="F58" s="56"/>
      <x:c r="G58" s="27"/>
      <x:c r="H58" s="31"/>
      <x:c r="I58" s="1"/>
      <x:c r="J58" s="1"/>
      <x:c r="K58" s="1"/>
      <x:c r="L58" s="1"/>
      <x:c r="M58" s="1"/>
      <x:c r="N58" s="1"/>
      <x:c r="O58" s="1"/>
      <x:c r="P58" s="1"/>
      <x:c r="Q58" s="1"/>
      <x:c r="R58" s="1"/>
      <x:c r="S58" s="1"/>
      <x:c r="T58" s="1"/>
    </x:row>
    <x:row r="59" ht="18" customHeight="1">
      <x:c r="A59" s="1"/>
      <x:c r="B59" s="19" t="n">
        <x:v>52</x:v>
      </x:c>
      <x:c r="C59" s="22"/>
      <x:c r="D59" s="55"/>
      <x:c r="E59" s="27"/>
      <x:c r="F59" s="56"/>
      <x:c r="G59" s="27"/>
      <x:c r="H59" s="31"/>
      <x:c r="I59" s="1"/>
      <x:c r="J59" s="1"/>
      <x:c r="K59" s="1"/>
      <x:c r="L59" s="1"/>
      <x:c r="M59" s="1"/>
      <x:c r="N59" s="1"/>
      <x:c r="O59" s="1"/>
      <x:c r="P59" s="1"/>
      <x:c r="Q59" s="1"/>
      <x:c r="R59" s="1"/>
      <x:c r="S59" s="1"/>
      <x:c r="T59" s="1"/>
    </x:row>
    <x:row r="60" ht="18" customHeight="1">
      <x:c r="A60" s="1"/>
      <x:c r="B60" s="19" t="n">
        <x:v>53</x:v>
      </x:c>
      <x:c r="C60" s="22"/>
      <x:c r="D60" s="55"/>
      <x:c r="E60" s="27"/>
      <x:c r="F60" s="56"/>
      <x:c r="G60" s="27"/>
      <x:c r="H60" s="31"/>
      <x:c r="I60" s="1"/>
      <x:c r="J60" s="1"/>
      <x:c r="K60" s="1"/>
      <x:c r="L60" s="1"/>
      <x:c r="M60" s="1"/>
      <x:c r="N60" s="1"/>
      <x:c r="O60" s="1"/>
      <x:c r="P60" s="1"/>
      <x:c r="Q60" s="1"/>
      <x:c r="R60" s="1"/>
      <x:c r="S60" s="1"/>
      <x:c r="T60" s="1"/>
    </x:row>
    <x:row r="61" ht="18" customHeight="1">
      <x:c r="A61" s="1"/>
      <x:c r="B61" s="19" t="n">
        <x:v>54</x:v>
      </x:c>
      <x:c r="C61" s="22"/>
      <x:c r="D61" s="55"/>
      <x:c r="E61" s="27"/>
      <x:c r="F61" s="56"/>
      <x:c r="G61" s="27"/>
      <x:c r="H61" s="31"/>
      <x:c r="I61" s="1"/>
      <x:c r="J61" s="1"/>
      <x:c r="K61" s="1"/>
      <x:c r="L61" s="1"/>
      <x:c r="M61" s="1"/>
      <x:c r="N61" s="1"/>
      <x:c r="O61" s="1"/>
      <x:c r="P61" s="1"/>
      <x:c r="Q61" s="1"/>
      <x:c r="R61" s="1"/>
      <x:c r="S61" s="1"/>
      <x:c r="T61" s="1"/>
    </x:row>
    <x:row r="62" ht="18" customHeight="1">
      <x:c r="A62" s="1"/>
      <x:c r="B62" s="19" t="n">
        <x:v>55</x:v>
      </x:c>
      <x:c r="C62" s="22"/>
      <x:c r="D62" s="55"/>
      <x:c r="E62" s="27"/>
      <x:c r="F62" s="56"/>
      <x:c r="G62" s="27"/>
      <x:c r="H62" s="31"/>
      <x:c r="I62" s="1"/>
      <x:c r="J62" s="1"/>
      <x:c r="K62" s="1"/>
      <x:c r="L62" s="1"/>
      <x:c r="M62" s="1"/>
      <x:c r="N62" s="1"/>
      <x:c r="O62" s="1"/>
      <x:c r="P62" s="1"/>
      <x:c r="Q62" s="1"/>
      <x:c r="R62" s="1"/>
      <x:c r="S62" s="1"/>
      <x:c r="T62" s="1"/>
    </x:row>
    <x:row r="63" ht="18" customHeight="1">
      <x:c r="A63" s="1"/>
      <x:c r="B63" s="19" t="n">
        <x:v>56</x:v>
      </x:c>
      <x:c r="C63" s="22"/>
      <x:c r="D63" s="55"/>
      <x:c r="E63" s="27"/>
      <x:c r="F63" s="56"/>
      <x:c r="G63" s="27"/>
      <x:c r="H63" s="31"/>
      <x:c r="I63" s="1"/>
      <x:c r="J63" s="1"/>
      <x:c r="K63" s="1"/>
      <x:c r="L63" s="1"/>
      <x:c r="M63" s="1"/>
      <x:c r="N63" s="1"/>
      <x:c r="O63" s="1"/>
      <x:c r="P63" s="1"/>
      <x:c r="Q63" s="1"/>
      <x:c r="R63" s="1"/>
      <x:c r="S63" s="1"/>
      <x:c r="T63" s="1"/>
    </x:row>
    <x:row r="64" ht="18" customHeight="1">
      <x:c r="A64" s="1"/>
      <x:c r="B64" s="19" t="n">
        <x:v>57</x:v>
      </x:c>
      <x:c r="C64" s="22"/>
      <x:c r="D64" s="55"/>
      <x:c r="E64" s="27"/>
      <x:c r="F64" s="56"/>
      <x:c r="G64" s="27"/>
      <x:c r="H64" s="31"/>
      <x:c r="I64" s="1"/>
      <x:c r="J64" s="1"/>
      <x:c r="K64" s="1"/>
      <x:c r="L64" s="1"/>
      <x:c r="M64" s="1"/>
      <x:c r="N64" s="1"/>
      <x:c r="O64" s="1"/>
      <x:c r="P64" s="1"/>
      <x:c r="Q64" s="1"/>
      <x:c r="R64" s="1"/>
      <x:c r="S64" s="1"/>
      <x:c r="T64" s="1"/>
    </x:row>
    <x:row r="65" ht="18" customHeight="1">
      <x:c r="A65" s="1"/>
      <x:c r="B65" s="19" t="n">
        <x:v>58</x:v>
      </x:c>
      <x:c r="C65" s="22"/>
      <x:c r="D65" s="55"/>
      <x:c r="E65" s="27"/>
      <x:c r="F65" s="56"/>
      <x:c r="G65" s="27"/>
      <x:c r="H65" s="31"/>
      <x:c r="I65" s="1"/>
      <x:c r="J65" s="1"/>
      <x:c r="K65" s="1"/>
      <x:c r="L65" s="1"/>
      <x:c r="M65" s="1"/>
      <x:c r="N65" s="1"/>
      <x:c r="O65" s="1"/>
      <x:c r="P65" s="1"/>
      <x:c r="Q65" s="1"/>
      <x:c r="R65" s="1"/>
      <x:c r="S65" s="1"/>
      <x:c r="T65" s="1"/>
    </x:row>
    <x:row r="66" ht="18" customHeight="1">
      <x:c r="A66" s="1"/>
      <x:c r="B66" s="19" t="n">
        <x:v>59</x:v>
      </x:c>
      <x:c r="C66" s="22"/>
      <x:c r="D66" s="55"/>
      <x:c r="E66" s="27"/>
      <x:c r="F66" s="56"/>
      <x:c r="G66" s="27"/>
      <x:c r="H66" s="31"/>
      <x:c r="I66" s="1"/>
      <x:c r="J66" s="1"/>
      <x:c r="K66" s="1"/>
      <x:c r="L66" s="1"/>
      <x:c r="M66" s="1"/>
      <x:c r="N66" s="1"/>
      <x:c r="O66" s="1"/>
      <x:c r="P66" s="1"/>
      <x:c r="Q66" s="1"/>
      <x:c r="R66" s="1"/>
      <x:c r="S66" s="1"/>
      <x:c r="T66" s="1"/>
    </x:row>
    <x:row r="67" ht="18" customHeight="1">
      <x:c r="A67" s="1"/>
      <x:c r="B67" s="19" t="n">
        <x:v>60</x:v>
      </x:c>
      <x:c r="C67" s="22"/>
      <x:c r="D67" s="55"/>
      <x:c r="E67" s="27"/>
      <x:c r="F67" s="56"/>
      <x:c r="G67" s="27"/>
      <x:c r="H67" s="31"/>
      <x:c r="I67" s="1"/>
      <x:c r="J67" s="1"/>
      <x:c r="K67" s="1"/>
      <x:c r="L67" s="1"/>
      <x:c r="M67" s="1"/>
      <x:c r="N67" s="1"/>
      <x:c r="O67" s="1"/>
      <x:c r="P67" s="1"/>
      <x:c r="Q67" s="1"/>
      <x:c r="R67" s="1"/>
      <x:c r="S67" s="1"/>
      <x:c r="T67" s="1"/>
    </x:row>
    <x:row r="68" ht="18" customHeight="1">
      <x:c r="A68" s="1"/>
      <x:c r="B68" s="19" t="n">
        <x:v>61</x:v>
      </x:c>
      <x:c r="C68" s="22"/>
      <x:c r="D68" s="55"/>
      <x:c r="E68" s="27"/>
      <x:c r="F68" s="56"/>
      <x:c r="G68" s="27"/>
      <x:c r="H68" s="31"/>
      <x:c r="I68" s="1"/>
      <x:c r="J68" s="1"/>
      <x:c r="K68" s="1"/>
      <x:c r="L68" s="1"/>
      <x:c r="M68" s="1"/>
      <x:c r="N68" s="1"/>
      <x:c r="O68" s="1"/>
      <x:c r="P68" s="1"/>
      <x:c r="Q68" s="1"/>
      <x:c r="R68" s="1"/>
      <x:c r="S68" s="1"/>
      <x:c r="T68" s="1"/>
    </x:row>
    <x:row r="69" ht="18" customHeight="1">
      <x:c r="A69" s="1"/>
      <x:c r="B69" s="19" t="n">
        <x:v>62</x:v>
      </x:c>
      <x:c r="C69" s="22"/>
      <x:c r="D69" s="55"/>
      <x:c r="E69" s="27"/>
      <x:c r="F69" s="56"/>
      <x:c r="G69" s="27"/>
      <x:c r="H69" s="31"/>
      <x:c r="I69" s="1"/>
      <x:c r="J69" s="1"/>
      <x:c r="K69" s="1"/>
      <x:c r="L69" s="1"/>
      <x:c r="M69" s="1"/>
      <x:c r="N69" s="1"/>
      <x:c r="O69" s="1"/>
      <x:c r="P69" s="1"/>
      <x:c r="Q69" s="1"/>
      <x:c r="R69" s="1"/>
      <x:c r="S69" s="1"/>
      <x:c r="T69" s="1"/>
    </x:row>
    <x:row r="70" ht="18" customHeight="1">
      <x:c r="A70" s="1"/>
      <x:c r="B70" s="19" t="n">
        <x:v>63</x:v>
      </x:c>
      <x:c r="C70" s="22"/>
      <x:c r="D70" s="55"/>
      <x:c r="E70" s="27"/>
      <x:c r="F70" s="56"/>
      <x:c r="G70" s="27"/>
      <x:c r="H70" s="31"/>
      <x:c r="I70" s="1"/>
      <x:c r="J70" s="1"/>
      <x:c r="K70" s="1"/>
      <x:c r="L70" s="1"/>
      <x:c r="M70" s="1"/>
      <x:c r="N70" s="1"/>
      <x:c r="O70" s="1"/>
      <x:c r="P70" s="1"/>
      <x:c r="Q70" s="1"/>
      <x:c r="R70" s="1"/>
      <x:c r="S70" s="1"/>
      <x:c r="T70" s="1"/>
    </x:row>
    <x:row r="71" ht="18" customHeight="1">
      <x:c r="A71" s="1"/>
      <x:c r="B71" s="19" t="n">
        <x:v>64</x:v>
      </x:c>
      <x:c r="C71" s="22"/>
      <x:c r="D71" s="55"/>
      <x:c r="E71" s="27"/>
      <x:c r="F71" s="56"/>
      <x:c r="G71" s="27"/>
      <x:c r="H71" s="31"/>
      <x:c r="I71" s="1"/>
      <x:c r="J71" s="1"/>
      <x:c r="K71" s="1"/>
      <x:c r="L71" s="1"/>
      <x:c r="M71" s="1"/>
      <x:c r="N71" s="1"/>
      <x:c r="O71" s="1"/>
      <x:c r="P71" s="1"/>
      <x:c r="Q71" s="1"/>
      <x:c r="R71" s="1"/>
      <x:c r="S71" s="1"/>
      <x:c r="T71" s="1"/>
    </x:row>
    <x:row r="72" ht="18" customHeight="1">
      <x:c r="A72" s="1"/>
      <x:c r="B72" s="19" t="n">
        <x:v>65</x:v>
      </x:c>
      <x:c r="C72" s="22"/>
      <x:c r="D72" s="55"/>
      <x:c r="E72" s="27"/>
      <x:c r="F72" s="56"/>
      <x:c r="G72" s="27"/>
      <x:c r="H72" s="31"/>
      <x:c r="I72" s="1"/>
      <x:c r="J72" s="1"/>
      <x:c r="K72" s="1"/>
      <x:c r="L72" s="1"/>
      <x:c r="M72" s="1"/>
      <x:c r="N72" s="1"/>
      <x:c r="O72" s="1"/>
      <x:c r="P72" s="1"/>
      <x:c r="Q72" s="1"/>
      <x:c r="R72" s="1"/>
      <x:c r="S72" s="1"/>
      <x:c r="T72" s="1"/>
    </x:row>
    <x:row r="73" ht="18" customHeight="1">
      <x:c r="A73" s="1"/>
      <x:c r="B73" s="19" t="n">
        <x:v>66</x:v>
      </x:c>
      <x:c r="C73" s="22"/>
      <x:c r="D73" s="55"/>
      <x:c r="E73" s="27"/>
      <x:c r="F73" s="56"/>
      <x:c r="G73" s="27"/>
      <x:c r="H73" s="31"/>
      <x:c r="I73" s="1"/>
      <x:c r="J73" s="1"/>
      <x:c r="K73" s="1"/>
      <x:c r="L73" s="1"/>
      <x:c r="M73" s="1"/>
      <x:c r="N73" s="1"/>
      <x:c r="O73" s="1"/>
      <x:c r="P73" s="1"/>
      <x:c r="Q73" s="1"/>
      <x:c r="R73" s="1"/>
      <x:c r="S73" s="1"/>
      <x:c r="T73" s="1"/>
    </x:row>
    <x:row r="74" ht="18" customHeight="1">
      <x:c r="A74" s="1"/>
      <x:c r="B74" s="19" t="n">
        <x:v>67</x:v>
      </x:c>
      <x:c r="C74" s="22"/>
      <x:c r="D74" s="55"/>
      <x:c r="E74" s="27"/>
      <x:c r="F74" s="56"/>
      <x:c r="G74" s="27"/>
      <x:c r="H74" s="31"/>
      <x:c r="I74" s="1"/>
      <x:c r="J74" s="1"/>
      <x:c r="K74" s="1"/>
      <x:c r="L74" s="1"/>
      <x:c r="M74" s="1"/>
      <x:c r="N74" s="1"/>
      <x:c r="O74" s="1"/>
      <x:c r="P74" s="1"/>
      <x:c r="Q74" s="1"/>
      <x:c r="R74" s="1"/>
      <x:c r="S74" s="1"/>
      <x:c r="T74" s="1"/>
    </x:row>
    <x:row r="75" ht="18" customHeight="1">
      <x:c r="A75" s="1"/>
      <x:c r="B75" s="19" t="n">
        <x:v>68</x:v>
      </x:c>
      <x:c r="C75" s="22"/>
      <x:c r="D75" s="55"/>
      <x:c r="E75" s="27"/>
      <x:c r="F75" s="56"/>
      <x:c r="G75" s="27"/>
      <x:c r="H75" s="31"/>
      <x:c r="I75" s="1"/>
      <x:c r="J75" s="1"/>
      <x:c r="K75" s="1"/>
      <x:c r="L75" s="1"/>
      <x:c r="M75" s="1"/>
      <x:c r="N75" s="1"/>
      <x:c r="O75" s="1"/>
      <x:c r="P75" s="1"/>
      <x:c r="Q75" s="1"/>
      <x:c r="R75" s="1"/>
      <x:c r="S75" s="1"/>
      <x:c r="T75" s="1"/>
    </x:row>
    <x:row r="76" ht="18" customHeight="1">
      <x:c r="A76" s="1"/>
      <x:c r="B76" s="19" t="n">
        <x:v>69</x:v>
      </x:c>
      <x:c r="C76" s="22"/>
      <x:c r="D76" s="55"/>
      <x:c r="E76" s="27"/>
      <x:c r="F76" s="56"/>
      <x:c r="G76" s="27"/>
      <x:c r="H76" s="31"/>
      <x:c r="I76" s="1"/>
      <x:c r="J76" s="1"/>
      <x:c r="K76" s="1"/>
      <x:c r="L76" s="1"/>
      <x:c r="M76" s="1"/>
      <x:c r="N76" s="1"/>
      <x:c r="O76" s="1"/>
      <x:c r="P76" s="1"/>
      <x:c r="Q76" s="1"/>
      <x:c r="R76" s="1"/>
      <x:c r="S76" s="1"/>
      <x:c r="T76" s="1"/>
    </x:row>
    <x:row r="77" ht="18" customHeight="1">
      <x:c r="A77" s="1"/>
      <x:c r="B77" s="19" t="n">
        <x:v>70</x:v>
      </x:c>
      <x:c r="C77" s="22"/>
      <x:c r="D77" s="55"/>
      <x:c r="E77" s="27"/>
      <x:c r="F77" s="56"/>
      <x:c r="G77" s="27"/>
      <x:c r="H77" s="31"/>
      <x:c r="I77" s="1"/>
      <x:c r="J77" s="1"/>
      <x:c r="K77" s="1"/>
      <x:c r="L77" s="1"/>
      <x:c r="M77" s="1"/>
      <x:c r="N77" s="1"/>
      <x:c r="O77" s="1"/>
      <x:c r="P77" s="1"/>
      <x:c r="Q77" s="1"/>
      <x:c r="R77" s="1"/>
      <x:c r="S77" s="1"/>
      <x:c r="T77" s="1"/>
    </x:row>
    <x:row r="78" ht="18" customHeight="1">
      <x:c r="A78" s="1"/>
      <x:c r="B78" s="19" t="n">
        <x:v>71</x:v>
      </x:c>
      <x:c r="C78" s="22"/>
      <x:c r="D78" s="55"/>
      <x:c r="E78" s="27"/>
      <x:c r="F78" s="56"/>
      <x:c r="G78" s="27"/>
      <x:c r="H78" s="31"/>
      <x:c r="I78" s="1"/>
      <x:c r="J78" s="1"/>
      <x:c r="K78" s="1"/>
      <x:c r="L78" s="1"/>
      <x:c r="M78" s="1"/>
      <x:c r="N78" s="1"/>
      <x:c r="O78" s="1"/>
      <x:c r="P78" s="1"/>
      <x:c r="Q78" s="1"/>
      <x:c r="R78" s="1"/>
      <x:c r="S78" s="1"/>
      <x:c r="T78" s="1"/>
    </x:row>
    <x:row r="79" ht="18" customHeight="1">
      <x:c r="A79" s="1"/>
      <x:c r="B79" s="19" t="n">
        <x:v>72</x:v>
      </x:c>
      <x:c r="C79" s="22"/>
      <x:c r="D79" s="55"/>
      <x:c r="E79" s="27"/>
      <x:c r="F79" s="56"/>
      <x:c r="G79" s="27"/>
      <x:c r="H79" s="31"/>
      <x:c r="I79" s="1"/>
      <x:c r="J79" s="1"/>
      <x:c r="K79" s="1"/>
      <x:c r="L79" s="1"/>
      <x:c r="M79" s="1"/>
      <x:c r="N79" s="1"/>
      <x:c r="O79" s="1"/>
      <x:c r="P79" s="1"/>
      <x:c r="Q79" s="1"/>
      <x:c r="R79" s="1"/>
      <x:c r="S79" s="1"/>
      <x:c r="T79" s="1"/>
    </x:row>
    <x:row r="80" ht="18" customHeight="1">
      <x:c r="A80" s="1"/>
      <x:c r="B80" s="19" t="n">
        <x:v>73</x:v>
      </x:c>
      <x:c r="C80" s="22"/>
      <x:c r="D80" s="55"/>
      <x:c r="E80" s="27"/>
      <x:c r="F80" s="56"/>
      <x:c r="G80" s="27"/>
      <x:c r="H80" s="31"/>
      <x:c r="I80" s="1"/>
      <x:c r="J80" s="1"/>
      <x:c r="K80" s="1"/>
      <x:c r="L80" s="1"/>
      <x:c r="M80" s="1"/>
      <x:c r="N80" s="1"/>
      <x:c r="O80" s="1"/>
      <x:c r="P80" s="1"/>
      <x:c r="Q80" s="1"/>
      <x:c r="R80" s="1"/>
      <x:c r="S80" s="1"/>
      <x:c r="T80" s="1"/>
    </x:row>
    <x:row r="81" ht="18" customHeight="1">
      <x:c r="A81" s="1"/>
      <x:c r="B81" s="19" t="n">
        <x:v>74</x:v>
      </x:c>
      <x:c r="C81" s="22"/>
      <x:c r="D81" s="55"/>
      <x:c r="E81" s="27"/>
      <x:c r="F81" s="56"/>
      <x:c r="G81" s="27"/>
      <x:c r="H81" s="31"/>
      <x:c r="I81" s="1"/>
      <x:c r="J81" s="1"/>
      <x:c r="K81" s="1"/>
      <x:c r="L81" s="1"/>
      <x:c r="M81" s="1"/>
      <x:c r="N81" s="1"/>
      <x:c r="O81" s="1"/>
      <x:c r="P81" s="1"/>
      <x:c r="Q81" s="1"/>
      <x:c r="R81" s="1"/>
      <x:c r="S81" s="1"/>
      <x:c r="T81" s="1"/>
    </x:row>
    <x:row r="82" ht="18" customHeight="1">
      <x:c r="A82" s="1"/>
      <x:c r="B82" s="19" t="n">
        <x:v>75</x:v>
      </x:c>
      <x:c r="C82" s="22"/>
      <x:c r="D82" s="55"/>
      <x:c r="E82" s="27"/>
      <x:c r="F82" s="56"/>
      <x:c r="G82" s="27"/>
      <x:c r="H82" s="31"/>
      <x:c r="I82" s="1"/>
      <x:c r="J82" s="1"/>
      <x:c r="K82" s="1"/>
      <x:c r="L82" s="1"/>
      <x:c r="M82" s="1"/>
      <x:c r="N82" s="1"/>
      <x:c r="O82" s="1"/>
      <x:c r="P82" s="1"/>
      <x:c r="Q82" s="1"/>
      <x:c r="R82" s="1"/>
      <x:c r="S82" s="1"/>
      <x:c r="T82" s="1"/>
    </x:row>
    <x:row r="83" ht="18" customHeight="1">
      <x:c r="A83" s="1"/>
      <x:c r="B83" s="19" t="n">
        <x:v>76</x:v>
      </x:c>
      <x:c r="C83" s="22"/>
      <x:c r="D83" s="55"/>
      <x:c r="E83" s="27"/>
      <x:c r="F83" s="56"/>
      <x:c r="G83" s="27"/>
      <x:c r="H83" s="31"/>
      <x:c r="I83" s="1"/>
      <x:c r="J83" s="1"/>
      <x:c r="K83" s="1"/>
      <x:c r="L83" s="1"/>
      <x:c r="M83" s="1"/>
      <x:c r="N83" s="1"/>
      <x:c r="O83" s="1"/>
      <x:c r="P83" s="1"/>
      <x:c r="Q83" s="1"/>
      <x:c r="R83" s="1"/>
      <x:c r="S83" s="1"/>
      <x:c r="T83" s="1"/>
    </x:row>
    <x:row r="84" ht="18" customHeight="1">
      <x:c r="A84" s="1"/>
      <x:c r="B84" s="19" t="n">
        <x:v>77</x:v>
      </x:c>
      <x:c r="C84" s="22"/>
      <x:c r="D84" s="55"/>
      <x:c r="E84" s="27"/>
      <x:c r="F84" s="56"/>
      <x:c r="G84" s="27"/>
      <x:c r="H84" s="31"/>
      <x:c r="I84" s="1"/>
      <x:c r="J84" s="1"/>
      <x:c r="K84" s="1"/>
      <x:c r="L84" s="1"/>
      <x:c r="M84" s="1"/>
      <x:c r="N84" s="1"/>
      <x:c r="O84" s="1"/>
      <x:c r="P84" s="1"/>
      <x:c r="Q84" s="1"/>
      <x:c r="R84" s="1"/>
      <x:c r="S84" s="1"/>
      <x:c r="T84" s="1"/>
    </x:row>
    <x:row r="85" ht="18" customHeight="1">
      <x:c r="A85" s="1"/>
      <x:c r="B85" s="19" t="n">
        <x:v>78</x:v>
      </x:c>
      <x:c r="C85" s="22"/>
      <x:c r="D85" s="55"/>
      <x:c r="E85" s="27"/>
      <x:c r="F85" s="56"/>
      <x:c r="G85" s="27"/>
      <x:c r="H85" s="31"/>
      <x:c r="I85" s="1"/>
      <x:c r="J85" s="1"/>
      <x:c r="K85" s="1"/>
      <x:c r="L85" s="1"/>
      <x:c r="M85" s="1"/>
      <x:c r="N85" s="1"/>
      <x:c r="O85" s="1"/>
      <x:c r="P85" s="1"/>
      <x:c r="Q85" s="1"/>
      <x:c r="R85" s="1"/>
      <x:c r="S85" s="1"/>
      <x:c r="T85" s="1"/>
    </x:row>
    <x:row r="86" ht="18" customHeight="1">
      <x:c r="A86" s="1"/>
      <x:c r="B86" s="19" t="n">
        <x:v>79</x:v>
      </x:c>
      <x:c r="C86" s="22"/>
      <x:c r="D86" s="55"/>
      <x:c r="E86" s="27"/>
      <x:c r="F86" s="56"/>
      <x:c r="G86" s="27"/>
      <x:c r="H86" s="31"/>
      <x:c r="I86" s="1"/>
      <x:c r="J86" s="1"/>
      <x:c r="K86" s="1"/>
      <x:c r="L86" s="1"/>
      <x:c r="M86" s="1"/>
      <x:c r="N86" s="1"/>
      <x:c r="O86" s="1"/>
      <x:c r="P86" s="1"/>
      <x:c r="Q86" s="1"/>
      <x:c r="R86" s="1"/>
      <x:c r="S86" s="1"/>
      <x:c r="T86" s="1"/>
    </x:row>
    <x:row r="87" ht="18" customHeight="1">
      <x:c r="A87" s="1"/>
      <x:c r="B87" s="19" t="n">
        <x:v>80</x:v>
      </x:c>
      <x:c r="C87" s="22"/>
      <x:c r="D87" s="55"/>
      <x:c r="E87" s="27"/>
      <x:c r="F87" s="56"/>
      <x:c r="G87" s="27"/>
      <x:c r="H87" s="31"/>
      <x:c r="I87" s="1"/>
      <x:c r="J87" s="1"/>
      <x:c r="K87" s="1"/>
      <x:c r="L87" s="1"/>
      <x:c r="M87" s="1"/>
      <x:c r="N87" s="1"/>
      <x:c r="O87" s="1"/>
      <x:c r="P87" s="1"/>
      <x:c r="Q87" s="1"/>
      <x:c r="R87" s="1"/>
      <x:c r="S87" s="1"/>
      <x:c r="T87" s="1"/>
    </x:row>
    <x:row r="88" ht="18" customHeight="1">
      <x:c r="A88" s="1"/>
      <x:c r="B88" s="19" t="n">
        <x:v>81</x:v>
      </x:c>
      <x:c r="C88" s="22"/>
      <x:c r="D88" s="55"/>
      <x:c r="E88" s="27"/>
      <x:c r="F88" s="56"/>
      <x:c r="G88" s="27"/>
      <x:c r="H88" s="31"/>
      <x:c r="I88" s="1"/>
      <x:c r="J88" s="1"/>
      <x:c r="K88" s="1"/>
      <x:c r="L88" s="1"/>
      <x:c r="M88" s="1"/>
      <x:c r="N88" s="1"/>
      <x:c r="O88" s="1"/>
      <x:c r="P88" s="1"/>
      <x:c r="Q88" s="1"/>
      <x:c r="R88" s="1"/>
      <x:c r="S88" s="1"/>
      <x:c r="T88" s="1"/>
    </x:row>
    <x:row r="89" ht="18" customHeight="1">
      <x:c r="A89" s="1"/>
      <x:c r="B89" s="19" t="n">
        <x:v>82</x:v>
      </x:c>
      <x:c r="C89" s="22"/>
      <x:c r="D89" s="55"/>
      <x:c r="E89" s="27"/>
      <x:c r="F89" s="56"/>
      <x:c r="G89" s="27"/>
      <x:c r="H89" s="31"/>
      <x:c r="I89" s="1"/>
      <x:c r="J89" s="1"/>
      <x:c r="K89" s="1"/>
      <x:c r="L89" s="1"/>
      <x:c r="M89" s="1"/>
      <x:c r="N89" s="1"/>
      <x:c r="O89" s="1"/>
      <x:c r="P89" s="1"/>
      <x:c r="Q89" s="1"/>
      <x:c r="R89" s="1"/>
      <x:c r="S89" s="1"/>
      <x:c r="T89" s="1"/>
    </x:row>
    <x:row r="90" ht="18" customHeight="1">
      <x:c r="A90" s="1"/>
      <x:c r="B90" s="19" t="n">
        <x:v>83</x:v>
      </x:c>
      <x:c r="C90" s="22"/>
      <x:c r="D90" s="55"/>
      <x:c r="E90" s="27"/>
      <x:c r="F90" s="56"/>
      <x:c r="G90" s="27"/>
      <x:c r="H90" s="31"/>
      <x:c r="I90" s="1"/>
      <x:c r="J90" s="1"/>
      <x:c r="K90" s="1"/>
      <x:c r="L90" s="1"/>
      <x:c r="M90" s="1"/>
      <x:c r="N90" s="1"/>
      <x:c r="O90" s="1"/>
      <x:c r="P90" s="1"/>
      <x:c r="Q90" s="1"/>
      <x:c r="R90" s="1"/>
      <x:c r="S90" s="1"/>
      <x:c r="T90" s="1"/>
    </x:row>
    <x:row r="91" ht="18" customHeight="1">
      <x:c r="A91" s="1"/>
      <x:c r="B91" s="19" t="n">
        <x:v>84</x:v>
      </x:c>
      <x:c r="C91" s="22"/>
      <x:c r="D91" s="55"/>
      <x:c r="E91" s="27"/>
      <x:c r="F91" s="56"/>
      <x:c r="G91" s="27"/>
      <x:c r="H91" s="31"/>
      <x:c r="I91" s="1"/>
      <x:c r="J91" s="1"/>
      <x:c r="K91" s="1"/>
      <x:c r="L91" s="1"/>
      <x:c r="M91" s="1"/>
      <x:c r="N91" s="1"/>
      <x:c r="O91" s="1"/>
      <x:c r="P91" s="1"/>
      <x:c r="Q91" s="1"/>
      <x:c r="R91" s="1"/>
      <x:c r="S91" s="1"/>
      <x:c r="T91" s="1"/>
    </x:row>
    <x:row r="92" ht="18" customHeight="1">
      <x:c r="A92" s="1"/>
      <x:c r="B92" s="19" t="n">
        <x:v>85</x:v>
      </x:c>
      <x:c r="C92" s="22"/>
      <x:c r="D92" s="55"/>
      <x:c r="E92" s="27"/>
      <x:c r="F92" s="56"/>
      <x:c r="G92" s="27"/>
      <x:c r="H92" s="31"/>
      <x:c r="I92" s="1"/>
      <x:c r="J92" s="1"/>
      <x:c r="K92" s="1"/>
      <x:c r="L92" s="1"/>
      <x:c r="M92" s="1"/>
      <x:c r="N92" s="1"/>
      <x:c r="O92" s="1"/>
      <x:c r="P92" s="1"/>
      <x:c r="Q92" s="1"/>
      <x:c r="R92" s="1"/>
      <x:c r="S92" s="1"/>
      <x:c r="T92" s="1"/>
    </x:row>
    <x:row r="93" ht="18" customHeight="1">
      <x:c r="A93" s="1"/>
      <x:c r="B93" s="19" t="n">
        <x:v>86</x:v>
      </x:c>
      <x:c r="C93" s="22"/>
      <x:c r="D93" s="55"/>
      <x:c r="E93" s="27"/>
      <x:c r="F93" s="56"/>
      <x:c r="G93" s="27"/>
      <x:c r="H93" s="31"/>
      <x:c r="I93" s="1"/>
      <x:c r="J93" s="1"/>
      <x:c r="K93" s="1"/>
      <x:c r="L93" s="1"/>
      <x:c r="M93" s="1"/>
      <x:c r="N93" s="1"/>
      <x:c r="O93" s="1"/>
      <x:c r="P93" s="1"/>
      <x:c r="Q93" s="1"/>
      <x:c r="R93" s="1"/>
      <x:c r="S93" s="1"/>
      <x:c r="T93" s="1"/>
    </x:row>
    <x:row r="94" ht="18" customHeight="1">
      <x:c r="A94" s="1"/>
      <x:c r="B94" s="19" t="n">
        <x:v>87</x:v>
      </x:c>
      <x:c r="C94" s="22"/>
      <x:c r="D94" s="55"/>
      <x:c r="E94" s="27"/>
      <x:c r="F94" s="56"/>
      <x:c r="G94" s="27"/>
      <x:c r="H94" s="31"/>
      <x:c r="I94" s="1"/>
      <x:c r="J94" s="1"/>
      <x:c r="K94" s="1"/>
      <x:c r="L94" s="1"/>
      <x:c r="M94" s="1"/>
      <x:c r="N94" s="1"/>
      <x:c r="O94" s="1"/>
      <x:c r="P94" s="1"/>
      <x:c r="Q94" s="1"/>
      <x:c r="R94" s="1"/>
      <x:c r="S94" s="1"/>
      <x:c r="T94" s="1"/>
    </x:row>
    <x:row r="95" ht="18" customHeight="1">
      <x:c r="A95" s="1"/>
      <x:c r="B95" s="19" t="n">
        <x:v>88</x:v>
      </x:c>
      <x:c r="C95" s="22"/>
      <x:c r="D95" s="55"/>
      <x:c r="E95" s="27"/>
      <x:c r="F95" s="56"/>
      <x:c r="G95" s="27"/>
      <x:c r="H95" s="31"/>
      <x:c r="I95" s="1"/>
      <x:c r="J95" s="1"/>
      <x:c r="K95" s="1"/>
      <x:c r="L95" s="1"/>
      <x:c r="M95" s="1"/>
      <x:c r="N95" s="1"/>
      <x:c r="O95" s="1"/>
      <x:c r="P95" s="1"/>
      <x:c r="Q95" s="1"/>
      <x:c r="R95" s="1"/>
      <x:c r="S95" s="1"/>
      <x:c r="T95" s="1"/>
    </x:row>
    <x:row r="96" ht="18" customHeight="1">
      <x:c r="A96" s="1"/>
      <x:c r="B96" s="19" t="n">
        <x:v>89</x:v>
      </x:c>
      <x:c r="C96" s="22"/>
      <x:c r="D96" s="55"/>
      <x:c r="E96" s="27"/>
      <x:c r="F96" s="56"/>
      <x:c r="G96" s="27"/>
      <x:c r="H96" s="31"/>
      <x:c r="I96" s="1"/>
      <x:c r="J96" s="1"/>
      <x:c r="K96" s="1"/>
      <x:c r="L96" s="1"/>
      <x:c r="M96" s="1"/>
      <x:c r="N96" s="1"/>
      <x:c r="O96" s="1"/>
      <x:c r="P96" s="1"/>
      <x:c r="Q96" s="1"/>
      <x:c r="R96" s="1"/>
      <x:c r="S96" s="1"/>
      <x:c r="T96" s="1"/>
    </x:row>
    <x:row r="97" ht="18" customHeight="1">
      <x:c r="A97" s="1"/>
      <x:c r="B97" s="19" t="n">
        <x:v>90</x:v>
      </x:c>
      <x:c r="C97" s="22"/>
      <x:c r="D97" s="55"/>
      <x:c r="E97" s="27"/>
      <x:c r="F97" s="56"/>
      <x:c r="G97" s="27"/>
      <x:c r="H97" s="31"/>
      <x:c r="I97" s="1"/>
      <x:c r="J97" s="1"/>
      <x:c r="K97" s="1"/>
      <x:c r="L97" s="1"/>
      <x:c r="M97" s="1"/>
      <x:c r="N97" s="1"/>
      <x:c r="O97" s="1"/>
      <x:c r="P97" s="1"/>
      <x:c r="Q97" s="1"/>
      <x:c r="R97" s="1"/>
      <x:c r="S97" s="1"/>
      <x:c r="T97" s="1"/>
    </x:row>
    <x:row r="98" ht="18" customHeight="1">
      <x:c r="A98" s="1"/>
      <x:c r="B98" s="19" t="n">
        <x:v>91</x:v>
      </x:c>
      <x:c r="C98" s="22"/>
      <x:c r="D98" s="55"/>
      <x:c r="E98" s="27"/>
      <x:c r="F98" s="56"/>
      <x:c r="G98" s="27"/>
      <x:c r="H98" s="31"/>
      <x:c r="I98" s="1"/>
      <x:c r="J98" s="1"/>
      <x:c r="K98" s="1"/>
      <x:c r="L98" s="1"/>
      <x:c r="M98" s="1"/>
      <x:c r="N98" s="1"/>
      <x:c r="O98" s="1"/>
      <x:c r="P98" s="1"/>
      <x:c r="Q98" s="1"/>
      <x:c r="R98" s="1"/>
      <x:c r="S98" s="1"/>
      <x:c r="T98" s="1"/>
    </x:row>
    <x:row r="99" ht="18" customHeight="1">
      <x:c r="A99" s="1"/>
      <x:c r="B99" s="19" t="n">
        <x:v>92</x:v>
      </x:c>
      <x:c r="C99" s="22"/>
      <x:c r="D99" s="55"/>
      <x:c r="E99" s="27"/>
      <x:c r="F99" s="56"/>
      <x:c r="G99" s="27"/>
      <x:c r="H99" s="31"/>
      <x:c r="I99" s="1"/>
      <x:c r="J99" s="1"/>
      <x:c r="K99" s="1"/>
      <x:c r="L99" s="1"/>
      <x:c r="M99" s="1"/>
      <x:c r="N99" s="1"/>
      <x:c r="O99" s="1"/>
      <x:c r="P99" s="1"/>
      <x:c r="Q99" s="1"/>
      <x:c r="R99" s="1"/>
      <x:c r="S99" s="1"/>
      <x:c r="T99" s="1"/>
    </x:row>
    <x:row r="100" ht="18" customHeight="1">
      <x:c r="A100" s="1"/>
      <x:c r="B100" s="19" t="n">
        <x:v>93</x:v>
      </x:c>
      <x:c r="C100" s="22"/>
      <x:c r="D100" s="55"/>
      <x:c r="E100" s="27"/>
      <x:c r="F100" s="56"/>
      <x:c r="G100" s="27"/>
      <x:c r="H100" s="31"/>
      <x:c r="I100" s="1"/>
      <x:c r="J100" s="1"/>
      <x:c r="K100" s="1"/>
      <x:c r="L100" s="1"/>
      <x:c r="M100" s="1"/>
      <x:c r="N100" s="1"/>
      <x:c r="O100" s="1"/>
      <x:c r="P100" s="1"/>
      <x:c r="Q100" s="1"/>
      <x:c r="R100" s="1"/>
      <x:c r="S100" s="1"/>
      <x:c r="T100" s="1"/>
    </x:row>
    <x:row r="101" ht="18" customHeight="1">
      <x:c r="A101" s="1"/>
      <x:c r="B101" s="19" t="n">
        <x:v>94</x:v>
      </x:c>
      <x:c r="C101" s="22"/>
      <x:c r="D101" s="55"/>
      <x:c r="E101" s="27"/>
      <x:c r="F101" s="56"/>
      <x:c r="G101" s="27"/>
      <x:c r="H101" s="31"/>
      <x:c r="I101" s="1"/>
      <x:c r="J101" s="1"/>
      <x:c r="K101" s="1"/>
      <x:c r="L101" s="1"/>
      <x:c r="M101" s="1"/>
      <x:c r="N101" s="1"/>
      <x:c r="O101" s="1"/>
      <x:c r="P101" s="1"/>
      <x:c r="Q101" s="1"/>
      <x:c r="R101" s="1"/>
      <x:c r="S101" s="1"/>
      <x:c r="T101" s="1"/>
    </x:row>
    <x:row r="102" ht="18" customHeight="1">
      <x:c r="A102" s="1"/>
      <x:c r="B102" s="19" t="n">
        <x:v>95</x:v>
      </x:c>
      <x:c r="C102" s="22"/>
      <x:c r="D102" s="55"/>
      <x:c r="E102" s="27"/>
      <x:c r="F102" s="56"/>
      <x:c r="G102" s="27"/>
      <x:c r="H102" s="31"/>
      <x:c r="I102" s="1"/>
      <x:c r="J102" s="1"/>
      <x:c r="K102" s="1"/>
      <x:c r="L102" s="1"/>
      <x:c r="M102" s="1"/>
      <x:c r="N102" s="1"/>
      <x:c r="O102" s="1"/>
      <x:c r="P102" s="1"/>
      <x:c r="Q102" s="1"/>
      <x:c r="R102" s="1"/>
      <x:c r="S102" s="1"/>
      <x:c r="T102" s="1"/>
    </x:row>
    <x:row r="103" ht="18" customHeight="1">
      <x:c r="A103" s="1"/>
      <x:c r="B103" s="19" t="n">
        <x:v>96</x:v>
      </x:c>
      <x:c r="C103" s="22"/>
      <x:c r="D103" s="55"/>
      <x:c r="E103" s="27"/>
      <x:c r="F103" s="56"/>
      <x:c r="G103" s="27"/>
      <x:c r="H103" s="31"/>
      <x:c r="I103" s="1"/>
      <x:c r="J103" s="1"/>
      <x:c r="K103" s="1"/>
      <x:c r="L103" s="1"/>
      <x:c r="M103" s="1"/>
      <x:c r="N103" s="1"/>
      <x:c r="O103" s="1"/>
      <x:c r="P103" s="1"/>
      <x:c r="Q103" s="1"/>
      <x:c r="R103" s="1"/>
      <x:c r="S103" s="1"/>
      <x:c r="T103" s="1"/>
    </x:row>
    <x:row r="104" ht="18" customHeight="1">
      <x:c r="A104" s="1"/>
      <x:c r="B104" s="19" t="n">
        <x:v>97</x:v>
      </x:c>
      <x:c r="C104" s="22"/>
      <x:c r="D104" s="55"/>
      <x:c r="E104" s="27"/>
      <x:c r="F104" s="56"/>
      <x:c r="G104" s="27"/>
      <x:c r="H104" s="31"/>
      <x:c r="I104" s="1"/>
      <x:c r="J104" s="1"/>
      <x:c r="K104" s="1"/>
      <x:c r="L104" s="1"/>
      <x:c r="M104" s="1"/>
      <x:c r="N104" s="1"/>
      <x:c r="O104" s="1"/>
      <x:c r="P104" s="1"/>
      <x:c r="Q104" s="1"/>
      <x:c r="R104" s="1"/>
      <x:c r="S104" s="1"/>
      <x:c r="T104" s="1"/>
    </x:row>
    <x:row r="105" ht="18" customHeight="1">
      <x:c r="A105" s="1"/>
      <x:c r="B105" s="19" t="n">
        <x:v>98</x:v>
      </x:c>
      <x:c r="C105" s="22"/>
      <x:c r="D105" s="55"/>
      <x:c r="E105" s="27"/>
      <x:c r="F105" s="56"/>
      <x:c r="G105" s="27"/>
      <x:c r="H105" s="31"/>
      <x:c r="I105" s="1"/>
      <x:c r="J105" s="1"/>
      <x:c r="K105" s="1"/>
      <x:c r="L105" s="1"/>
      <x:c r="M105" s="1"/>
      <x:c r="N105" s="1"/>
      <x:c r="O105" s="1"/>
      <x:c r="P105" s="1"/>
      <x:c r="Q105" s="1"/>
      <x:c r="R105" s="1"/>
      <x:c r="S105" s="1"/>
      <x:c r="T105" s="1"/>
    </x:row>
    <x:row r="106" ht="18" customHeight="1">
      <x:c r="A106" s="1"/>
      <x:c r="B106" s="19" t="n">
        <x:v>99</x:v>
      </x:c>
      <x:c r="C106" s="22"/>
      <x:c r="D106" s="55"/>
      <x:c r="E106" s="27"/>
      <x:c r="F106" s="56"/>
      <x:c r="G106" s="27"/>
      <x:c r="H106" s="31"/>
      <x:c r="I106" s="1"/>
      <x:c r="J106" s="1"/>
      <x:c r="K106" s="1"/>
      <x:c r="L106" s="1"/>
      <x:c r="M106" s="1"/>
      <x:c r="N106" s="1"/>
      <x:c r="O106" s="1"/>
      <x:c r="P106" s="1"/>
      <x:c r="Q106" s="1"/>
      <x:c r="R106" s="1"/>
      <x:c r="S106" s="1"/>
      <x:c r="T106" s="1"/>
    </x:row>
    <x:row r="107" ht="18" customHeight="1">
      <x:c r="A107" s="1"/>
      <x:c r="B107" s="19" t="n">
        <x:v>100</x:v>
      </x:c>
      <x:c r="C107" s="22"/>
      <x:c r="D107" s="55"/>
      <x:c r="E107" s="27"/>
      <x:c r="F107" s="56"/>
      <x:c r="G107" s="27"/>
      <x:c r="H107" s="31"/>
      <x:c r="I107" s="1"/>
      <x:c r="J107" s="1"/>
      <x:c r="K107" s="1"/>
      <x:c r="L107" s="1"/>
      <x:c r="M107" s="1"/>
      <x:c r="N107" s="1"/>
      <x:c r="O107" s="1"/>
      <x:c r="P107" s="1"/>
      <x:c r="Q107" s="1"/>
      <x:c r="R107" s="1"/>
      <x:c r="S107" s="1"/>
      <x:c r="T107" s="1"/>
    </x:row>
    <x:row r="108" ht="18" customHeight="1">
      <x:c r="A108" s="1"/>
      <x:c r="B108" s="1"/>
      <x:c r="C108" s="1"/>
      <x:c r="D108" s="1"/>
      <x:c r="E108" s="1"/>
      <x:c r="F108" s="1"/>
      <x:c r="G108" s="1"/>
      <x:c r="H108" s="1"/>
      <x:c r="I108" s="1"/>
      <x:c r="J108" s="1"/>
      <x:c r="K108" s="1"/>
      <x:c r="L108" s="1"/>
      <x:c r="M108" s="1"/>
      <x:c r="N108" s="1"/>
      <x:c r="O108" s="1"/>
      <x:c r="P108" s="1"/>
      <x:c r="Q108" s="1"/>
      <x:c r="R108" s="1"/>
      <x:c r="S108" s="1"/>
      <x:c r="T108" s="1"/>
    </x:row>
    <x:row r="109" ht="18" customHeight="1">
      <x:c r="A109" s="1"/>
      <x:c r="B109" s="1"/>
      <x:c r="C109" s="1"/>
      <x:c r="D109" s="1"/>
      <x:c r="E109" s="1"/>
      <x:c r="F109" s="1"/>
      <x:c r="G109" s="1"/>
      <x:c r="H109" s="1"/>
      <x:c r="I109" s="1"/>
      <x:c r="J109" s="1"/>
      <x:c r="K109" s="1"/>
      <x:c r="L109" s="1"/>
      <x:c r="M109" s="1"/>
      <x:c r="N109" s="1"/>
      <x:c r="O109" s="1"/>
      <x:c r="P109" s="1"/>
      <x:c r="Q109" s="1"/>
      <x:c r="R109" s="1"/>
      <x:c r="S109" s="1"/>
      <x:c r="T109" s="1"/>
    </x:row>
    <x:row r="110" ht="18" customHeight="1">
      <x:c r="A110" s="1"/>
      <x:c r="B110" s="1"/>
      <x:c r="C110" s="1"/>
      <x:c r="D110" s="1"/>
      <x:c r="E110" s="1"/>
      <x:c r="F110" s="1"/>
      <x:c r="G110" s="1"/>
      <x:c r="H110" s="1"/>
      <x:c r="I110" s="1"/>
      <x:c r="J110" s="1"/>
      <x:c r="K110" s="1"/>
      <x:c r="L110" s="1"/>
      <x:c r="M110" s="1"/>
      <x:c r="N110" s="1"/>
      <x:c r="O110" s="1"/>
      <x:c r="P110" s="1"/>
      <x:c r="Q110" s="1"/>
      <x:c r="R110" s="1"/>
      <x:c r="S110" s="1"/>
      <x:c r="T110" s="1"/>
    </x:row>
    <x:row r="111" ht="18" customHeight="1">
      <x:c r="A111" s="1"/>
      <x:c r="B111" s="1"/>
      <x:c r="C111" s="1"/>
      <x:c r="D111" s="1"/>
      <x:c r="E111" s="1"/>
      <x:c r="F111" s="1"/>
      <x:c r="G111" s="1"/>
      <x:c r="H111" s="1"/>
      <x:c r="I111" s="1"/>
      <x:c r="J111" s="1"/>
      <x:c r="K111" s="1"/>
      <x:c r="L111" s="1"/>
      <x:c r="M111" s="1"/>
      <x:c r="N111" s="1"/>
      <x:c r="O111" s="1"/>
      <x:c r="P111" s="1"/>
      <x:c r="Q111" s="1"/>
      <x:c r="R111" s="1"/>
      <x:c r="S111" s="1"/>
      <x:c r="T111" s="1"/>
    </x:row>
    <x:row r="112" ht="18" customHeight="1">
      <x:c r="A112" s="1"/>
      <x:c r="B112" s="1"/>
      <x:c r="C112" s="1"/>
      <x:c r="D112" s="1"/>
      <x:c r="E112" s="1"/>
      <x:c r="F112" s="1"/>
      <x:c r="G112" s="1"/>
      <x:c r="H112" s="1"/>
      <x:c r="I112" s="1"/>
      <x:c r="J112" s="1"/>
      <x:c r="K112" s="1"/>
      <x:c r="L112" s="1"/>
      <x:c r="M112" s="1"/>
      <x:c r="N112" s="1"/>
      <x:c r="O112" s="1"/>
      <x:c r="P112" s="1"/>
      <x:c r="Q112" s="1"/>
      <x:c r="R112" s="1"/>
      <x:c r="S112" s="1"/>
      <x:c r="T112" s="1"/>
    </x:row>
    <x:row r="113" ht="18" customHeight="1">
      <x:c r="A113" s="1"/>
      <x:c r="B113" s="1"/>
      <x:c r="C113" s="1"/>
      <x:c r="D113" s="1"/>
      <x:c r="E113" s="1"/>
      <x:c r="F113" s="1"/>
      <x:c r="G113" s="1"/>
      <x:c r="H113" s="1"/>
      <x:c r="I113" s="1"/>
      <x:c r="J113" s="1"/>
      <x:c r="K113" s="1"/>
      <x:c r="L113" s="1"/>
      <x:c r="M113" s="1"/>
      <x:c r="N113" s="1"/>
      <x:c r="O113" s="1"/>
      <x:c r="P113" s="1"/>
      <x:c r="Q113" s="1"/>
      <x:c r="R113" s="1"/>
      <x:c r="S113" s="1"/>
      <x:c r="T113" s="1"/>
    </x:row>
    <x:row r="114" ht="18" customHeight="1">
      <x:c r="A114" s="1"/>
      <x:c r="B114" s="1"/>
      <x:c r="C114" s="1"/>
      <x:c r="D114" s="1"/>
      <x:c r="E114" s="1"/>
      <x:c r="F114" s="1"/>
      <x:c r="G114" s="1"/>
      <x:c r="H114" s="1"/>
      <x:c r="I114" s="1"/>
      <x:c r="J114" s="1"/>
      <x:c r="K114" s="1"/>
      <x:c r="L114" s="1"/>
      <x:c r="M114" s="1"/>
      <x:c r="N114" s="1"/>
      <x:c r="O114" s="1"/>
      <x:c r="P114" s="1"/>
      <x:c r="Q114" s="1"/>
      <x:c r="R114" s="1"/>
      <x:c r="S114" s="1"/>
      <x:c r="T114" s="1"/>
    </x:row>
    <x:row r="115" ht="18" customHeight="1">
      <x:c r="A115" s="1"/>
      <x:c r="B115" s="1"/>
      <x:c r="C115" s="1"/>
      <x:c r="D115" s="1"/>
      <x:c r="E115" s="1"/>
      <x:c r="F115" s="1"/>
      <x:c r="G115" s="1"/>
      <x:c r="H115" s="1"/>
      <x:c r="I115" s="1"/>
      <x:c r="J115" s="1"/>
      <x:c r="K115" s="1"/>
      <x:c r="L115" s="1"/>
      <x:c r="M115" s="1"/>
      <x:c r="N115" s="1"/>
      <x:c r="O115" s="1"/>
      <x:c r="P115" s="1"/>
      <x:c r="Q115" s="1"/>
      <x:c r="R115" s="1"/>
      <x:c r="S115" s="1"/>
      <x:c r="T115" s="1"/>
    </x:row>
    <x:row r="116" ht="18" customHeight="1">
      <x:c r="A116" s="1"/>
      <x:c r="B116" s="1"/>
      <x:c r="C116" s="1"/>
      <x:c r="D116" s="1"/>
      <x:c r="E116" s="1"/>
      <x:c r="F116" s="1"/>
      <x:c r="G116" s="1"/>
      <x:c r="H116" s="1"/>
      <x:c r="I116" s="1"/>
      <x:c r="J116" s="1"/>
      <x:c r="K116" s="1"/>
      <x:c r="L116" s="1"/>
      <x:c r="M116" s="1"/>
      <x:c r="N116" s="1"/>
      <x:c r="O116" s="1"/>
      <x:c r="P116" s="1"/>
      <x:c r="Q116" s="1"/>
      <x:c r="R116" s="1"/>
      <x:c r="S116" s="1"/>
      <x:c r="T116" s="1"/>
    </x:row>
    <x:row r="117" ht="18" customHeight="1">
      <x:c r="A117" s="1"/>
      <x:c r="B117" s="1"/>
      <x:c r="C117" s="1"/>
      <x:c r="D117" s="1"/>
      <x:c r="E117" s="1"/>
      <x:c r="F117" s="1"/>
      <x:c r="G117" s="1"/>
      <x:c r="H117" s="1"/>
      <x:c r="I117" s="1"/>
      <x:c r="J117" s="1"/>
      <x:c r="K117" s="1"/>
      <x:c r="L117" s="1"/>
      <x:c r="M117" s="1"/>
      <x:c r="N117" s="1"/>
      <x:c r="O117" s="1"/>
      <x:c r="P117" s="1"/>
      <x:c r="Q117" s="1"/>
      <x:c r="R117" s="1"/>
      <x:c r="S117" s="1"/>
      <x:c r="T117" s="1"/>
    </x:row>
    <x:row r="118" ht="18" customHeight="1">
      <x:c r="A118" s="1"/>
      <x:c r="B118" s="1"/>
      <x:c r="C118" s="1"/>
      <x:c r="D118" s="1"/>
      <x:c r="E118" s="1"/>
      <x:c r="F118" s="1"/>
      <x:c r="G118" s="1"/>
      <x:c r="H118" s="1"/>
      <x:c r="I118" s="1"/>
      <x:c r="J118" s="1"/>
      <x:c r="K118" s="1"/>
      <x:c r="L118" s="1"/>
      <x:c r="M118" s="1"/>
      <x:c r="N118" s="1"/>
      <x:c r="O118" s="1"/>
      <x:c r="P118" s="1"/>
      <x:c r="Q118" s="1"/>
      <x:c r="R118" s="1"/>
      <x:c r="S118" s="1"/>
      <x:c r="T118" s="1"/>
    </x:row>
    <x:row r="119" ht="18" customHeight="1">
      <x:c r="A119" s="1"/>
      <x:c r="B119" s="1"/>
      <x:c r="C119" s="1"/>
      <x:c r="D119" s="1"/>
      <x:c r="E119" s="1"/>
      <x:c r="F119" s="1"/>
      <x:c r="G119" s="1"/>
      <x:c r="H119" s="1"/>
      <x:c r="I119" s="1"/>
      <x:c r="J119" s="1"/>
      <x:c r="K119" s="1"/>
      <x:c r="L119" s="1"/>
      <x:c r="M119" s="1"/>
      <x:c r="N119" s="1"/>
      <x:c r="O119" s="1"/>
      <x:c r="P119" s="1"/>
      <x:c r="Q119" s="1"/>
      <x:c r="R119" s="1"/>
      <x:c r="S119" s="1"/>
      <x:c r="T119" s="1"/>
    </x:row>
    <x:row r="120" ht="18" customHeight="1">
      <x:c r="A120" s="1"/>
      <x:c r="B120" s="1"/>
      <x:c r="C120" s="1"/>
      <x:c r="D120" s="1"/>
      <x:c r="E120" s="1"/>
      <x:c r="F120" s="1"/>
      <x:c r="G120" s="1"/>
      <x:c r="H120" s="1"/>
      <x:c r="I120" s="1"/>
      <x:c r="J120" s="1"/>
      <x:c r="K120" s="1"/>
      <x:c r="L120" s="1"/>
      <x:c r="M120" s="1"/>
      <x:c r="N120" s="1"/>
      <x:c r="O120" s="1"/>
      <x:c r="P120" s="1"/>
      <x:c r="Q120" s="1"/>
      <x:c r="R120" s="1"/>
      <x:c r="S120" s="1"/>
      <x:c r="T120" s="1"/>
    </x:row>
    <x:row r="121" ht="18" customHeight="1">
      <x:c r="A121" s="1"/>
      <x:c r="B121" s="1"/>
      <x:c r="C121" s="1"/>
      <x:c r="D121" s="1"/>
      <x:c r="E121" s="1"/>
      <x:c r="F121" s="1"/>
      <x:c r="G121" s="1"/>
      <x:c r="H121" s="1"/>
      <x:c r="I121" s="1"/>
      <x:c r="J121" s="1"/>
      <x:c r="K121" s="1"/>
      <x:c r="L121" s="1"/>
      <x:c r="M121" s="1"/>
      <x:c r="N121" s="1"/>
      <x:c r="O121" s="1"/>
      <x:c r="P121" s="1"/>
      <x:c r="Q121" s="1"/>
      <x:c r="R121" s="1"/>
      <x:c r="S121" s="1"/>
      <x:c r="T121" s="1"/>
    </x:row>
    <x:row r="122" ht="18" customHeight="1">
      <x:c r="A122" s="1"/>
      <x:c r="B122" s="1"/>
      <x:c r="C122" s="1"/>
      <x:c r="D122" s="1"/>
      <x:c r="E122" s="1"/>
      <x:c r="F122" s="1"/>
      <x:c r="G122" s="1"/>
      <x:c r="H122" s="1"/>
      <x:c r="I122" s="1"/>
      <x:c r="J122" s="1"/>
      <x:c r="K122" s="1"/>
      <x:c r="L122" s="1"/>
      <x:c r="M122" s="1"/>
      <x:c r="N122" s="1"/>
      <x:c r="O122" s="1"/>
      <x:c r="P122" s="1"/>
      <x:c r="Q122" s="1"/>
      <x:c r="R122" s="1"/>
      <x:c r="S122" s="1"/>
      <x:c r="T122" s="1"/>
    </x:row>
    <x:row r="123" ht="18" customHeight="1">
      <x:c r="A123" s="1"/>
      <x:c r="B123" s="1"/>
      <x:c r="C123" s="1"/>
      <x:c r="D123" s="1"/>
      <x:c r="E123" s="1"/>
      <x:c r="F123" s="1"/>
      <x:c r="G123" s="1"/>
      <x:c r="H123" s="1"/>
      <x:c r="I123" s="1"/>
      <x:c r="J123" s="1"/>
      <x:c r="K123" s="1"/>
      <x:c r="L123" s="1"/>
      <x:c r="M123" s="1"/>
      <x:c r="N123" s="1"/>
      <x:c r="O123" s="1"/>
      <x:c r="P123" s="1"/>
      <x:c r="Q123" s="1"/>
      <x:c r="R123" s="1"/>
      <x:c r="S123" s="1"/>
      <x:c r="T123" s="1"/>
    </x:row>
    <x:row r="124" ht="18" customHeight="1">
      <x:c r="A124" s="1"/>
      <x:c r="B124" s="1"/>
      <x:c r="C124" s="1"/>
      <x:c r="D124" s="1"/>
      <x:c r="E124" s="1"/>
      <x:c r="F124" s="1"/>
      <x:c r="G124" s="1"/>
      <x:c r="H124" s="1"/>
      <x:c r="I124" s="1"/>
      <x:c r="J124" s="1"/>
      <x:c r="K124" s="1"/>
      <x:c r="L124" s="1"/>
      <x:c r="M124" s="1"/>
      <x:c r="N124" s="1"/>
      <x:c r="O124" s="1"/>
      <x:c r="P124" s="1"/>
      <x:c r="Q124" s="1"/>
      <x:c r="R124" s="1"/>
      <x:c r="S124" s="1"/>
      <x:c r="T124" s="1"/>
    </x:row>
    <x:row r="125" ht="18" customHeight="1">
      <x:c r="A125" s="1"/>
      <x:c r="B125" s="1"/>
      <x:c r="C125" s="1"/>
      <x:c r="D125" s="1"/>
      <x:c r="E125" s="1"/>
      <x:c r="F125" s="1"/>
      <x:c r="G125" s="1"/>
      <x:c r="H125" s="1"/>
      <x:c r="I125" s="1"/>
      <x:c r="J125" s="1"/>
      <x:c r="K125" s="1"/>
      <x:c r="L125" s="1"/>
      <x:c r="M125" s="1"/>
      <x:c r="N125" s="1"/>
      <x:c r="O125" s="1"/>
      <x:c r="P125" s="1"/>
      <x:c r="Q125" s="1"/>
      <x:c r="R125" s="1"/>
      <x:c r="S125" s="1"/>
      <x:c r="T125" s="1"/>
    </x:row>
    <x:row r="126" ht="18" customHeight="1">
      <x:c r="A126" s="1"/>
      <x:c r="B126" s="1"/>
      <x:c r="C126" s="1"/>
      <x:c r="D126" s="1"/>
      <x:c r="E126" s="1"/>
      <x:c r="F126" s="1"/>
      <x:c r="G126" s="1"/>
      <x:c r="H126" s="1"/>
      <x:c r="I126" s="1"/>
      <x:c r="J126" s="1"/>
      <x:c r="K126" s="1"/>
      <x:c r="L126" s="1"/>
      <x:c r="M126" s="1"/>
      <x:c r="N126" s="1"/>
      <x:c r="O126" s="1"/>
      <x:c r="P126" s="1"/>
      <x:c r="Q126" s="1"/>
      <x:c r="R126" s="1"/>
      <x:c r="S126" s="1"/>
      <x:c r="T126" s="1"/>
    </x:row>
    <x:row r="127" ht="18" customHeight="1">
      <x:c r="A127" s="1"/>
      <x:c r="B127" s="1"/>
      <x:c r="C127" s="1"/>
      <x:c r="D127" s="1"/>
      <x:c r="E127" s="1"/>
      <x:c r="F127" s="1"/>
      <x:c r="G127" s="1"/>
      <x:c r="H127" s="1"/>
      <x:c r="I127" s="1"/>
      <x:c r="J127" s="1"/>
      <x:c r="K127" s="1"/>
      <x:c r="L127" s="1"/>
      <x:c r="M127" s="1"/>
      <x:c r="N127" s="1"/>
      <x:c r="O127" s="1"/>
      <x:c r="P127" s="1"/>
      <x:c r="Q127" s="1"/>
      <x:c r="R127" s="1"/>
      <x:c r="S127" s="1"/>
      <x:c r="T127" s="1"/>
    </x:row>
    <x:row r="128" ht="18" customHeight="1">
      <x:c r="A128" s="1"/>
      <x:c r="B128" s="1"/>
      <x:c r="C128" s="1"/>
      <x:c r="D128" s="1"/>
      <x:c r="E128" s="1"/>
      <x:c r="F128" s="1"/>
      <x:c r="G128" s="1"/>
      <x:c r="H128" s="1"/>
      <x:c r="I128" s="1"/>
      <x:c r="J128" s="1"/>
      <x:c r="K128" s="1"/>
      <x:c r="L128" s="1"/>
      <x:c r="M128" s="1"/>
      <x:c r="N128" s="1"/>
      <x:c r="O128" s="1"/>
      <x:c r="P128" s="1"/>
      <x:c r="Q128" s="1"/>
      <x:c r="R128" s="1"/>
      <x:c r="S128" s="1"/>
      <x:c r="T128" s="1"/>
    </x:row>
    <x:row r="129" ht="18" customHeight="1">
      <x:c r="A129" s="1"/>
      <x:c r="B129" s="1"/>
      <x:c r="C129" s="1"/>
      <x:c r="D129" s="1"/>
      <x:c r="E129" s="1"/>
      <x:c r="F129" s="1"/>
      <x:c r="G129" s="1"/>
      <x:c r="H129" s="1"/>
      <x:c r="I129" s="1"/>
      <x:c r="J129" s="1"/>
      <x:c r="K129" s="1"/>
      <x:c r="L129" s="1"/>
      <x:c r="M129" s="1"/>
      <x:c r="N129" s="1"/>
      <x:c r="O129" s="1"/>
      <x:c r="P129" s="1"/>
      <x:c r="Q129" s="1"/>
      <x:c r="R129" s="1"/>
      <x:c r="S129" s="1"/>
      <x:c r="T129" s="1"/>
    </x:row>
    <x:row r="130" ht="18" customHeight="1">
      <x:c r="A130" s="1"/>
      <x:c r="B130" s="1"/>
      <x:c r="C130" s="1"/>
      <x:c r="D130" s="1"/>
      <x:c r="E130" s="1"/>
      <x:c r="F130" s="1"/>
      <x:c r="G130" s="1"/>
      <x:c r="H130" s="1"/>
      <x:c r="I130" s="1"/>
      <x:c r="J130" s="1"/>
      <x:c r="K130" s="1"/>
      <x:c r="L130" s="1"/>
      <x:c r="M130" s="1"/>
      <x:c r="N130" s="1"/>
      <x:c r="O130" s="1"/>
      <x:c r="P130" s="1"/>
      <x:c r="Q130" s="1"/>
      <x:c r="R130" s="1"/>
      <x:c r="S130" s="1"/>
      <x:c r="T130" s="1"/>
    </x:row>
    <x:row r="131" ht="18" customHeight="1">
      <x:c r="A131" s="1"/>
      <x:c r="B131" s="1"/>
      <x:c r="C131" s="1"/>
      <x:c r="D131" s="1"/>
      <x:c r="E131" s="1"/>
      <x:c r="F131" s="1"/>
      <x:c r="G131" s="1"/>
      <x:c r="H131" s="1"/>
      <x:c r="I131" s="1"/>
      <x:c r="J131" s="1"/>
      <x:c r="K131" s="1"/>
      <x:c r="L131" s="1"/>
      <x:c r="M131" s="1"/>
      <x:c r="N131" s="1"/>
      <x:c r="O131" s="1"/>
      <x:c r="P131" s="1"/>
      <x:c r="Q131" s="1"/>
      <x:c r="R131" s="1"/>
      <x:c r="S131" s="1"/>
      <x:c r="T131" s="1"/>
    </x:row>
    <x:row r="132" ht="18" customHeight="1">
      <x:c r="A132" s="1"/>
      <x:c r="B132" s="1"/>
      <x:c r="C132" s="1"/>
      <x:c r="D132" s="1"/>
      <x:c r="E132" s="1"/>
      <x:c r="F132" s="1"/>
      <x:c r="G132" s="1"/>
      <x:c r="H132" s="1"/>
      <x:c r="I132" s="1"/>
      <x:c r="J132" s="1"/>
      <x:c r="K132" s="1"/>
      <x:c r="L132" s="1"/>
      <x:c r="M132" s="1"/>
      <x:c r="N132" s="1"/>
      <x:c r="O132" s="1"/>
      <x:c r="P132" s="1"/>
      <x:c r="Q132" s="1"/>
      <x:c r="R132" s="1"/>
      <x:c r="S132" s="1"/>
      <x:c r="T132" s="1"/>
    </x:row>
    <x:row r="133" ht="18" customHeight="1">
      <x:c r="A133" s="1"/>
      <x:c r="B133" s="1"/>
      <x:c r="C133" s="1"/>
      <x:c r="D133" s="1"/>
      <x:c r="E133" s="1"/>
      <x:c r="F133" s="1"/>
      <x:c r="G133" s="1"/>
      <x:c r="H133" s="1"/>
      <x:c r="I133" s="1"/>
      <x:c r="J133" s="1"/>
      <x:c r="K133" s="1"/>
      <x:c r="L133" s="1"/>
      <x:c r="M133" s="1"/>
      <x:c r="N133" s="1"/>
      <x:c r="O133" s="1"/>
      <x:c r="P133" s="1"/>
      <x:c r="Q133" s="1"/>
      <x:c r="R133" s="1"/>
      <x:c r="S133" s="1"/>
      <x:c r="T133" s="1"/>
    </x:row>
    <x:row r="134" ht="18" customHeight="1">
      <x:c r="A134" s="1"/>
      <x:c r="B134" s="1"/>
      <x:c r="C134" s="1"/>
      <x:c r="D134" s="1"/>
      <x:c r="E134" s="1"/>
      <x:c r="F134" s="1"/>
      <x:c r="G134" s="1"/>
      <x:c r="H134" s="1"/>
      <x:c r="I134" s="1"/>
      <x:c r="J134" s="1"/>
      <x:c r="K134" s="1"/>
      <x:c r="L134" s="1"/>
      <x:c r="M134" s="1"/>
      <x:c r="N134" s="1"/>
      <x:c r="O134" s="1"/>
      <x:c r="P134" s="1"/>
      <x:c r="Q134" s="1"/>
      <x:c r="R134" s="1"/>
      <x:c r="S134" s="1"/>
      <x:c r="T134" s="1"/>
    </x:row>
    <x:row r="135" ht="18" customHeight="1">
      <x:c r="A135" s="1"/>
      <x:c r="B135" s="1"/>
      <x:c r="C135" s="1"/>
      <x:c r="D135" s="1"/>
      <x:c r="E135" s="1"/>
      <x:c r="F135" s="1"/>
      <x:c r="G135" s="1"/>
      <x:c r="H135" s="1"/>
      <x:c r="I135" s="1"/>
      <x:c r="J135" s="1"/>
      <x:c r="K135" s="1"/>
      <x:c r="L135" s="1"/>
      <x:c r="M135" s="1"/>
      <x:c r="N135" s="1"/>
      <x:c r="O135" s="1"/>
      <x:c r="P135" s="1"/>
      <x:c r="Q135" s="1"/>
      <x:c r="R135" s="1"/>
      <x:c r="S135" s="1"/>
      <x:c r="T135" s="1"/>
    </x:row>
    <x:row r="136" ht="18" customHeight="1">
      <x:c r="A136" s="1"/>
      <x:c r="B136" s="1"/>
      <x:c r="C136" s="1"/>
      <x:c r="D136" s="1"/>
      <x:c r="E136" s="1"/>
      <x:c r="F136" s="1"/>
      <x:c r="G136" s="1"/>
      <x:c r="H136" s="1"/>
      <x:c r="I136" s="1"/>
      <x:c r="J136" s="1"/>
      <x:c r="K136" s="1"/>
      <x:c r="L136" s="1"/>
      <x:c r="M136" s="1"/>
      <x:c r="N136" s="1"/>
      <x:c r="O136" s="1"/>
      <x:c r="P136" s="1"/>
      <x:c r="Q136" s="1"/>
      <x:c r="R136" s="1"/>
      <x:c r="S136" s="1"/>
      <x:c r="T136" s="1"/>
    </x:row>
    <x:row r="137" ht="18" customHeight="1">
      <x:c r="A137" s="1"/>
      <x:c r="B137" s="1"/>
      <x:c r="C137" s="1"/>
      <x:c r="D137" s="1"/>
      <x:c r="E137" s="1"/>
      <x:c r="F137" s="1"/>
      <x:c r="G137" s="1"/>
      <x:c r="H137" s="1"/>
      <x:c r="I137" s="1"/>
      <x:c r="J137" s="1"/>
      <x:c r="K137" s="1"/>
      <x:c r="L137" s="1"/>
      <x:c r="M137" s="1"/>
      <x:c r="N137" s="1"/>
      <x:c r="O137" s="1"/>
      <x:c r="P137" s="1"/>
      <x:c r="Q137" s="1"/>
      <x:c r="R137" s="1"/>
      <x:c r="S137" s="1"/>
      <x:c r="T137" s="1"/>
    </x:row>
    <x:row r="138" ht="18" customHeight="1">
      <x:c r="A138" s="1"/>
      <x:c r="B138" s="1"/>
      <x:c r="C138" s="1"/>
      <x:c r="D138" s="1"/>
      <x:c r="E138" s="1"/>
      <x:c r="F138" s="1"/>
      <x:c r="G138" s="1"/>
      <x:c r="H138" s="1"/>
      <x:c r="I138" s="1"/>
      <x:c r="J138" s="1"/>
      <x:c r="K138" s="1"/>
      <x:c r="L138" s="1"/>
      <x:c r="M138" s="1"/>
      <x:c r="N138" s="1"/>
      <x:c r="O138" s="1"/>
      <x:c r="P138" s="1"/>
      <x:c r="Q138" s="1"/>
      <x:c r="R138" s="1"/>
      <x:c r="S138" s="1"/>
      <x:c r="T138" s="1"/>
    </x:row>
    <x:row r="139" ht="18" customHeight="1">
      <x:c r="A139" s="1"/>
      <x:c r="B139" s="1"/>
      <x:c r="C139" s="1"/>
      <x:c r="D139" s="1"/>
      <x:c r="E139" s="1"/>
      <x:c r="F139" s="1"/>
      <x:c r="G139" s="1"/>
      <x:c r="H139" s="1"/>
      <x:c r="I139" s="1"/>
      <x:c r="J139" s="1"/>
      <x:c r="K139" s="1"/>
      <x:c r="L139" s="1"/>
      <x:c r="M139" s="1"/>
      <x:c r="N139" s="1"/>
      <x:c r="O139" s="1"/>
      <x:c r="P139" s="1"/>
      <x:c r="Q139" s="1"/>
      <x:c r="R139" s="1"/>
      <x:c r="S139" s="1"/>
      <x:c r="T139" s="1"/>
    </x:row>
    <x:row r="140" ht="18" customHeight="1">
      <x:c r="A140" s="1"/>
      <x:c r="B140" s="1"/>
      <x:c r="C140" s="1"/>
      <x:c r="D140" s="1"/>
      <x:c r="E140" s="1"/>
      <x:c r="F140" s="1"/>
      <x:c r="G140" s="1"/>
      <x:c r="H140" s="1"/>
      <x:c r="I140" s="1"/>
      <x:c r="J140" s="1"/>
      <x:c r="K140" s="1"/>
      <x:c r="L140" s="1"/>
      <x:c r="M140" s="1"/>
      <x:c r="N140" s="1"/>
      <x:c r="O140" s="1"/>
      <x:c r="P140" s="1"/>
      <x:c r="Q140" s="1"/>
      <x:c r="R140" s="1"/>
      <x:c r="S140" s="1"/>
      <x:c r="T140" s="1"/>
    </x:row>
    <x:row r="141" ht="18" customHeight="1">
      <x:c r="A141" s="1"/>
      <x:c r="B141" s="1"/>
      <x:c r="C141" s="1"/>
      <x:c r="D141" s="1"/>
      <x:c r="E141" s="1"/>
      <x:c r="F141" s="1"/>
      <x:c r="G141" s="1"/>
      <x:c r="H141" s="1"/>
      <x:c r="I141" s="1"/>
      <x:c r="J141" s="1"/>
      <x:c r="K141" s="1"/>
      <x:c r="L141" s="1"/>
      <x:c r="M141" s="1"/>
      <x:c r="N141" s="1"/>
      <x:c r="O141" s="1"/>
      <x:c r="P141" s="1"/>
      <x:c r="Q141" s="1"/>
      <x:c r="R141" s="1"/>
      <x:c r="S141" s="1"/>
      <x:c r="T141" s="1"/>
    </x:row>
    <x:row r="142" ht="18" customHeight="1">
      <x:c r="A142" s="1"/>
      <x:c r="B142" s="1"/>
      <x:c r="C142" s="1"/>
      <x:c r="D142" s="1"/>
      <x:c r="E142" s="1"/>
      <x:c r="F142" s="1"/>
      <x:c r="G142" s="1"/>
      <x:c r="H142" s="1"/>
      <x:c r="I142" s="1"/>
      <x:c r="J142" s="1"/>
      <x:c r="K142" s="1"/>
      <x:c r="L142" s="1"/>
      <x:c r="M142" s="1"/>
      <x:c r="N142" s="1"/>
      <x:c r="O142" s="1"/>
      <x:c r="P142" s="1"/>
      <x:c r="Q142" s="1"/>
      <x:c r="R142" s="1"/>
      <x:c r="S142" s="1"/>
      <x:c r="T142" s="1"/>
    </x:row>
    <x:row r="143" ht="18" customHeight="1">
      <x:c r="A143" s="1"/>
      <x:c r="B143" s="1"/>
      <x:c r="C143" s="1"/>
      <x:c r="D143" s="1"/>
      <x:c r="E143" s="1"/>
      <x:c r="F143" s="1"/>
      <x:c r="G143" s="1"/>
      <x:c r="H143" s="1"/>
      <x:c r="I143" s="1"/>
      <x:c r="J143" s="1"/>
      <x:c r="K143" s="1"/>
      <x:c r="L143" s="1"/>
      <x:c r="M143" s="1"/>
      <x:c r="N143" s="1"/>
      <x:c r="O143" s="1"/>
      <x:c r="P143" s="1"/>
      <x:c r="Q143" s="1"/>
      <x:c r="R143" s="1"/>
      <x:c r="S143" s="1"/>
      <x:c r="T143" s="1"/>
    </x:row>
    <x:row r="144" ht="18" customHeight="1">
      <x:c r="A144" s="1"/>
      <x:c r="B144" s="1"/>
      <x:c r="C144" s="1"/>
      <x:c r="D144" s="1"/>
      <x:c r="E144" s="1"/>
      <x:c r="F144" s="1"/>
      <x:c r="G144" s="1"/>
      <x:c r="H144" s="1"/>
      <x:c r="I144" s="1"/>
      <x:c r="J144" s="1"/>
      <x:c r="K144" s="1"/>
      <x:c r="L144" s="1"/>
      <x:c r="M144" s="1"/>
      <x:c r="N144" s="1"/>
      <x:c r="O144" s="1"/>
      <x:c r="P144" s="1"/>
      <x:c r="Q144" s="1"/>
      <x:c r="R144" s="1"/>
      <x:c r="S144" s="1"/>
      <x:c r="T144" s="1"/>
    </x:row>
    <x:row r="145" ht="18" customHeight="1">
      <x:c r="A145" s="1"/>
      <x:c r="B145" s="1"/>
      <x:c r="C145" s="1"/>
      <x:c r="D145" s="1"/>
      <x:c r="E145" s="1"/>
      <x:c r="F145" s="1"/>
      <x:c r="G145" s="1"/>
      <x:c r="H145" s="1"/>
      <x:c r="I145" s="1"/>
      <x:c r="J145" s="1"/>
      <x:c r="K145" s="1"/>
      <x:c r="L145" s="1"/>
      <x:c r="M145" s="1"/>
      <x:c r="N145" s="1"/>
      <x:c r="O145" s="1"/>
      <x:c r="P145" s="1"/>
      <x:c r="Q145" s="1"/>
      <x:c r="R145" s="1"/>
      <x:c r="S145" s="1"/>
      <x:c r="T145" s="1"/>
    </x:row>
    <x:row r="146" ht="18" customHeight="1">
      <x:c r="A146" s="1"/>
      <x:c r="B146" s="1"/>
      <x:c r="C146" s="1"/>
      <x:c r="D146" s="1"/>
      <x:c r="E146" s="1"/>
      <x:c r="F146" s="1"/>
      <x:c r="G146" s="1"/>
      <x:c r="H146" s="1"/>
      <x:c r="I146" s="1"/>
      <x:c r="J146" s="1"/>
      <x:c r="K146" s="1"/>
      <x:c r="L146" s="1"/>
      <x:c r="M146" s="1"/>
      <x:c r="N146" s="1"/>
      <x:c r="O146" s="1"/>
      <x:c r="P146" s="1"/>
      <x:c r="Q146" s="1"/>
      <x:c r="R146" s="1"/>
      <x:c r="S146" s="1"/>
      <x:c r="T146" s="1"/>
    </x:row>
    <x:row r="147" ht="18" customHeight="1">
      <x:c r="A147" s="1"/>
      <x:c r="B147" s="1"/>
      <x:c r="C147" s="1"/>
      <x:c r="D147" s="1"/>
      <x:c r="E147" s="1"/>
      <x:c r="F147" s="1"/>
      <x:c r="G147" s="1"/>
      <x:c r="H147" s="1"/>
      <x:c r="I147" s="1"/>
      <x:c r="J147" s="1"/>
      <x:c r="K147" s="1"/>
      <x:c r="L147" s="1"/>
      <x:c r="M147" s="1"/>
      <x:c r="N147" s="1"/>
      <x:c r="O147" s="1"/>
      <x:c r="P147" s="1"/>
      <x:c r="Q147" s="1"/>
      <x:c r="R147" s="1"/>
      <x:c r="S147" s="1"/>
      <x:c r="T147" s="1"/>
    </x:row>
    <x:row r="148" ht="18" customHeight="1">
      <x:c r="A148" s="1"/>
      <x:c r="B148" s="1"/>
      <x:c r="C148" s="1"/>
      <x:c r="D148" s="1"/>
      <x:c r="E148" s="1"/>
      <x:c r="F148" s="1"/>
      <x:c r="G148" s="1"/>
      <x:c r="H148" s="1"/>
      <x:c r="I148" s="1"/>
      <x:c r="J148" s="1"/>
      <x:c r="K148" s="1"/>
      <x:c r="L148" s="1"/>
      <x:c r="M148" s="1"/>
      <x:c r="N148" s="1"/>
      <x:c r="O148" s="1"/>
      <x:c r="P148" s="1"/>
      <x:c r="Q148" s="1"/>
      <x:c r="R148" s="1"/>
      <x:c r="S148" s="1"/>
      <x:c r="T148" s="1"/>
    </x:row>
    <x:row r="149" ht="18" customHeight="1">
      <x:c r="A149" s="1"/>
      <x:c r="B149" s="1"/>
      <x:c r="C149" s="1"/>
      <x:c r="D149" s="1"/>
      <x:c r="E149" s="1"/>
      <x:c r="F149" s="1"/>
      <x:c r="G149" s="1"/>
      <x:c r="H149" s="1"/>
      <x:c r="I149" s="1"/>
      <x:c r="J149" s="1"/>
      <x:c r="K149" s="1"/>
      <x:c r="L149" s="1"/>
      <x:c r="M149" s="1"/>
      <x:c r="N149" s="1"/>
      <x:c r="O149" s="1"/>
      <x:c r="P149" s="1"/>
      <x:c r="Q149" s="1"/>
      <x:c r="R149" s="1"/>
      <x:c r="S149" s="1"/>
      <x:c r="T149" s="1"/>
    </x:row>
    <x:row r="150" ht="18" customHeight="1">
      <x:c r="A150" s="1"/>
      <x:c r="B150" s="1"/>
      <x:c r="C150" s="1"/>
      <x:c r="D150" s="1"/>
      <x:c r="E150" s="1"/>
      <x:c r="F150" s="1"/>
      <x:c r="G150" s="1"/>
      <x:c r="H150" s="1"/>
      <x:c r="I150" s="1"/>
      <x:c r="J150" s="1"/>
      <x:c r="K150" s="1"/>
      <x:c r="L150" s="1"/>
      <x:c r="M150" s="1"/>
      <x:c r="N150" s="1"/>
      <x:c r="O150" s="1"/>
      <x:c r="P150" s="1"/>
      <x:c r="Q150" s="1"/>
      <x:c r="R150" s="1"/>
      <x:c r="S150" s="1"/>
      <x:c r="T150" s="1"/>
    </x:row>
    <x:row r="151" ht="18" customHeight="1">
      <x:c r="A151" s="1"/>
      <x:c r="B151" s="1"/>
      <x:c r="C151" s="1"/>
      <x:c r="D151" s="1"/>
      <x:c r="E151" s="1"/>
      <x:c r="F151" s="1"/>
      <x:c r="G151" s="1"/>
      <x:c r="H151" s="1"/>
      <x:c r="I151" s="1"/>
      <x:c r="J151" s="1"/>
      <x:c r="K151" s="1"/>
      <x:c r="L151" s="1"/>
      <x:c r="M151" s="1"/>
      <x:c r="N151" s="1"/>
      <x:c r="O151" s="1"/>
      <x:c r="P151" s="1"/>
      <x:c r="Q151" s="1"/>
      <x:c r="R151" s="1"/>
      <x:c r="S151" s="1"/>
      <x:c r="T151" s="1"/>
    </x:row>
    <x:row r="152" ht="18" customHeight="1">
      <x:c r="A152" s="1"/>
      <x:c r="B152" s="1"/>
      <x:c r="C152" s="1"/>
      <x:c r="D152" s="1"/>
      <x:c r="E152" s="1"/>
      <x:c r="F152" s="1"/>
      <x:c r="G152" s="1"/>
      <x:c r="H152" s="1"/>
      <x:c r="I152" s="1"/>
      <x:c r="J152" s="1"/>
      <x:c r="K152" s="1"/>
      <x:c r="L152" s="1"/>
      <x:c r="M152" s="1"/>
      <x:c r="N152" s="1"/>
      <x:c r="O152" s="1"/>
      <x:c r="P152" s="1"/>
      <x:c r="Q152" s="1"/>
      <x:c r="R152" s="1"/>
      <x:c r="S152" s="1"/>
      <x:c r="T152" s="1"/>
    </x:row>
    <x:row r="153" ht="18" customHeight="1">
      <x:c r="A153" s="1"/>
      <x:c r="B153" s="1"/>
      <x:c r="C153" s="1"/>
      <x:c r="D153" s="1"/>
      <x:c r="E153" s="1"/>
      <x:c r="F153" s="1"/>
      <x:c r="G153" s="1"/>
      <x:c r="H153" s="1"/>
      <x:c r="I153" s="1"/>
      <x:c r="J153" s="1"/>
      <x:c r="K153" s="1"/>
      <x:c r="L153" s="1"/>
      <x:c r="M153" s="1"/>
      <x:c r="N153" s="1"/>
      <x:c r="O153" s="1"/>
      <x:c r="P153" s="1"/>
      <x:c r="Q153" s="1"/>
      <x:c r="R153" s="1"/>
      <x:c r="S153" s="1"/>
      <x:c r="T153" s="1"/>
    </x:row>
    <x:row r="154" ht="18" customHeight="1">
      <x:c r="A154" s="1"/>
      <x:c r="B154" s="1"/>
      <x:c r="C154" s="1"/>
      <x:c r="D154" s="1"/>
      <x:c r="E154" s="1"/>
      <x:c r="F154" s="1"/>
      <x:c r="G154" s="1"/>
      <x:c r="H154" s="1"/>
      <x:c r="I154" s="1"/>
      <x:c r="J154" s="1"/>
      <x:c r="K154" s="1"/>
      <x:c r="L154" s="1"/>
      <x:c r="M154" s="1"/>
      <x:c r="N154" s="1"/>
      <x:c r="O154" s="1"/>
      <x:c r="P154" s="1"/>
      <x:c r="Q154" s="1"/>
      <x:c r="R154" s="1"/>
      <x:c r="S154" s="1"/>
      <x:c r="T154" s="1"/>
    </x:row>
    <x:row r="155" ht="18" customHeight="1">
      <x:c r="A155" s="1"/>
      <x:c r="B155" s="1"/>
      <x:c r="C155" s="1"/>
      <x:c r="D155" s="1"/>
      <x:c r="E155" s="1"/>
      <x:c r="F155" s="1"/>
      <x:c r="G155" s="1"/>
      <x:c r="H155" s="1"/>
      <x:c r="I155" s="1"/>
      <x:c r="J155" s="1"/>
      <x:c r="K155" s="1"/>
      <x:c r="L155" s="1"/>
      <x:c r="M155" s="1"/>
      <x:c r="N155" s="1"/>
      <x:c r="O155" s="1"/>
      <x:c r="P155" s="1"/>
      <x:c r="Q155" s="1"/>
      <x:c r="R155" s="1"/>
      <x:c r="S155" s="1"/>
      <x:c r="T155" s="1"/>
    </x:row>
    <x:row r="156" ht="18" customHeight="1">
      <x:c r="A156" s="1"/>
      <x:c r="B156" s="1"/>
      <x:c r="C156" s="1"/>
      <x:c r="D156" s="1"/>
      <x:c r="E156" s="1"/>
      <x:c r="F156" s="1"/>
      <x:c r="G156" s="1"/>
      <x:c r="H156" s="1"/>
      <x:c r="I156" s="1"/>
      <x:c r="J156" s="1"/>
      <x:c r="K156" s="1"/>
      <x:c r="L156" s="1"/>
      <x:c r="M156" s="1"/>
      <x:c r="N156" s="1"/>
      <x:c r="O156" s="1"/>
      <x:c r="P156" s="1"/>
      <x:c r="Q156" s="1"/>
      <x:c r="R156" s="1"/>
      <x:c r="S156" s="1"/>
      <x:c r="T156" s="1"/>
    </x:row>
    <x:row r="157" ht="18" customHeight="1">
      <x:c r="A157" s="1"/>
      <x:c r="B157" s="1"/>
      <x:c r="C157" s="1"/>
      <x:c r="D157" s="1"/>
      <x:c r="E157" s="1"/>
      <x:c r="F157" s="1"/>
      <x:c r="G157" s="1"/>
      <x:c r="H157" s="1"/>
      <x:c r="I157" s="1"/>
      <x:c r="J157" s="1"/>
      <x:c r="K157" s="1"/>
      <x:c r="L157" s="1"/>
      <x:c r="M157" s="1"/>
      <x:c r="N157" s="1"/>
      <x:c r="O157" s="1"/>
      <x:c r="P157" s="1"/>
      <x:c r="Q157" s="1"/>
      <x:c r="R157" s="1"/>
      <x:c r="S157" s="1"/>
      <x:c r="T157" s="1"/>
    </x:row>
    <x:row r="158" ht="18" customHeight="1">
      <x:c r="A158" s="1"/>
      <x:c r="B158" s="1"/>
      <x:c r="C158" s="1"/>
      <x:c r="D158" s="1"/>
      <x:c r="E158" s="1"/>
      <x:c r="F158" s="1"/>
      <x:c r="G158" s="1"/>
      <x:c r="H158" s="1"/>
      <x:c r="I158" s="1"/>
      <x:c r="J158" s="1"/>
      <x:c r="K158" s="1"/>
      <x:c r="L158" s="1"/>
      <x:c r="M158" s="1"/>
      <x:c r="N158" s="1"/>
      <x:c r="O158" s="1"/>
      <x:c r="P158" s="1"/>
      <x:c r="Q158" s="1"/>
      <x:c r="R158" s="1"/>
      <x:c r="S158" s="1"/>
      <x:c r="T158" s="1"/>
    </x:row>
    <x:row r="159" ht="18" customHeight="1">
      <x:c r="A159" s="1"/>
      <x:c r="B159" s="1"/>
      <x:c r="C159" s="1"/>
      <x:c r="D159" s="1"/>
      <x:c r="E159" s="1"/>
      <x:c r="F159" s="1"/>
      <x:c r="G159" s="1"/>
      <x:c r="H159" s="1"/>
      <x:c r="I159" s="1"/>
      <x:c r="J159" s="1"/>
      <x:c r="K159" s="1"/>
      <x:c r="L159" s="1"/>
      <x:c r="M159" s="1"/>
      <x:c r="N159" s="1"/>
      <x:c r="O159" s="1"/>
      <x:c r="P159" s="1"/>
      <x:c r="Q159" s="1"/>
      <x:c r="R159" s="1"/>
      <x:c r="S159" s="1"/>
      <x:c r="T159" s="1"/>
    </x:row>
    <x:row r="160" ht="18" customHeight="1">
      <x:c r="A160" s="1"/>
      <x:c r="B160" s="1"/>
      <x:c r="C160" s="1"/>
      <x:c r="D160" s="1"/>
      <x:c r="E160" s="1"/>
      <x:c r="F160" s="1"/>
      <x:c r="G160" s="1"/>
      <x:c r="H160" s="1"/>
      <x:c r="I160" s="1"/>
      <x:c r="J160" s="1"/>
      <x:c r="K160" s="1"/>
      <x:c r="L160" s="1"/>
      <x:c r="M160" s="1"/>
      <x:c r="N160" s="1"/>
      <x:c r="O160" s="1"/>
      <x:c r="P160" s="1"/>
      <x:c r="Q160" s="1"/>
      <x:c r="R160" s="1"/>
      <x:c r="S160" s="1"/>
      <x:c r="T160" s="1"/>
    </x:row>
    <x:row r="161" ht="18" customHeight="1">
      <x:c r="A161" s="1"/>
      <x:c r="B161" s="1"/>
      <x:c r="C161" s="1"/>
      <x:c r="D161" s="1"/>
      <x:c r="E161" s="1"/>
      <x:c r="F161" s="1"/>
      <x:c r="G161" s="1"/>
      <x:c r="H161" s="1"/>
      <x:c r="I161" s="1"/>
      <x:c r="J161" s="1"/>
      <x:c r="K161" s="1"/>
      <x:c r="L161" s="1"/>
      <x:c r="M161" s="1"/>
      <x:c r="N161" s="1"/>
      <x:c r="O161" s="1"/>
      <x:c r="P161" s="1"/>
      <x:c r="Q161" s="1"/>
      <x:c r="R161" s="1"/>
      <x:c r="S161" s="1"/>
      <x:c r="T161" s="1"/>
    </x:row>
    <x:row r="162" ht="18" customHeight="1">
      <x:c r="A162" s="1"/>
      <x:c r="B162" s="1"/>
      <x:c r="C162" s="1"/>
      <x:c r="D162" s="1"/>
      <x:c r="E162" s="1"/>
      <x:c r="F162" s="1"/>
      <x:c r="G162" s="1"/>
      <x:c r="H162" s="1"/>
      <x:c r="I162" s="1"/>
      <x:c r="J162" s="1"/>
      <x:c r="K162" s="1"/>
      <x:c r="L162" s="1"/>
      <x:c r="M162" s="1"/>
      <x:c r="N162" s="1"/>
      <x:c r="O162" s="1"/>
      <x:c r="P162" s="1"/>
      <x:c r="Q162" s="1"/>
      <x:c r="R162" s="1"/>
      <x:c r="S162" s="1"/>
      <x:c r="T162" s="1"/>
    </x:row>
    <x:row r="163" ht="18" customHeight="1">
      <x:c r="A163" s="1"/>
      <x:c r="B163" s="1"/>
      <x:c r="C163" s="1"/>
      <x:c r="D163" s="1"/>
      <x:c r="E163" s="1"/>
      <x:c r="F163" s="1"/>
      <x:c r="G163" s="1"/>
      <x:c r="H163" s="1"/>
      <x:c r="I163" s="1"/>
      <x:c r="J163" s="1"/>
      <x:c r="K163" s="1"/>
      <x:c r="L163" s="1"/>
      <x:c r="M163" s="1"/>
      <x:c r="N163" s="1"/>
      <x:c r="O163" s="1"/>
      <x:c r="P163" s="1"/>
      <x:c r="Q163" s="1"/>
      <x:c r="R163" s="1"/>
      <x:c r="S163" s="1"/>
      <x:c r="T163" s="1"/>
    </x:row>
    <x:row r="164" ht="18" customHeight="1">
      <x:c r="A164" s="1"/>
      <x:c r="B164" s="1"/>
      <x:c r="C164" s="1"/>
      <x:c r="D164" s="1"/>
      <x:c r="E164" s="1"/>
      <x:c r="F164" s="1"/>
      <x:c r="G164" s="1"/>
      <x:c r="H164" s="1"/>
      <x:c r="I164" s="1"/>
      <x:c r="J164" s="1"/>
      <x:c r="K164" s="1"/>
      <x:c r="L164" s="1"/>
      <x:c r="M164" s="1"/>
      <x:c r="N164" s="1"/>
      <x:c r="O164" s="1"/>
      <x:c r="P164" s="1"/>
      <x:c r="Q164" s="1"/>
      <x:c r="R164" s="1"/>
      <x:c r="S164" s="1"/>
      <x:c r="T164" s="1"/>
    </x:row>
    <x:row r="165" ht="18" customHeight="1">
      <x:c r="A165" s="1"/>
      <x:c r="B165" s="1"/>
      <x:c r="C165" s="1"/>
      <x:c r="D165" s="1"/>
      <x:c r="E165" s="1"/>
      <x:c r="F165" s="1"/>
      <x:c r="G165" s="1"/>
      <x:c r="H165" s="1"/>
      <x:c r="I165" s="1"/>
      <x:c r="J165" s="1"/>
      <x:c r="K165" s="1"/>
      <x:c r="L165" s="1"/>
      <x:c r="M165" s="1"/>
      <x:c r="N165" s="1"/>
      <x:c r="O165" s="1"/>
      <x:c r="P165" s="1"/>
      <x:c r="Q165" s="1"/>
      <x:c r="R165" s="1"/>
      <x:c r="S165" s="1"/>
      <x:c r="T165" s="1"/>
    </x:row>
    <x:row r="166" ht="18" customHeight="1">
      <x:c r="A166" s="1"/>
      <x:c r="B166" s="1"/>
      <x:c r="C166" s="1"/>
      <x:c r="D166" s="1"/>
      <x:c r="E166" s="1"/>
      <x:c r="F166" s="1"/>
      <x:c r="G166" s="1"/>
      <x:c r="H166" s="1"/>
      <x:c r="I166" s="1"/>
      <x:c r="J166" s="1"/>
      <x:c r="K166" s="1"/>
      <x:c r="L166" s="1"/>
      <x:c r="M166" s="1"/>
      <x:c r="N166" s="1"/>
      <x:c r="O166" s="1"/>
      <x:c r="P166" s="1"/>
      <x:c r="Q166" s="1"/>
      <x:c r="R166" s="1"/>
      <x:c r="S166" s="1"/>
      <x:c r="T166" s="1"/>
    </x:row>
    <x:row r="167" ht="18" customHeight="1">
      <x:c r="A167" s="1"/>
      <x:c r="B167" s="1"/>
      <x:c r="C167" s="1"/>
      <x:c r="D167" s="1"/>
      <x:c r="E167" s="1"/>
      <x:c r="F167" s="1"/>
      <x:c r="G167" s="1"/>
      <x:c r="H167" s="1"/>
      <x:c r="I167" s="1"/>
      <x:c r="J167" s="1"/>
      <x:c r="K167" s="1"/>
      <x:c r="L167" s="1"/>
      <x:c r="M167" s="1"/>
      <x:c r="N167" s="1"/>
      <x:c r="O167" s="1"/>
      <x:c r="P167" s="1"/>
      <x:c r="Q167" s="1"/>
      <x:c r="R167" s="1"/>
      <x:c r="S167" s="1"/>
      <x:c r="T167" s="1"/>
    </x:row>
    <x:row r="168" ht="18" customHeight="1">
      <x:c r="A168" s="1"/>
      <x:c r="B168" s="1"/>
      <x:c r="C168" s="1"/>
      <x:c r="D168" s="1"/>
      <x:c r="E168" s="1"/>
      <x:c r="F168" s="1"/>
      <x:c r="G168" s="1"/>
      <x:c r="H168" s="1"/>
      <x:c r="I168" s="1"/>
      <x:c r="J168" s="1"/>
      <x:c r="K168" s="1"/>
      <x:c r="L168" s="1"/>
      <x:c r="M168" s="1"/>
      <x:c r="N168" s="1"/>
      <x:c r="O168" s="1"/>
      <x:c r="P168" s="1"/>
      <x:c r="Q168" s="1"/>
      <x:c r="R168" s="1"/>
      <x:c r="S168" s="1"/>
      <x:c r="T168" s="1"/>
    </x:row>
    <x:row r="169" ht="18" customHeight="1">
      <x:c r="A169" s="1"/>
      <x:c r="B169" s="1"/>
      <x:c r="C169" s="1"/>
      <x:c r="D169" s="1"/>
      <x:c r="E169" s="1"/>
      <x:c r="F169" s="1"/>
      <x:c r="G169" s="1"/>
      <x:c r="H169" s="1"/>
      <x:c r="I169" s="1"/>
      <x:c r="J169" s="1"/>
      <x:c r="K169" s="1"/>
      <x:c r="L169" s="1"/>
      <x:c r="M169" s="1"/>
      <x:c r="N169" s="1"/>
      <x:c r="O169" s="1"/>
      <x:c r="P169" s="1"/>
      <x:c r="Q169" s="1"/>
      <x:c r="R169" s="1"/>
      <x:c r="S169" s="1"/>
      <x:c r="T169" s="1"/>
    </x:row>
    <x:row r="170" ht="18" customHeight="1">
      <x:c r="A170" s="1"/>
      <x:c r="B170" s="1"/>
      <x:c r="C170" s="1"/>
      <x:c r="D170" s="1"/>
      <x:c r="E170" s="1"/>
      <x:c r="F170" s="1"/>
      <x:c r="G170" s="1"/>
      <x:c r="H170" s="1"/>
      <x:c r="I170" s="1"/>
      <x:c r="J170" s="1"/>
      <x:c r="K170" s="1"/>
      <x:c r="L170" s="1"/>
      <x:c r="M170" s="1"/>
      <x:c r="N170" s="1"/>
      <x:c r="O170" s="1"/>
      <x:c r="P170" s="1"/>
      <x:c r="Q170" s="1"/>
      <x:c r="R170" s="1"/>
      <x:c r="S170" s="1"/>
      <x:c r="T170" s="1"/>
    </x:row>
    <x:row r="171" ht="18" customHeight="1">
      <x:c r="A171" s="1"/>
      <x:c r="B171" s="1"/>
      <x:c r="C171" s="1"/>
      <x:c r="D171" s="1"/>
      <x:c r="E171" s="1"/>
      <x:c r="F171" s="1"/>
      <x:c r="G171" s="1"/>
      <x:c r="H171" s="1"/>
      <x:c r="I171" s="1"/>
      <x:c r="J171" s="1"/>
      <x:c r="K171" s="1"/>
      <x:c r="L171" s="1"/>
      <x:c r="M171" s="1"/>
      <x:c r="N171" s="1"/>
      <x:c r="O171" s="1"/>
      <x:c r="P171" s="1"/>
      <x:c r="Q171" s="1"/>
      <x:c r="R171" s="1"/>
      <x:c r="S171" s="1"/>
      <x:c r="T171" s="1"/>
    </x:row>
    <x:row r="172" ht="18" customHeight="1">
      <x:c r="A172" s="1"/>
      <x:c r="B172" s="1"/>
      <x:c r="C172" s="1"/>
      <x:c r="D172" s="1"/>
      <x:c r="E172" s="1"/>
      <x:c r="F172" s="1"/>
      <x:c r="G172" s="1"/>
      <x:c r="H172" s="1"/>
      <x:c r="I172" s="1"/>
      <x:c r="J172" s="1"/>
      <x:c r="K172" s="1"/>
      <x:c r="L172" s="1"/>
      <x:c r="M172" s="1"/>
      <x:c r="N172" s="1"/>
      <x:c r="O172" s="1"/>
      <x:c r="P172" s="1"/>
      <x:c r="Q172" s="1"/>
      <x:c r="R172" s="1"/>
      <x:c r="S172" s="1"/>
      <x:c r="T172" s="1"/>
    </x:row>
    <x:row r="173" ht="18" customHeight="1">
      <x:c r="A173" s="1"/>
      <x:c r="B173" s="1"/>
      <x:c r="C173" s="1"/>
      <x:c r="D173" s="1"/>
      <x:c r="E173" s="1"/>
      <x:c r="F173" s="1"/>
      <x:c r="G173" s="1"/>
      <x:c r="H173" s="1"/>
      <x:c r="I173" s="1"/>
      <x:c r="J173" s="1"/>
      <x:c r="K173" s="1"/>
      <x:c r="L173" s="1"/>
      <x:c r="M173" s="1"/>
      <x:c r="N173" s="1"/>
      <x:c r="O173" s="1"/>
      <x:c r="P173" s="1"/>
      <x:c r="Q173" s="1"/>
      <x:c r="R173" s="1"/>
      <x:c r="S173" s="1"/>
      <x:c r="T173" s="1"/>
    </x:row>
    <x:row r="174" ht="18" customHeight="1">
      <x:c r="A174" s="1"/>
      <x:c r="B174" s="1"/>
      <x:c r="C174" s="1"/>
      <x:c r="D174" s="1"/>
      <x:c r="E174" s="1"/>
      <x:c r="F174" s="1"/>
      <x:c r="G174" s="1"/>
      <x:c r="H174" s="1"/>
      <x:c r="I174" s="1"/>
      <x:c r="J174" s="1"/>
      <x:c r="K174" s="1"/>
      <x:c r="L174" s="1"/>
      <x:c r="M174" s="1"/>
      <x:c r="N174" s="1"/>
      <x:c r="O174" s="1"/>
      <x:c r="P174" s="1"/>
      <x:c r="Q174" s="1"/>
      <x:c r="R174" s="1"/>
      <x:c r="S174" s="1"/>
      <x:c r="T174" s="1"/>
    </x:row>
    <x:row r="175" ht="18" customHeight="1">
      <x:c r="A175" s="1"/>
      <x:c r="B175" s="1"/>
      <x:c r="C175" s="1"/>
      <x:c r="D175" s="1"/>
      <x:c r="E175" s="1"/>
      <x:c r="F175" s="1"/>
      <x:c r="G175" s="1"/>
      <x:c r="H175" s="1"/>
      <x:c r="I175" s="1"/>
      <x:c r="J175" s="1"/>
      <x:c r="K175" s="1"/>
      <x:c r="L175" s="1"/>
      <x:c r="M175" s="1"/>
      <x:c r="N175" s="1"/>
      <x:c r="O175" s="1"/>
      <x:c r="P175" s="1"/>
      <x:c r="Q175" s="1"/>
      <x:c r="R175" s="1"/>
      <x:c r="S175" s="1"/>
      <x:c r="T175" s="1"/>
    </x:row>
    <x:row r="176" ht="18" customHeight="1">
      <x:c r="A176" s="1"/>
      <x:c r="B176" s="1"/>
      <x:c r="C176" s="1"/>
      <x:c r="D176" s="1"/>
      <x:c r="E176" s="1"/>
      <x:c r="F176" s="1"/>
      <x:c r="G176" s="1"/>
      <x:c r="H176" s="1"/>
      <x:c r="I176" s="1"/>
      <x:c r="J176" s="1"/>
      <x:c r="K176" s="1"/>
      <x:c r="L176" s="1"/>
      <x:c r="M176" s="1"/>
      <x:c r="N176" s="1"/>
      <x:c r="O176" s="1"/>
      <x:c r="P176" s="1"/>
      <x:c r="Q176" s="1"/>
      <x:c r="R176" s="1"/>
      <x:c r="S176" s="1"/>
      <x:c r="T176" s="1"/>
    </x:row>
    <x:row r="177" ht="18" customHeight="1">
      <x:c r="A177" s="1"/>
      <x:c r="B177" s="1"/>
      <x:c r="C177" s="1"/>
      <x:c r="D177" s="1"/>
      <x:c r="E177" s="1"/>
      <x:c r="F177" s="1"/>
      <x:c r="G177" s="1"/>
      <x:c r="H177" s="1"/>
      <x:c r="I177" s="1"/>
      <x:c r="J177" s="1"/>
      <x:c r="K177" s="1"/>
      <x:c r="L177" s="1"/>
      <x:c r="M177" s="1"/>
      <x:c r="N177" s="1"/>
      <x:c r="O177" s="1"/>
      <x:c r="P177" s="1"/>
      <x:c r="Q177" s="1"/>
      <x:c r="R177" s="1"/>
      <x:c r="S177" s="1"/>
      <x:c r="T177" s="1"/>
    </x:row>
    <x:row r="178" ht="18" customHeight="1">
      <x:c r="A178" s="1"/>
      <x:c r="B178" s="1"/>
      <x:c r="C178" s="1"/>
      <x:c r="D178" s="1"/>
      <x:c r="E178" s="1"/>
      <x:c r="F178" s="1"/>
      <x:c r="G178" s="1"/>
      <x:c r="H178" s="1"/>
      <x:c r="I178" s="1"/>
      <x:c r="J178" s="1"/>
      <x:c r="K178" s="1"/>
      <x:c r="L178" s="1"/>
      <x:c r="M178" s="1"/>
      <x:c r="N178" s="1"/>
      <x:c r="O178" s="1"/>
      <x:c r="P178" s="1"/>
      <x:c r="Q178" s="1"/>
      <x:c r="R178" s="1"/>
      <x:c r="S178" s="1"/>
      <x:c r="T178" s="1"/>
    </x:row>
    <x:row r="179" ht="18" customHeight="1">
      <x:c r="A179" s="1"/>
      <x:c r="B179" s="1"/>
      <x:c r="C179" s="1"/>
      <x:c r="D179" s="1"/>
      <x:c r="E179" s="1"/>
      <x:c r="F179" s="1"/>
      <x:c r="G179" s="1"/>
      <x:c r="H179" s="1"/>
      <x:c r="I179" s="1"/>
      <x:c r="J179" s="1"/>
      <x:c r="K179" s="1"/>
      <x:c r="L179" s="1"/>
      <x:c r="M179" s="1"/>
      <x:c r="N179" s="1"/>
      <x:c r="O179" s="1"/>
      <x:c r="P179" s="1"/>
      <x:c r="Q179" s="1"/>
      <x:c r="R179" s="1"/>
      <x:c r="S179" s="1"/>
      <x:c r="T179" s="1"/>
    </x:row>
    <x:row r="180" ht="18" customHeight="1">
      <x:c r="A180" s="1"/>
      <x:c r="B180" s="1"/>
      <x:c r="C180" s="1"/>
      <x:c r="D180" s="1"/>
      <x:c r="E180" s="1"/>
      <x:c r="F180" s="1"/>
      <x:c r="G180" s="1"/>
      <x:c r="H180" s="1"/>
      <x:c r="I180" s="1"/>
      <x:c r="J180" s="1"/>
      <x:c r="K180" s="1"/>
      <x:c r="L180" s="1"/>
      <x:c r="M180" s="1"/>
      <x:c r="N180" s="1"/>
      <x:c r="O180" s="1"/>
      <x:c r="P180" s="1"/>
      <x:c r="Q180" s="1"/>
      <x:c r="R180" s="1"/>
      <x:c r="S180" s="1"/>
      <x:c r="T180" s="1"/>
    </x:row>
    <x:row r="181" ht="18" customHeight="1">
      <x:c r="A181" s="1"/>
      <x:c r="B181" s="1"/>
      <x:c r="C181" s="1"/>
      <x:c r="D181" s="1"/>
      <x:c r="E181" s="1"/>
      <x:c r="F181" s="1"/>
      <x:c r="G181" s="1"/>
      <x:c r="H181" s="1"/>
      <x:c r="I181" s="1"/>
      <x:c r="J181" s="1"/>
      <x:c r="K181" s="1"/>
      <x:c r="L181" s="1"/>
      <x:c r="M181" s="1"/>
      <x:c r="N181" s="1"/>
      <x:c r="O181" s="1"/>
      <x:c r="P181" s="1"/>
      <x:c r="Q181" s="1"/>
      <x:c r="R181" s="1"/>
      <x:c r="S181" s="1"/>
      <x:c r="T181" s="1"/>
    </x:row>
    <x:row r="182" ht="18" customHeight="1">
      <x:c r="A182" s="1"/>
      <x:c r="B182" s="1"/>
      <x:c r="C182" s="1"/>
      <x:c r="D182" s="1"/>
      <x:c r="E182" s="1"/>
      <x:c r="F182" s="1"/>
      <x:c r="G182" s="1"/>
      <x:c r="H182" s="1"/>
      <x:c r="I182" s="1"/>
      <x:c r="J182" s="1"/>
      <x:c r="K182" s="1"/>
      <x:c r="L182" s="1"/>
      <x:c r="M182" s="1"/>
      <x:c r="N182" s="1"/>
      <x:c r="O182" s="1"/>
      <x:c r="P182" s="1"/>
      <x:c r="Q182" s="1"/>
      <x:c r="R182" s="1"/>
      <x:c r="S182" s="1"/>
      <x:c r="T182" s="1"/>
    </x:row>
    <x:row r="183" ht="18" customHeight="1">
      <x:c r="A183" s="1"/>
      <x:c r="B183" s="1"/>
      <x:c r="C183" s="1"/>
      <x:c r="D183" s="1"/>
      <x:c r="E183" s="1"/>
      <x:c r="F183" s="1"/>
      <x:c r="G183" s="1"/>
      <x:c r="H183" s="1"/>
      <x:c r="I183" s="1"/>
      <x:c r="J183" s="1"/>
      <x:c r="K183" s="1"/>
      <x:c r="L183" s="1"/>
      <x:c r="M183" s="1"/>
      <x:c r="N183" s="1"/>
      <x:c r="O183" s="1"/>
      <x:c r="P183" s="1"/>
      <x:c r="Q183" s="1"/>
      <x:c r="R183" s="1"/>
      <x:c r="S183" s="1"/>
      <x:c r="T183" s="1"/>
    </x:row>
    <x:row r="184" ht="18" customHeight="1">
      <x:c r="A184" s="1"/>
      <x:c r="B184" s="1"/>
      <x:c r="C184" s="1"/>
      <x:c r="D184" s="1"/>
      <x:c r="E184" s="1"/>
      <x:c r="F184" s="1"/>
      <x:c r="G184" s="1"/>
      <x:c r="H184" s="1"/>
      <x:c r="I184" s="1"/>
      <x:c r="J184" s="1"/>
      <x:c r="K184" s="1"/>
      <x:c r="L184" s="1"/>
      <x:c r="M184" s="1"/>
      <x:c r="N184" s="1"/>
      <x:c r="O184" s="1"/>
      <x:c r="P184" s="1"/>
      <x:c r="Q184" s="1"/>
      <x:c r="R184" s="1"/>
      <x:c r="S184" s="1"/>
      <x:c r="T184" s="1"/>
    </x:row>
    <x:row r="185" ht="18" customHeight="1">
      <x:c r="A185" s="1"/>
      <x:c r="B185" s="1"/>
      <x:c r="C185" s="1"/>
      <x:c r="D185" s="1"/>
      <x:c r="E185" s="1"/>
      <x:c r="F185" s="1"/>
      <x:c r="G185" s="1"/>
      <x:c r="H185" s="1"/>
      <x:c r="I185" s="1"/>
      <x:c r="J185" s="1"/>
      <x:c r="K185" s="1"/>
      <x:c r="L185" s="1"/>
      <x:c r="M185" s="1"/>
      <x:c r="N185" s="1"/>
      <x:c r="O185" s="1"/>
      <x:c r="P185" s="1"/>
      <x:c r="Q185" s="1"/>
      <x:c r="R185" s="1"/>
      <x:c r="S185" s="1"/>
      <x:c r="T185" s="1"/>
    </x:row>
    <x:row r="186" ht="18" customHeight="1">
      <x:c r="A186" s="1"/>
      <x:c r="B186" s="1"/>
      <x:c r="C186" s="1"/>
      <x:c r="D186" s="1"/>
      <x:c r="E186" s="1"/>
      <x:c r="F186" s="1"/>
      <x:c r="G186" s="1"/>
      <x:c r="H186" s="1"/>
      <x:c r="I186" s="1"/>
      <x:c r="J186" s="1"/>
      <x:c r="K186" s="1"/>
      <x:c r="L186" s="1"/>
      <x:c r="M186" s="1"/>
      <x:c r="N186" s="1"/>
      <x:c r="O186" s="1"/>
      <x:c r="P186" s="1"/>
      <x:c r="Q186" s="1"/>
      <x:c r="R186" s="1"/>
      <x:c r="S186" s="1"/>
      <x:c r="T186" s="1"/>
    </x:row>
    <x:row r="187" ht="18" customHeight="1">
      <x:c r="A187" s="1"/>
      <x:c r="B187" s="1"/>
      <x:c r="C187" s="1"/>
      <x:c r="D187" s="1"/>
      <x:c r="E187" s="1"/>
      <x:c r="F187" s="1"/>
      <x:c r="G187" s="1"/>
      <x:c r="H187" s="1"/>
      <x:c r="I187" s="1"/>
      <x:c r="J187" s="1"/>
      <x:c r="K187" s="1"/>
      <x:c r="L187" s="1"/>
      <x:c r="M187" s="1"/>
      <x:c r="N187" s="1"/>
      <x:c r="O187" s="1"/>
      <x:c r="P187" s="1"/>
      <x:c r="Q187" s="1"/>
      <x:c r="R187" s="1"/>
      <x:c r="S187" s="1"/>
      <x:c r="T187" s="1"/>
    </x:row>
    <x:row r="188" ht="18" customHeight="1">
      <x:c r="A188" s="1"/>
      <x:c r="B188" s="1"/>
      <x:c r="C188" s="1"/>
      <x:c r="D188" s="1"/>
      <x:c r="E188" s="1"/>
      <x:c r="F188" s="1"/>
      <x:c r="G188" s="1"/>
      <x:c r="H188" s="1"/>
      <x:c r="I188" s="1"/>
      <x:c r="J188" s="1"/>
      <x:c r="K188" s="1"/>
      <x:c r="L188" s="1"/>
      <x:c r="M188" s="1"/>
      <x:c r="N188" s="1"/>
      <x:c r="O188" s="1"/>
      <x:c r="P188" s="1"/>
      <x:c r="Q188" s="1"/>
      <x:c r="R188" s="1"/>
      <x:c r="S188" s="1"/>
      <x:c r="T188" s="1"/>
    </x:row>
    <x:row r="189" ht="18" customHeight="1">
      <x:c r="A189" s="1"/>
      <x:c r="B189" s="1"/>
      <x:c r="C189" s="1"/>
      <x:c r="D189" s="1"/>
      <x:c r="E189" s="1"/>
      <x:c r="F189" s="1"/>
      <x:c r="G189" s="1"/>
      <x:c r="H189" s="1"/>
      <x:c r="I189" s="1"/>
      <x:c r="J189" s="1"/>
      <x:c r="K189" s="1"/>
      <x:c r="L189" s="1"/>
      <x:c r="M189" s="1"/>
      <x:c r="N189" s="1"/>
      <x:c r="O189" s="1"/>
      <x:c r="P189" s="1"/>
      <x:c r="Q189" s="1"/>
      <x:c r="R189" s="1"/>
      <x:c r="S189" s="1"/>
      <x:c r="T189" s="1"/>
    </x:row>
    <x:row r="190" ht="18" customHeight="1">
      <x:c r="A190" s="1"/>
      <x:c r="B190" s="1"/>
      <x:c r="C190" s="1"/>
      <x:c r="D190" s="1"/>
      <x:c r="E190" s="1"/>
      <x:c r="F190" s="1"/>
      <x:c r="G190" s="1"/>
      <x:c r="H190" s="1"/>
      <x:c r="I190" s="1"/>
      <x:c r="J190" s="1"/>
      <x:c r="K190" s="1"/>
      <x:c r="L190" s="1"/>
      <x:c r="M190" s="1"/>
      <x:c r="N190" s="1"/>
      <x:c r="O190" s="1"/>
      <x:c r="P190" s="1"/>
      <x:c r="Q190" s="1"/>
      <x:c r="R190" s="1"/>
      <x:c r="S190" s="1"/>
      <x:c r="T190" s="1"/>
    </x:row>
    <x:row r="191" ht="18" customHeight="1">
      <x:c r="A191" s="1"/>
      <x:c r="B191" s="1"/>
      <x:c r="C191" s="1"/>
      <x:c r="D191" s="1"/>
      <x:c r="E191" s="1"/>
      <x:c r="F191" s="1"/>
      <x:c r="G191" s="1"/>
      <x:c r="H191" s="1"/>
      <x:c r="I191" s="1"/>
      <x:c r="J191" s="1"/>
      <x:c r="K191" s="1"/>
      <x:c r="L191" s="1"/>
      <x:c r="M191" s="1"/>
      <x:c r="N191" s="1"/>
      <x:c r="O191" s="1"/>
      <x:c r="P191" s="1"/>
      <x:c r="Q191" s="1"/>
      <x:c r="R191" s="1"/>
      <x:c r="S191" s="1"/>
      <x:c r="T191" s="1"/>
    </x:row>
    <x:row r="192" ht="18" customHeight="1">
      <x:c r="A192" s="1"/>
      <x:c r="B192" s="1"/>
      <x:c r="C192" s="1"/>
      <x:c r="D192" s="1"/>
      <x:c r="E192" s="1"/>
      <x:c r="F192" s="1"/>
      <x:c r="G192" s="1"/>
      <x:c r="H192" s="1"/>
      <x:c r="I192" s="1"/>
      <x:c r="J192" s="1"/>
      <x:c r="K192" s="1"/>
      <x:c r="L192" s="1"/>
      <x:c r="M192" s="1"/>
      <x:c r="N192" s="1"/>
      <x:c r="O192" s="1"/>
      <x:c r="P192" s="1"/>
      <x:c r="Q192" s="1"/>
      <x:c r="R192" s="1"/>
      <x:c r="S192" s="1"/>
      <x:c r="T192" s="1"/>
    </x:row>
    <x:row r="193" ht="18" customHeight="1">
      <x:c r="A193" s="1"/>
      <x:c r="B193" s="1"/>
      <x:c r="C193" s="1"/>
      <x:c r="D193" s="1"/>
      <x:c r="E193" s="1"/>
      <x:c r="F193" s="1"/>
      <x:c r="G193" s="1"/>
      <x:c r="H193" s="1"/>
      <x:c r="I193" s="1"/>
      <x:c r="J193" s="1"/>
      <x:c r="K193" s="1"/>
      <x:c r="L193" s="1"/>
      <x:c r="M193" s="1"/>
      <x:c r="N193" s="1"/>
      <x:c r="O193" s="1"/>
      <x:c r="P193" s="1"/>
      <x:c r="Q193" s="1"/>
      <x:c r="R193" s="1"/>
      <x:c r="S193" s="1"/>
      <x:c r="T193" s="1"/>
    </x:row>
    <x:row r="194" ht="18" customHeight="1">
      <x:c r="A194" s="1"/>
      <x:c r="B194" s="1"/>
      <x:c r="C194" s="1"/>
      <x:c r="D194" s="1"/>
      <x:c r="E194" s="1"/>
      <x:c r="F194" s="1"/>
      <x:c r="G194" s="1"/>
      <x:c r="H194" s="1"/>
      <x:c r="I194" s="1"/>
      <x:c r="J194" s="1"/>
      <x:c r="K194" s="1"/>
      <x:c r="L194" s="1"/>
      <x:c r="M194" s="1"/>
      <x:c r="N194" s="1"/>
      <x:c r="O194" s="1"/>
      <x:c r="P194" s="1"/>
      <x:c r="Q194" s="1"/>
      <x:c r="R194" s="1"/>
      <x:c r="S194" s="1"/>
      <x:c r="T194" s="1"/>
    </x:row>
    <x:row r="195" ht="18" customHeight="1">
      <x:c r="A195" s="1"/>
      <x:c r="B195" s="1"/>
      <x:c r="C195" s="1"/>
      <x:c r="D195" s="1"/>
      <x:c r="E195" s="1"/>
      <x:c r="F195" s="1"/>
      <x:c r="G195" s="1"/>
      <x:c r="H195" s="1"/>
      <x:c r="I195" s="1"/>
      <x:c r="J195" s="1"/>
      <x:c r="K195" s="1"/>
      <x:c r="L195" s="1"/>
      <x:c r="M195" s="1"/>
      <x:c r="N195" s="1"/>
      <x:c r="O195" s="1"/>
      <x:c r="P195" s="1"/>
      <x:c r="Q195" s="1"/>
      <x:c r="R195" s="1"/>
      <x:c r="S195" s="1"/>
      <x:c r="T195" s="1"/>
    </x:row>
    <x:row r="196" ht="18" customHeight="1">
      <x:c r="A196" s="1"/>
      <x:c r="B196" s="1"/>
      <x:c r="C196" s="1"/>
      <x:c r="D196" s="1"/>
      <x:c r="E196" s="1"/>
      <x:c r="F196" s="1"/>
      <x:c r="G196" s="1"/>
      <x:c r="H196" s="1"/>
      <x:c r="I196" s="1"/>
      <x:c r="J196" s="1"/>
      <x:c r="K196" s="1"/>
      <x:c r="L196" s="1"/>
      <x:c r="M196" s="1"/>
      <x:c r="N196" s="1"/>
      <x:c r="O196" s="1"/>
      <x:c r="P196" s="1"/>
      <x:c r="Q196" s="1"/>
      <x:c r="R196" s="1"/>
      <x:c r="S196" s="1"/>
      <x:c r="T196" s="1"/>
    </x:row>
    <x:row r="197" ht="18" customHeight="1">
      <x:c r="A197" s="1"/>
      <x:c r="B197" s="1"/>
      <x:c r="C197" s="1"/>
      <x:c r="D197" s="1"/>
      <x:c r="E197" s="1"/>
      <x:c r="F197" s="1"/>
      <x:c r="G197" s="1"/>
      <x:c r="H197" s="1"/>
      <x:c r="I197" s="1"/>
      <x:c r="J197" s="1"/>
      <x:c r="K197" s="1"/>
      <x:c r="L197" s="1"/>
      <x:c r="M197" s="1"/>
      <x:c r="N197" s="1"/>
      <x:c r="O197" s="1"/>
      <x:c r="P197" s="1"/>
      <x:c r="Q197" s="1"/>
      <x:c r="R197" s="1"/>
      <x:c r="S197" s="1"/>
      <x:c r="T197" s="1"/>
    </x:row>
    <x:row r="198" ht="18" customHeight="1">
      <x:c r="A198" s="1"/>
      <x:c r="B198" s="1"/>
      <x:c r="C198" s="1"/>
      <x:c r="D198" s="1"/>
      <x:c r="E198" s="1"/>
      <x:c r="F198" s="1"/>
      <x:c r="G198" s="1"/>
      <x:c r="H198" s="1"/>
      <x:c r="I198" s="1"/>
      <x:c r="J198" s="1"/>
      <x:c r="K198" s="1"/>
      <x:c r="L198" s="1"/>
      <x:c r="M198" s="1"/>
      <x:c r="N198" s="1"/>
      <x:c r="O198" s="1"/>
      <x:c r="P198" s="1"/>
      <x:c r="Q198" s="1"/>
      <x:c r="R198" s="1"/>
      <x:c r="S198" s="1"/>
      <x:c r="T198" s="1"/>
    </x:row>
    <x:row r="199" ht="18" customHeight="1">
      <x:c r="A199" s="1"/>
      <x:c r="B199" s="1"/>
      <x:c r="C199" s="1"/>
      <x:c r="D199" s="1"/>
      <x:c r="E199" s="1"/>
      <x:c r="F199" s="1"/>
      <x:c r="G199" s="1"/>
      <x:c r="H199" s="1"/>
      <x:c r="I199" s="1"/>
      <x:c r="J199" s="1"/>
      <x:c r="K199" s="1"/>
      <x:c r="L199" s="1"/>
      <x:c r="M199" s="1"/>
      <x:c r="N199" s="1"/>
      <x:c r="O199" s="1"/>
      <x:c r="P199" s="1"/>
      <x:c r="Q199" s="1"/>
      <x:c r="R199" s="1"/>
      <x:c r="S199" s="1"/>
      <x:c r="T199" s="1"/>
    </x:row>
    <x:row r="200" ht="18" customHeight="1">
      <x:c r="A200" s="1"/>
      <x:c r="B200" s="1"/>
      <x:c r="C200" s="1"/>
      <x:c r="D200" s="1"/>
      <x:c r="E200" s="1"/>
      <x:c r="F200" s="1"/>
      <x:c r="G200" s="1"/>
      <x:c r="H200" s="1"/>
      <x:c r="I200" s="1"/>
      <x:c r="J200" s="1"/>
      <x:c r="K200" s="1"/>
      <x:c r="L200" s="1"/>
      <x:c r="M200" s="1"/>
      <x:c r="N200" s="1"/>
      <x:c r="O200" s="1"/>
      <x:c r="P200" s="1"/>
      <x:c r="Q200" s="1"/>
      <x:c r="R200" s="1"/>
      <x:c r="S200" s="1"/>
      <x:c r="T200" s="1"/>
    </x:row>
    <x:row r="201" ht="18" customHeight="1">
      <x:c r="A201" s="1"/>
      <x:c r="B201" s="1"/>
      <x:c r="C201" s="1"/>
      <x:c r="D201" s="1"/>
      <x:c r="E201" s="1"/>
      <x:c r="F201" s="1"/>
      <x:c r="G201" s="1"/>
      <x:c r="H201" s="1"/>
      <x:c r="I201" s="1"/>
      <x:c r="J201" s="1"/>
      <x:c r="K201" s="1"/>
      <x:c r="L201" s="1"/>
      <x:c r="M201" s="1"/>
      <x:c r="N201" s="1"/>
      <x:c r="O201" s="1"/>
      <x:c r="P201" s="1"/>
      <x:c r="Q201" s="1"/>
      <x:c r="R201" s="1"/>
      <x:c r="S201" s="1"/>
      <x:c r="T201" s="1"/>
    </x:row>
    <x:row r="202" ht="18" customHeight="1">
      <x:c r="A202" s="1"/>
      <x:c r="B202" s="1"/>
      <x:c r="C202" s="1"/>
      <x:c r="D202" s="1"/>
      <x:c r="E202" s="1"/>
      <x:c r="F202" s="1"/>
      <x:c r="G202" s="1"/>
      <x:c r="H202" s="1"/>
      <x:c r="I202" s="1"/>
      <x:c r="J202" s="1"/>
      <x:c r="K202" s="1"/>
      <x:c r="L202" s="1"/>
      <x:c r="M202" s="1"/>
      <x:c r="N202" s="1"/>
      <x:c r="O202" s="1"/>
      <x:c r="P202" s="1"/>
      <x:c r="Q202" s="1"/>
      <x:c r="R202" s="1"/>
      <x:c r="S202" s="1"/>
      <x:c r="T202" s="1"/>
    </x:row>
    <x:row r="203" ht="18" customHeight="1">
      <x:c r="A203" s="1"/>
      <x:c r="B203" s="1"/>
      <x:c r="C203" s="1"/>
      <x:c r="D203" s="1"/>
      <x:c r="E203" s="1"/>
      <x:c r="F203" s="1"/>
      <x:c r="G203" s="1"/>
      <x:c r="H203" s="1"/>
      <x:c r="I203" s="1"/>
      <x:c r="J203" s="1"/>
      <x:c r="K203" s="1"/>
      <x:c r="L203" s="1"/>
      <x:c r="M203" s="1"/>
      <x:c r="N203" s="1"/>
      <x:c r="O203" s="1"/>
      <x:c r="P203" s="1"/>
      <x:c r="Q203" s="1"/>
      <x:c r="R203" s="1"/>
      <x:c r="S203" s="1"/>
      <x:c r="T203" s="1"/>
    </x:row>
    <x:row r="204" ht="18" customHeight="1">
      <x:c r="A204" s="1"/>
      <x:c r="B204" s="1"/>
      <x:c r="C204" s="1"/>
      <x:c r="D204" s="1"/>
      <x:c r="E204" s="1"/>
      <x:c r="F204" s="1"/>
      <x:c r="G204" s="1"/>
      <x:c r="H204" s="1"/>
      <x:c r="I204" s="1"/>
      <x:c r="J204" s="1"/>
      <x:c r="K204" s="1"/>
      <x:c r="L204" s="1"/>
      <x:c r="M204" s="1"/>
      <x:c r="N204" s="1"/>
      <x:c r="O204" s="1"/>
      <x:c r="P204" s="1"/>
      <x:c r="Q204" s="1"/>
      <x:c r="R204" s="1"/>
      <x:c r="S204" s="1"/>
      <x:c r="T204" s="1"/>
    </x:row>
    <x:row r="205" ht="18" customHeight="1">
      <x:c r="A205" s="1"/>
      <x:c r="B205" s="1"/>
      <x:c r="C205" s="1"/>
      <x:c r="D205" s="1"/>
      <x:c r="E205" s="1"/>
      <x:c r="F205" s="1"/>
      <x:c r="G205" s="1"/>
      <x:c r="H205" s="1"/>
      <x:c r="I205" s="1"/>
      <x:c r="J205" s="1"/>
      <x:c r="K205" s="1"/>
      <x:c r="L205" s="1"/>
      <x:c r="M205" s="1"/>
      <x:c r="N205" s="1"/>
      <x:c r="O205" s="1"/>
      <x:c r="P205" s="1"/>
      <x:c r="Q205" s="1"/>
      <x:c r="R205" s="1"/>
      <x:c r="S205" s="1"/>
      <x:c r="T205" s="1"/>
    </x:row>
    <x:row r="206" ht="18" customHeight="1">
      <x:c r="A206" s="1"/>
      <x:c r="B206" s="1"/>
      <x:c r="C206" s="1"/>
      <x:c r="D206" s="1"/>
      <x:c r="E206" s="1"/>
      <x:c r="F206" s="1"/>
      <x:c r="G206" s="1"/>
      <x:c r="H206" s="1"/>
      <x:c r="I206" s="1"/>
      <x:c r="J206" s="1"/>
      <x:c r="K206" s="1"/>
      <x:c r="L206" s="1"/>
      <x:c r="M206" s="1"/>
      <x:c r="N206" s="1"/>
      <x:c r="O206" s="1"/>
      <x:c r="P206" s="1"/>
      <x:c r="Q206" s="1"/>
      <x:c r="R206" s="1"/>
      <x:c r="S206" s="1"/>
      <x:c r="T206" s="1"/>
    </x:row>
    <x:row r="207" ht="18" customHeight="1">
      <x:c r="A207" s="1"/>
      <x:c r="B207" s="1"/>
      <x:c r="C207" s="1"/>
      <x:c r="D207" s="1"/>
      <x:c r="E207" s="1"/>
      <x:c r="F207" s="1"/>
      <x:c r="G207" s="1"/>
      <x:c r="H207" s="1"/>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sheetData>
  <x:mergeCells>
    <x:mergeCell ref="B3:H3"/>
    <x:mergeCell ref="B4:H4"/>
  </x:mergeCells>
  <x:dataValidations count="2">
    <x:dataValidation type="list" sqref="C8:C107">
      <x:formula1>"täglich,wöchentlich,monatlich,quartalsweise,jährlich"</x:formula1>
    </x:dataValidation>
    <x:dataValidation type="list" sqref="H8:H107">
      <x:formula1>"ja,nein"</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6" hidden="0" customWidth="1"/>
    <x:col min="3" max="3" width="13" hidden="0" customWidth="1"/>
    <x:col min="4" max="4" width="23" hidden="0" customWidth="1"/>
    <x:col min="5" max="5" width="15" hidden="0" customWidth="1"/>
    <x:col min="6" max="6" width="15" hidden="0" customWidth="1"/>
    <x:col min="7" max="7" width="12" hidden="0" customWidth="1"/>
    <x:col min="8" max="8" width="35.0099983215332"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Fehlzeiten</x:v>
      </x:c>
      <x:c r="C3" s="5"/>
      <x:c r="D3" s="5"/>
      <x:c r="E3" s="5"/>
      <x:c r="F3" s="5"/>
      <x:c r="G3" s="5"/>
      <x:c r="H3" s="5"/>
      <x:c r="I3" s="1"/>
      <x:c r="J3" s="1"/>
      <x:c r="K3" s="1"/>
      <x:c r="L3" s="1"/>
      <x:c r="M3" s="1"/>
      <x:c r="N3" s="1"/>
      <x:c r="O3" s="1"/>
      <x:c r="P3" s="1"/>
      <x:c r="Q3" s="1"/>
      <x:c r="R3" s="1"/>
      <x:c r="S3" s="1"/>
      <x:c r="T3" s="1"/>
    </x:row>
    <x:row r="4" ht="20.017499923706055" customHeight="1">
      <x:c r="A4" s="1"/>
      <x:c r="B4" s="8" t="str">
        <x:v>Optionale Kontrollübersicht im Standalone-Betrieb · verbindlicher Nachweis bleibt im Klassenbuch oder Schulsystem</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14" t="str">
        <x:v>Nr.</x:v>
      </x:c>
      <x:c r="C7" s="14" t="str">
        <x:v>Datum</x:v>
      </x:c>
      <x:c r="D7" s="14" t="str">
        <x:v>Schüler/in</x:v>
      </x:c>
      <x:c r="E7" s="14" t="str">
        <x:v>Art</x:v>
      </x:c>
      <x:c r="F7" s="14" t="str">
        <x:v>Umfang</x:v>
      </x:c>
      <x:c r="G7" s="14" t="str">
        <x:v>Status</x:v>
      </x:c>
      <x:c r="H7" s="14" t="str">
        <x:v>Offizieller Ort / Notiz</x:v>
      </x:c>
      <x:c r="I7" s="1"/>
      <x:c r="J7" s="1"/>
      <x:c r="K7" s="1"/>
      <x:c r="L7" s="1"/>
      <x:c r="M7" s="1"/>
      <x:c r="N7" s="1"/>
      <x:c r="O7" s="1"/>
      <x:c r="P7" s="1"/>
      <x:c r="Q7" s="1"/>
      <x:c r="R7" s="1"/>
      <x:c r="S7" s="1"/>
      <x:c r="T7" s="1"/>
    </x:row>
    <x:row r="8" ht="18" customHeight="1">
      <x:c r="A8" s="1"/>
      <x:c r="B8" s="19" t="n">
        <x:v>1</x:v>
      </x:c>
      <x:c r="C8" s="57" t="n">
        <x:f>TODAY()-2</x:f>
        <x:v>46236</x:v>
      </x:c>
      <x:c r="D8" s="58" t="str">
        <x:v>Anna Beispiel</x:v>
      </x:c>
      <x:c r="E8" s="27" t="str">
        <x:v>Fehltag</x:v>
      </x:c>
      <x:c r="F8" s="27" t="str">
        <x:v>ganzer Tag</x:v>
      </x:c>
      <x:c r="G8" s="34" t="str">
        <x:v>offen</x:v>
      </x:c>
      <x:c r="H8" s="27" t="str">
        <x:v>Klassenbuch · Beispiel, später löschen</x:v>
      </x:c>
      <x:c r="I8" s="1"/>
      <x:c r="J8" s="1"/>
      <x:c r="K8" s="1"/>
      <x:c r="L8" s="1"/>
      <x:c r="M8" s="1"/>
      <x:c r="N8" s="1"/>
      <x:c r="O8" s="1"/>
      <x:c r="P8" s="1"/>
      <x:c r="Q8" s="1"/>
      <x:c r="R8" s="1"/>
      <x:c r="S8" s="1"/>
      <x:c r="T8" s="1"/>
    </x:row>
    <x:row r="9" ht="18" customHeight="1">
      <x:c r="A9" s="1"/>
      <x:c r="B9" s="19" t="n">
        <x:v>2</x:v>
      </x:c>
      <x:c r="C9" s="57" t="n">
        <x:f>TODAY()-5</x:f>
        <x:v>46233</x:v>
      </x:c>
      <x:c r="D9" s="58" t="str">
        <x:v>Ben Beispiel</x:v>
      </x:c>
      <x:c r="E9" s="27" t="str">
        <x:v>Fehlstunde</x:v>
      </x:c>
      <x:c r="F9" s="27" t="str">
        <x:v>2. Stunde</x:v>
      </x:c>
      <x:c r="G9" s="34" t="str">
        <x:v>entschuldigt</x:v>
      </x:c>
      <x:c r="H9" s="27" t="str">
        <x:v>Klassenbuch · Beispiel, später löschen</x:v>
      </x:c>
      <x:c r="I9" s="1"/>
      <x:c r="J9" s="1"/>
      <x:c r="K9" s="1"/>
      <x:c r="L9" s="1"/>
      <x:c r="M9" s="1"/>
      <x:c r="N9" s="1"/>
      <x:c r="O9" s="1"/>
      <x:c r="P9" s="1"/>
      <x:c r="Q9" s="1"/>
      <x:c r="R9" s="1"/>
      <x:c r="S9" s="1"/>
      <x:c r="T9" s="1"/>
    </x:row>
    <x:row r="10" ht="18" customHeight="1">
      <x:c r="A10" s="1"/>
      <x:c r="B10" s="19" t="n">
        <x:v>3</x:v>
      </x:c>
      <x:c r="C10" s="57"/>
      <x:c r="D10" s="58"/>
      <x:c r="E10" s="27"/>
      <x:c r="F10" s="27"/>
      <x:c r="G10" s="34"/>
      <x:c r="H10" s="27"/>
      <x:c r="I10" s="1"/>
      <x:c r="J10" s="1"/>
      <x:c r="K10" s="1"/>
      <x:c r="L10" s="1"/>
      <x:c r="M10" s="1"/>
      <x:c r="N10" s="1"/>
      <x:c r="O10" s="1"/>
      <x:c r="P10" s="1"/>
      <x:c r="Q10" s="1"/>
      <x:c r="R10" s="1"/>
      <x:c r="S10" s="1"/>
      <x:c r="T10" s="1"/>
    </x:row>
    <x:row r="11" ht="18" customHeight="1">
      <x:c r="A11" s="1"/>
      <x:c r="B11" s="19" t="n">
        <x:v>4</x:v>
      </x:c>
      <x:c r="C11" s="57"/>
      <x:c r="D11" s="58"/>
      <x:c r="E11" s="27"/>
      <x:c r="F11" s="27"/>
      <x:c r="G11" s="34"/>
      <x:c r="H11" s="27"/>
      <x:c r="I11" s="1"/>
      <x:c r="J11" s="1"/>
      <x:c r="K11" s="1"/>
      <x:c r="L11" s="1"/>
      <x:c r="M11" s="1"/>
      <x:c r="N11" s="1"/>
      <x:c r="O11" s="1"/>
      <x:c r="P11" s="1"/>
      <x:c r="Q11" s="1"/>
      <x:c r="R11" s="1"/>
      <x:c r="S11" s="1"/>
      <x:c r="T11" s="1"/>
    </x:row>
    <x:row r="12" ht="18" customHeight="1">
      <x:c r="A12" s="1"/>
      <x:c r="B12" s="19" t="n">
        <x:v>5</x:v>
      </x:c>
      <x:c r="C12" s="57"/>
      <x:c r="D12" s="58"/>
      <x:c r="E12" s="27"/>
      <x:c r="F12" s="27"/>
      <x:c r="G12" s="34"/>
      <x:c r="H12" s="27"/>
      <x:c r="I12" s="1"/>
      <x:c r="J12" s="1"/>
      <x:c r="K12" s="1"/>
      <x:c r="L12" s="1"/>
      <x:c r="M12" s="1"/>
      <x:c r="N12" s="1"/>
      <x:c r="O12" s="1"/>
      <x:c r="P12" s="1"/>
      <x:c r="Q12" s="1"/>
      <x:c r="R12" s="1"/>
      <x:c r="S12" s="1"/>
      <x:c r="T12" s="1"/>
    </x:row>
    <x:row r="13" ht="18" customHeight="1">
      <x:c r="A13" s="1"/>
      <x:c r="B13" s="19" t="n">
        <x:v>6</x:v>
      </x:c>
      <x:c r="C13" s="57"/>
      <x:c r="D13" s="58"/>
      <x:c r="E13" s="27"/>
      <x:c r="F13" s="27"/>
      <x:c r="G13" s="34"/>
      <x:c r="H13" s="27"/>
      <x:c r="I13" s="1"/>
      <x:c r="J13" s="1"/>
      <x:c r="K13" s="1"/>
      <x:c r="L13" s="1"/>
      <x:c r="M13" s="1"/>
      <x:c r="N13" s="1"/>
      <x:c r="O13" s="1"/>
      <x:c r="P13" s="1"/>
      <x:c r="Q13" s="1"/>
      <x:c r="R13" s="1"/>
      <x:c r="S13" s="1"/>
      <x:c r="T13" s="1"/>
    </x:row>
    <x:row r="14" ht="18" customHeight="1">
      <x:c r="A14" s="1"/>
      <x:c r="B14" s="19" t="n">
        <x:v>7</x:v>
      </x:c>
      <x:c r="C14" s="57"/>
      <x:c r="D14" s="58"/>
      <x:c r="E14" s="27"/>
      <x:c r="F14" s="27"/>
      <x:c r="G14" s="34"/>
      <x:c r="H14" s="27"/>
      <x:c r="I14" s="1"/>
      <x:c r="J14" s="1"/>
      <x:c r="K14" s="1"/>
      <x:c r="L14" s="1"/>
      <x:c r="M14" s="1"/>
      <x:c r="N14" s="1"/>
      <x:c r="O14" s="1"/>
      <x:c r="P14" s="1"/>
      <x:c r="Q14" s="1"/>
      <x:c r="R14" s="1"/>
      <x:c r="S14" s="1"/>
      <x:c r="T14" s="1"/>
    </x:row>
    <x:row r="15" ht="18" customHeight="1">
      <x:c r="A15" s="1"/>
      <x:c r="B15" s="19" t="n">
        <x:v>8</x:v>
      </x:c>
      <x:c r="C15" s="57"/>
      <x:c r="D15" s="58"/>
      <x:c r="E15" s="27"/>
      <x:c r="F15" s="27"/>
      <x:c r="G15" s="34"/>
      <x:c r="H15" s="27"/>
      <x:c r="I15" s="1"/>
      <x:c r="J15" s="1"/>
      <x:c r="K15" s="1"/>
      <x:c r="L15" s="1"/>
      <x:c r="M15" s="1"/>
      <x:c r="N15" s="1"/>
      <x:c r="O15" s="1"/>
      <x:c r="P15" s="1"/>
      <x:c r="Q15" s="1"/>
      <x:c r="R15" s="1"/>
      <x:c r="S15" s="1"/>
      <x:c r="T15" s="1"/>
    </x:row>
    <x:row r="16" ht="18" customHeight="1">
      <x:c r="A16" s="1"/>
      <x:c r="B16" s="19" t="n">
        <x:v>9</x:v>
      </x:c>
      <x:c r="C16" s="57"/>
      <x:c r="D16" s="58"/>
      <x:c r="E16" s="27"/>
      <x:c r="F16" s="27"/>
      <x:c r="G16" s="34"/>
      <x:c r="H16" s="27"/>
      <x:c r="I16" s="1"/>
      <x:c r="J16" s="1"/>
      <x:c r="K16" s="1"/>
      <x:c r="L16" s="1"/>
      <x:c r="M16" s="1"/>
      <x:c r="N16" s="1"/>
      <x:c r="O16" s="1"/>
      <x:c r="P16" s="1"/>
      <x:c r="Q16" s="1"/>
      <x:c r="R16" s="1"/>
      <x:c r="S16" s="1"/>
      <x:c r="T16" s="1"/>
    </x:row>
    <x:row r="17" ht="18" customHeight="1">
      <x:c r="A17" s="1"/>
      <x:c r="B17" s="19" t="n">
        <x:v>10</x:v>
      </x:c>
      <x:c r="C17" s="57"/>
      <x:c r="D17" s="58"/>
      <x:c r="E17" s="27"/>
      <x:c r="F17" s="27"/>
      <x:c r="G17" s="34"/>
      <x:c r="H17" s="27"/>
      <x:c r="I17" s="1"/>
      <x:c r="J17" s="1"/>
      <x:c r="K17" s="1"/>
      <x:c r="L17" s="1"/>
      <x:c r="M17" s="1"/>
      <x:c r="N17" s="1"/>
      <x:c r="O17" s="1"/>
      <x:c r="P17" s="1"/>
      <x:c r="Q17" s="1"/>
      <x:c r="R17" s="1"/>
      <x:c r="S17" s="1"/>
      <x:c r="T17" s="1"/>
    </x:row>
    <x:row r="18" ht="18" customHeight="1">
      <x:c r="A18" s="1"/>
      <x:c r="B18" s="19" t="n">
        <x:v>11</x:v>
      </x:c>
      <x:c r="C18" s="57"/>
      <x:c r="D18" s="58"/>
      <x:c r="E18" s="27"/>
      <x:c r="F18" s="27"/>
      <x:c r="G18" s="34"/>
      <x:c r="H18" s="27"/>
      <x:c r="I18" s="1"/>
      <x:c r="J18" s="1"/>
      <x:c r="K18" s="1"/>
      <x:c r="L18" s="1"/>
      <x:c r="M18" s="1"/>
      <x:c r="N18" s="1"/>
      <x:c r="O18" s="1"/>
      <x:c r="P18" s="1"/>
      <x:c r="Q18" s="1"/>
      <x:c r="R18" s="1"/>
      <x:c r="S18" s="1"/>
      <x:c r="T18" s="1"/>
    </x:row>
    <x:row r="19" ht="18" customHeight="1">
      <x:c r="A19" s="1"/>
      <x:c r="B19" s="19" t="n">
        <x:v>12</x:v>
      </x:c>
      <x:c r="C19" s="57"/>
      <x:c r="D19" s="58"/>
      <x:c r="E19" s="27"/>
      <x:c r="F19" s="27"/>
      <x:c r="G19" s="34"/>
      <x:c r="H19" s="27"/>
      <x:c r="I19" s="1"/>
      <x:c r="J19" s="1"/>
      <x:c r="K19" s="1"/>
      <x:c r="L19" s="1"/>
      <x:c r="M19" s="1"/>
      <x:c r="N19" s="1"/>
      <x:c r="O19" s="1"/>
      <x:c r="P19" s="1"/>
      <x:c r="Q19" s="1"/>
      <x:c r="R19" s="1"/>
      <x:c r="S19" s="1"/>
      <x:c r="T19" s="1"/>
    </x:row>
    <x:row r="20" ht="18" customHeight="1">
      <x:c r="A20" s="1"/>
      <x:c r="B20" s="19" t="n">
        <x:v>13</x:v>
      </x:c>
      <x:c r="C20" s="57"/>
      <x:c r="D20" s="58"/>
      <x:c r="E20" s="27"/>
      <x:c r="F20" s="27"/>
      <x:c r="G20" s="34"/>
      <x:c r="H20" s="27"/>
      <x:c r="I20" s="1"/>
      <x:c r="J20" s="1"/>
      <x:c r="K20" s="1"/>
      <x:c r="L20" s="1"/>
      <x:c r="M20" s="1"/>
      <x:c r="N20" s="1"/>
      <x:c r="O20" s="1"/>
      <x:c r="P20" s="1"/>
      <x:c r="Q20" s="1"/>
      <x:c r="R20" s="1"/>
      <x:c r="S20" s="1"/>
      <x:c r="T20" s="1"/>
    </x:row>
    <x:row r="21" ht="18" customHeight="1">
      <x:c r="A21" s="1"/>
      <x:c r="B21" s="19" t="n">
        <x:v>14</x:v>
      </x:c>
      <x:c r="C21" s="57"/>
      <x:c r="D21" s="58"/>
      <x:c r="E21" s="27"/>
      <x:c r="F21" s="27"/>
      <x:c r="G21" s="34"/>
      <x:c r="H21" s="27"/>
      <x:c r="I21" s="1"/>
      <x:c r="J21" s="1"/>
      <x:c r="K21" s="1"/>
      <x:c r="L21" s="1"/>
      <x:c r="M21" s="1"/>
      <x:c r="N21" s="1"/>
      <x:c r="O21" s="1"/>
      <x:c r="P21" s="1"/>
      <x:c r="Q21" s="1"/>
      <x:c r="R21" s="1"/>
      <x:c r="S21" s="1"/>
      <x:c r="T21" s="1"/>
    </x:row>
    <x:row r="22" ht="18" customHeight="1">
      <x:c r="A22" s="1"/>
      <x:c r="B22" s="19" t="n">
        <x:v>15</x:v>
      </x:c>
      <x:c r="C22" s="57"/>
      <x:c r="D22" s="58"/>
      <x:c r="E22" s="27"/>
      <x:c r="F22" s="27"/>
      <x:c r="G22" s="34"/>
      <x:c r="H22" s="27"/>
      <x:c r="I22" s="1"/>
      <x:c r="J22" s="1"/>
      <x:c r="K22" s="1"/>
      <x:c r="L22" s="1"/>
      <x:c r="M22" s="1"/>
      <x:c r="N22" s="1"/>
      <x:c r="O22" s="1"/>
      <x:c r="P22" s="1"/>
      <x:c r="Q22" s="1"/>
      <x:c r="R22" s="1"/>
      <x:c r="S22" s="1"/>
      <x:c r="T22" s="1"/>
    </x:row>
    <x:row r="23" ht="18" customHeight="1">
      <x:c r="A23" s="1"/>
      <x:c r="B23" s="19" t="n">
        <x:v>16</x:v>
      </x:c>
      <x:c r="C23" s="57"/>
      <x:c r="D23" s="58"/>
      <x:c r="E23" s="27"/>
      <x:c r="F23" s="27"/>
      <x:c r="G23" s="34"/>
      <x:c r="H23" s="27"/>
      <x:c r="I23" s="1"/>
      <x:c r="J23" s="1"/>
      <x:c r="K23" s="1"/>
      <x:c r="L23" s="1"/>
      <x:c r="M23" s="1"/>
      <x:c r="N23" s="1"/>
      <x:c r="O23" s="1"/>
      <x:c r="P23" s="1"/>
      <x:c r="Q23" s="1"/>
      <x:c r="R23" s="1"/>
      <x:c r="S23" s="1"/>
      <x:c r="T23" s="1"/>
    </x:row>
    <x:row r="24" ht="18" customHeight="1">
      <x:c r="A24" s="1"/>
      <x:c r="B24" s="19" t="n">
        <x:v>17</x:v>
      </x:c>
      <x:c r="C24" s="57"/>
      <x:c r="D24" s="58"/>
      <x:c r="E24" s="27"/>
      <x:c r="F24" s="27"/>
      <x:c r="G24" s="34"/>
      <x:c r="H24" s="27"/>
      <x:c r="I24" s="1"/>
      <x:c r="J24" s="1"/>
      <x:c r="K24" s="1"/>
      <x:c r="L24" s="1"/>
      <x:c r="M24" s="1"/>
      <x:c r="N24" s="1"/>
      <x:c r="O24" s="1"/>
      <x:c r="P24" s="1"/>
      <x:c r="Q24" s="1"/>
      <x:c r="R24" s="1"/>
      <x:c r="S24" s="1"/>
      <x:c r="T24" s="1"/>
    </x:row>
    <x:row r="25" ht="18" customHeight="1">
      <x:c r="A25" s="1"/>
      <x:c r="B25" s="19" t="n">
        <x:v>18</x:v>
      </x:c>
      <x:c r="C25" s="57"/>
      <x:c r="D25" s="58"/>
      <x:c r="E25" s="27"/>
      <x:c r="F25" s="27"/>
      <x:c r="G25" s="34"/>
      <x:c r="H25" s="27"/>
      <x:c r="I25" s="1"/>
      <x:c r="J25" s="1"/>
      <x:c r="K25" s="1"/>
      <x:c r="L25" s="1"/>
      <x:c r="M25" s="1"/>
      <x:c r="N25" s="1"/>
      <x:c r="O25" s="1"/>
      <x:c r="P25" s="1"/>
      <x:c r="Q25" s="1"/>
      <x:c r="R25" s="1"/>
      <x:c r="S25" s="1"/>
      <x:c r="T25" s="1"/>
    </x:row>
    <x:row r="26" ht="18" customHeight="1">
      <x:c r="A26" s="1"/>
      <x:c r="B26" s="19" t="n">
        <x:v>19</x:v>
      </x:c>
      <x:c r="C26" s="57"/>
      <x:c r="D26" s="58"/>
      <x:c r="E26" s="27"/>
      <x:c r="F26" s="27"/>
      <x:c r="G26" s="34"/>
      <x:c r="H26" s="27"/>
      <x:c r="I26" s="1"/>
      <x:c r="J26" s="1"/>
      <x:c r="K26" s="1"/>
      <x:c r="L26" s="1"/>
      <x:c r="M26" s="1"/>
      <x:c r="N26" s="1"/>
      <x:c r="O26" s="1"/>
      <x:c r="P26" s="1"/>
      <x:c r="Q26" s="1"/>
      <x:c r="R26" s="1"/>
      <x:c r="S26" s="1"/>
      <x:c r="T26" s="1"/>
    </x:row>
    <x:row r="27" ht="18" customHeight="1">
      <x:c r="A27" s="1"/>
      <x:c r="B27" s="19" t="n">
        <x:v>20</x:v>
      </x:c>
      <x:c r="C27" s="57"/>
      <x:c r="D27" s="58"/>
      <x:c r="E27" s="27"/>
      <x:c r="F27" s="27"/>
      <x:c r="G27" s="34"/>
      <x:c r="H27" s="27"/>
      <x:c r="I27" s="1"/>
      <x:c r="J27" s="1"/>
      <x:c r="K27" s="1"/>
      <x:c r="L27" s="1"/>
      <x:c r="M27" s="1"/>
      <x:c r="N27" s="1"/>
      <x:c r="O27" s="1"/>
      <x:c r="P27" s="1"/>
      <x:c r="Q27" s="1"/>
      <x:c r="R27" s="1"/>
      <x:c r="S27" s="1"/>
      <x:c r="T27" s="1"/>
    </x:row>
    <x:row r="28" ht="18" customHeight="1">
      <x:c r="A28" s="1"/>
      <x:c r="B28" s="19" t="n">
        <x:v>21</x:v>
      </x:c>
      <x:c r="C28" s="57"/>
      <x:c r="D28" s="58"/>
      <x:c r="E28" s="27"/>
      <x:c r="F28" s="27"/>
      <x:c r="G28" s="34"/>
      <x:c r="H28" s="27"/>
      <x:c r="I28" s="1"/>
      <x:c r="J28" s="1"/>
      <x:c r="K28" s="1"/>
      <x:c r="L28" s="1"/>
      <x:c r="M28" s="1"/>
      <x:c r="N28" s="1"/>
      <x:c r="O28" s="1"/>
      <x:c r="P28" s="1"/>
      <x:c r="Q28" s="1"/>
      <x:c r="R28" s="1"/>
      <x:c r="S28" s="1"/>
      <x:c r="T28" s="1"/>
    </x:row>
    <x:row r="29" ht="18" customHeight="1">
      <x:c r="A29" s="1"/>
      <x:c r="B29" s="19" t="n">
        <x:v>22</x:v>
      </x:c>
      <x:c r="C29" s="57"/>
      <x:c r="D29" s="58"/>
      <x:c r="E29" s="27"/>
      <x:c r="F29" s="27"/>
      <x:c r="G29" s="34"/>
      <x:c r="H29" s="27"/>
      <x:c r="I29" s="1"/>
      <x:c r="J29" s="1"/>
      <x:c r="K29" s="1"/>
      <x:c r="L29" s="1"/>
      <x:c r="M29" s="1"/>
      <x:c r="N29" s="1"/>
      <x:c r="O29" s="1"/>
      <x:c r="P29" s="1"/>
      <x:c r="Q29" s="1"/>
      <x:c r="R29" s="1"/>
      <x:c r="S29" s="1"/>
      <x:c r="T29" s="1"/>
    </x:row>
    <x:row r="30" ht="18" customHeight="1">
      <x:c r="A30" s="1"/>
      <x:c r="B30" s="19" t="n">
        <x:v>23</x:v>
      </x:c>
      <x:c r="C30" s="57"/>
      <x:c r="D30" s="58"/>
      <x:c r="E30" s="27"/>
      <x:c r="F30" s="27"/>
      <x:c r="G30" s="34"/>
      <x:c r="H30" s="27"/>
      <x:c r="I30" s="1"/>
      <x:c r="J30" s="1"/>
      <x:c r="K30" s="1"/>
      <x:c r="L30" s="1"/>
      <x:c r="M30" s="1"/>
      <x:c r="N30" s="1"/>
      <x:c r="O30" s="1"/>
      <x:c r="P30" s="1"/>
      <x:c r="Q30" s="1"/>
      <x:c r="R30" s="1"/>
      <x:c r="S30" s="1"/>
      <x:c r="T30" s="1"/>
    </x:row>
    <x:row r="31" ht="18" customHeight="1">
      <x:c r="A31" s="1"/>
      <x:c r="B31" s="19" t="n">
        <x:v>24</x:v>
      </x:c>
      <x:c r="C31" s="57"/>
      <x:c r="D31" s="58"/>
      <x:c r="E31" s="27"/>
      <x:c r="F31" s="27"/>
      <x:c r="G31" s="34"/>
      <x:c r="H31" s="27"/>
      <x:c r="I31" s="1"/>
      <x:c r="J31" s="1"/>
      <x:c r="K31" s="1"/>
      <x:c r="L31" s="1"/>
      <x:c r="M31" s="1"/>
      <x:c r="N31" s="1"/>
      <x:c r="O31" s="1"/>
      <x:c r="P31" s="1"/>
      <x:c r="Q31" s="1"/>
      <x:c r="R31" s="1"/>
      <x:c r="S31" s="1"/>
      <x:c r="T31" s="1"/>
    </x:row>
    <x:row r="32" ht="18" customHeight="1">
      <x:c r="A32" s="1"/>
      <x:c r="B32" s="19" t="n">
        <x:v>25</x:v>
      </x:c>
      <x:c r="C32" s="57"/>
      <x:c r="D32" s="58"/>
      <x:c r="E32" s="27"/>
      <x:c r="F32" s="27"/>
      <x:c r="G32" s="34"/>
      <x:c r="H32" s="27"/>
      <x:c r="I32" s="1"/>
      <x:c r="J32" s="1"/>
      <x:c r="K32" s="1"/>
      <x:c r="L32" s="1"/>
      <x:c r="M32" s="1"/>
      <x:c r="N32" s="1"/>
      <x:c r="O32" s="1"/>
      <x:c r="P32" s="1"/>
      <x:c r="Q32" s="1"/>
      <x:c r="R32" s="1"/>
      <x:c r="S32" s="1"/>
      <x:c r="T32" s="1"/>
    </x:row>
    <x:row r="33" ht="18" customHeight="1">
      <x:c r="A33" s="1"/>
      <x:c r="B33" s="19" t="n">
        <x:v>26</x:v>
      </x:c>
      <x:c r="C33" s="57"/>
      <x:c r="D33" s="58"/>
      <x:c r="E33" s="27"/>
      <x:c r="F33" s="27"/>
      <x:c r="G33" s="34"/>
      <x:c r="H33" s="27"/>
      <x:c r="I33" s="1"/>
      <x:c r="J33" s="1"/>
      <x:c r="K33" s="1"/>
      <x:c r="L33" s="1"/>
      <x:c r="M33" s="1"/>
      <x:c r="N33" s="1"/>
      <x:c r="O33" s="1"/>
      <x:c r="P33" s="1"/>
      <x:c r="Q33" s="1"/>
      <x:c r="R33" s="1"/>
      <x:c r="S33" s="1"/>
      <x:c r="T33" s="1"/>
    </x:row>
    <x:row r="34" ht="18" customHeight="1">
      <x:c r="A34" s="1"/>
      <x:c r="B34" s="19" t="n">
        <x:v>27</x:v>
      </x:c>
      <x:c r="C34" s="57"/>
      <x:c r="D34" s="58"/>
      <x:c r="E34" s="27"/>
      <x:c r="F34" s="27"/>
      <x:c r="G34" s="34"/>
      <x:c r="H34" s="27"/>
      <x:c r="I34" s="1"/>
      <x:c r="J34" s="1"/>
      <x:c r="K34" s="1"/>
      <x:c r="L34" s="1"/>
      <x:c r="M34" s="1"/>
      <x:c r="N34" s="1"/>
      <x:c r="O34" s="1"/>
      <x:c r="P34" s="1"/>
      <x:c r="Q34" s="1"/>
      <x:c r="R34" s="1"/>
      <x:c r="S34" s="1"/>
      <x:c r="T34" s="1"/>
    </x:row>
    <x:row r="35" ht="18" customHeight="1">
      <x:c r="A35" s="1"/>
      <x:c r="B35" s="19" t="n">
        <x:v>28</x:v>
      </x:c>
      <x:c r="C35" s="57"/>
      <x:c r="D35" s="58"/>
      <x:c r="E35" s="27"/>
      <x:c r="F35" s="27"/>
      <x:c r="G35" s="34"/>
      <x:c r="H35" s="27"/>
      <x:c r="I35" s="1"/>
      <x:c r="J35" s="1"/>
      <x:c r="K35" s="1"/>
      <x:c r="L35" s="1"/>
      <x:c r="M35" s="1"/>
      <x:c r="N35" s="1"/>
      <x:c r="O35" s="1"/>
      <x:c r="P35" s="1"/>
      <x:c r="Q35" s="1"/>
      <x:c r="R35" s="1"/>
      <x:c r="S35" s="1"/>
      <x:c r="T35" s="1"/>
    </x:row>
    <x:row r="36" ht="18" customHeight="1">
      <x:c r="A36" s="1"/>
      <x:c r="B36" s="19" t="n">
        <x:v>29</x:v>
      </x:c>
      <x:c r="C36" s="57"/>
      <x:c r="D36" s="58"/>
      <x:c r="E36" s="27"/>
      <x:c r="F36" s="27"/>
      <x:c r="G36" s="34"/>
      <x:c r="H36" s="27"/>
      <x:c r="I36" s="1"/>
      <x:c r="J36" s="1"/>
      <x:c r="K36" s="1"/>
      <x:c r="L36" s="1"/>
      <x:c r="M36" s="1"/>
      <x:c r="N36" s="1"/>
      <x:c r="O36" s="1"/>
      <x:c r="P36" s="1"/>
      <x:c r="Q36" s="1"/>
      <x:c r="R36" s="1"/>
      <x:c r="S36" s="1"/>
      <x:c r="T36" s="1"/>
    </x:row>
    <x:row r="37" ht="18" customHeight="1">
      <x:c r="A37" s="1"/>
      <x:c r="B37" s="19" t="n">
        <x:v>30</x:v>
      </x:c>
      <x:c r="C37" s="57"/>
      <x:c r="D37" s="58"/>
      <x:c r="E37" s="27"/>
      <x:c r="F37" s="27"/>
      <x:c r="G37" s="34"/>
      <x:c r="H37" s="27"/>
      <x:c r="I37" s="1"/>
      <x:c r="J37" s="1"/>
      <x:c r="K37" s="1"/>
      <x:c r="L37" s="1"/>
      <x:c r="M37" s="1"/>
      <x:c r="N37" s="1"/>
      <x:c r="O37" s="1"/>
      <x:c r="P37" s="1"/>
      <x:c r="Q37" s="1"/>
      <x:c r="R37" s="1"/>
      <x:c r="S37" s="1"/>
      <x:c r="T37" s="1"/>
    </x:row>
    <x:row r="38" ht="18" customHeight="1">
      <x:c r="A38" s="1"/>
      <x:c r="B38" s="19" t="n">
        <x:v>31</x:v>
      </x:c>
      <x:c r="C38" s="57"/>
      <x:c r="D38" s="58"/>
      <x:c r="E38" s="27"/>
      <x:c r="F38" s="27"/>
      <x:c r="G38" s="34"/>
      <x:c r="H38" s="27"/>
      <x:c r="I38" s="1"/>
      <x:c r="J38" s="1"/>
      <x:c r="K38" s="1"/>
      <x:c r="L38" s="1"/>
      <x:c r="M38" s="1"/>
      <x:c r="N38" s="1"/>
      <x:c r="O38" s="1"/>
      <x:c r="P38" s="1"/>
      <x:c r="Q38" s="1"/>
      <x:c r="R38" s="1"/>
      <x:c r="S38" s="1"/>
      <x:c r="T38" s="1"/>
    </x:row>
    <x:row r="39" ht="18" customHeight="1">
      <x:c r="A39" s="1"/>
      <x:c r="B39" s="19" t="n">
        <x:v>32</x:v>
      </x:c>
      <x:c r="C39" s="57"/>
      <x:c r="D39" s="58"/>
      <x:c r="E39" s="27"/>
      <x:c r="F39" s="27"/>
      <x:c r="G39" s="34"/>
      <x:c r="H39" s="27"/>
      <x:c r="I39" s="1"/>
      <x:c r="J39" s="1"/>
      <x:c r="K39" s="1"/>
      <x:c r="L39" s="1"/>
      <x:c r="M39" s="1"/>
      <x:c r="N39" s="1"/>
      <x:c r="O39" s="1"/>
      <x:c r="P39" s="1"/>
      <x:c r="Q39" s="1"/>
      <x:c r="R39" s="1"/>
      <x:c r="S39" s="1"/>
      <x:c r="T39" s="1"/>
    </x:row>
    <x:row r="40" ht="18" customHeight="1">
      <x:c r="A40" s="1"/>
      <x:c r="B40" s="19" t="n">
        <x:v>33</x:v>
      </x:c>
      <x:c r="C40" s="57"/>
      <x:c r="D40" s="58"/>
      <x:c r="E40" s="27"/>
      <x:c r="F40" s="27"/>
      <x:c r="G40" s="34"/>
      <x:c r="H40" s="27"/>
      <x:c r="I40" s="1"/>
      <x:c r="J40" s="1"/>
      <x:c r="K40" s="1"/>
      <x:c r="L40" s="1"/>
      <x:c r="M40" s="1"/>
      <x:c r="N40" s="1"/>
      <x:c r="O40" s="1"/>
      <x:c r="P40" s="1"/>
      <x:c r="Q40" s="1"/>
      <x:c r="R40" s="1"/>
      <x:c r="S40" s="1"/>
      <x:c r="T40" s="1"/>
    </x:row>
    <x:row r="41" ht="18" customHeight="1">
      <x:c r="A41" s="1"/>
      <x:c r="B41" s="19" t="n">
        <x:v>34</x:v>
      </x:c>
      <x:c r="C41" s="57"/>
      <x:c r="D41" s="58"/>
      <x:c r="E41" s="27"/>
      <x:c r="F41" s="27"/>
      <x:c r="G41" s="34"/>
      <x:c r="H41" s="27"/>
      <x:c r="I41" s="1"/>
      <x:c r="J41" s="1"/>
      <x:c r="K41" s="1"/>
      <x:c r="L41" s="1"/>
      <x:c r="M41" s="1"/>
      <x:c r="N41" s="1"/>
      <x:c r="O41" s="1"/>
      <x:c r="P41" s="1"/>
      <x:c r="Q41" s="1"/>
      <x:c r="R41" s="1"/>
      <x:c r="S41" s="1"/>
      <x:c r="T41" s="1"/>
    </x:row>
    <x:row r="42" ht="18" customHeight="1">
      <x:c r="A42" s="1"/>
      <x:c r="B42" s="19" t="n">
        <x:v>35</x:v>
      </x:c>
      <x:c r="C42" s="57"/>
      <x:c r="D42" s="58"/>
      <x:c r="E42" s="27"/>
      <x:c r="F42" s="27"/>
      <x:c r="G42" s="34"/>
      <x:c r="H42" s="27"/>
      <x:c r="I42" s="1"/>
      <x:c r="J42" s="1"/>
      <x:c r="K42" s="1"/>
      <x:c r="L42" s="1"/>
      <x:c r="M42" s="1"/>
      <x:c r="N42" s="1"/>
      <x:c r="O42" s="1"/>
      <x:c r="P42" s="1"/>
      <x:c r="Q42" s="1"/>
      <x:c r="R42" s="1"/>
      <x:c r="S42" s="1"/>
      <x:c r="T42" s="1"/>
    </x:row>
    <x:row r="43" ht="18" customHeight="1">
      <x:c r="A43" s="1"/>
      <x:c r="B43" s="19" t="n">
        <x:v>36</x:v>
      </x:c>
      <x:c r="C43" s="57"/>
      <x:c r="D43" s="58"/>
      <x:c r="E43" s="27"/>
      <x:c r="F43" s="27"/>
      <x:c r="G43" s="34"/>
      <x:c r="H43" s="27"/>
      <x:c r="I43" s="1"/>
      <x:c r="J43" s="1"/>
      <x:c r="K43" s="1"/>
      <x:c r="L43" s="1"/>
      <x:c r="M43" s="1"/>
      <x:c r="N43" s="1"/>
      <x:c r="O43" s="1"/>
      <x:c r="P43" s="1"/>
      <x:c r="Q43" s="1"/>
      <x:c r="R43" s="1"/>
      <x:c r="S43" s="1"/>
      <x:c r="T43" s="1"/>
    </x:row>
    <x:row r="44" ht="18" customHeight="1">
      <x:c r="A44" s="1"/>
      <x:c r="B44" s="19" t="n">
        <x:v>37</x:v>
      </x:c>
      <x:c r="C44" s="57"/>
      <x:c r="D44" s="58"/>
      <x:c r="E44" s="27"/>
      <x:c r="F44" s="27"/>
      <x:c r="G44" s="34"/>
      <x:c r="H44" s="27"/>
      <x:c r="I44" s="1"/>
      <x:c r="J44" s="1"/>
      <x:c r="K44" s="1"/>
      <x:c r="L44" s="1"/>
      <x:c r="M44" s="1"/>
      <x:c r="N44" s="1"/>
      <x:c r="O44" s="1"/>
      <x:c r="P44" s="1"/>
      <x:c r="Q44" s="1"/>
      <x:c r="R44" s="1"/>
      <x:c r="S44" s="1"/>
      <x:c r="T44" s="1"/>
    </x:row>
    <x:row r="45" ht="18" customHeight="1">
      <x:c r="A45" s="1"/>
      <x:c r="B45" s="19" t="n">
        <x:v>38</x:v>
      </x:c>
      <x:c r="C45" s="57"/>
      <x:c r="D45" s="58"/>
      <x:c r="E45" s="27"/>
      <x:c r="F45" s="27"/>
      <x:c r="G45" s="34"/>
      <x:c r="H45" s="27"/>
      <x:c r="I45" s="1"/>
      <x:c r="J45" s="1"/>
      <x:c r="K45" s="1"/>
      <x:c r="L45" s="1"/>
      <x:c r="M45" s="1"/>
      <x:c r="N45" s="1"/>
      <x:c r="O45" s="1"/>
      <x:c r="P45" s="1"/>
      <x:c r="Q45" s="1"/>
      <x:c r="R45" s="1"/>
      <x:c r="S45" s="1"/>
      <x:c r="T45" s="1"/>
    </x:row>
    <x:row r="46" ht="18" customHeight="1">
      <x:c r="A46" s="1"/>
      <x:c r="B46" s="19" t="n">
        <x:v>39</x:v>
      </x:c>
      <x:c r="C46" s="57"/>
      <x:c r="D46" s="58"/>
      <x:c r="E46" s="27"/>
      <x:c r="F46" s="27"/>
      <x:c r="G46" s="34"/>
      <x:c r="H46" s="27"/>
      <x:c r="I46" s="1"/>
      <x:c r="J46" s="1"/>
      <x:c r="K46" s="1"/>
      <x:c r="L46" s="1"/>
      <x:c r="M46" s="1"/>
      <x:c r="N46" s="1"/>
      <x:c r="O46" s="1"/>
      <x:c r="P46" s="1"/>
      <x:c r="Q46" s="1"/>
      <x:c r="R46" s="1"/>
      <x:c r="S46" s="1"/>
      <x:c r="T46" s="1"/>
    </x:row>
    <x:row r="47" ht="18" customHeight="1">
      <x:c r="A47" s="1"/>
      <x:c r="B47" s="19" t="n">
        <x:v>40</x:v>
      </x:c>
      <x:c r="C47" s="57"/>
      <x:c r="D47" s="58"/>
      <x:c r="E47" s="27"/>
      <x:c r="F47" s="27"/>
      <x:c r="G47" s="34"/>
      <x:c r="H47" s="27"/>
      <x:c r="I47" s="1"/>
      <x:c r="J47" s="1"/>
      <x:c r="K47" s="1"/>
      <x:c r="L47" s="1"/>
      <x:c r="M47" s="1"/>
      <x:c r="N47" s="1"/>
      <x:c r="O47" s="1"/>
      <x:c r="P47" s="1"/>
      <x:c r="Q47" s="1"/>
      <x:c r="R47" s="1"/>
      <x:c r="S47" s="1"/>
      <x:c r="T47" s="1"/>
    </x:row>
    <x:row r="48" ht="18" customHeight="1">
      <x:c r="A48" s="1"/>
      <x:c r="B48" s="19" t="n">
        <x:v>41</x:v>
      </x:c>
      <x:c r="C48" s="57"/>
      <x:c r="D48" s="58"/>
      <x:c r="E48" s="27"/>
      <x:c r="F48" s="27"/>
      <x:c r="G48" s="34"/>
      <x:c r="H48" s="27"/>
      <x:c r="I48" s="1"/>
      <x:c r="J48" s="1"/>
      <x:c r="K48" s="1"/>
      <x:c r="L48" s="1"/>
      <x:c r="M48" s="1"/>
      <x:c r="N48" s="1"/>
      <x:c r="O48" s="1"/>
      <x:c r="P48" s="1"/>
      <x:c r="Q48" s="1"/>
      <x:c r="R48" s="1"/>
      <x:c r="S48" s="1"/>
      <x:c r="T48" s="1"/>
    </x:row>
    <x:row r="49" ht="18" customHeight="1">
      <x:c r="A49" s="1"/>
      <x:c r="B49" s="19" t="n">
        <x:v>42</x:v>
      </x:c>
      <x:c r="C49" s="57"/>
      <x:c r="D49" s="58"/>
      <x:c r="E49" s="27"/>
      <x:c r="F49" s="27"/>
      <x:c r="G49" s="34"/>
      <x:c r="H49" s="27"/>
      <x:c r="I49" s="1"/>
      <x:c r="J49" s="1"/>
      <x:c r="K49" s="1"/>
      <x:c r="L49" s="1"/>
      <x:c r="M49" s="1"/>
      <x:c r="N49" s="1"/>
      <x:c r="O49" s="1"/>
      <x:c r="P49" s="1"/>
      <x:c r="Q49" s="1"/>
      <x:c r="R49" s="1"/>
      <x:c r="S49" s="1"/>
      <x:c r="T49" s="1"/>
    </x:row>
    <x:row r="50" ht="18" customHeight="1">
      <x:c r="A50" s="1"/>
      <x:c r="B50" s="19" t="n">
        <x:v>43</x:v>
      </x:c>
      <x:c r="C50" s="57"/>
      <x:c r="D50" s="58"/>
      <x:c r="E50" s="27"/>
      <x:c r="F50" s="27"/>
      <x:c r="G50" s="34"/>
      <x:c r="H50" s="27"/>
      <x:c r="I50" s="1"/>
      <x:c r="J50" s="1"/>
      <x:c r="K50" s="1"/>
      <x:c r="L50" s="1"/>
      <x:c r="M50" s="1"/>
      <x:c r="N50" s="1"/>
      <x:c r="O50" s="1"/>
      <x:c r="P50" s="1"/>
      <x:c r="Q50" s="1"/>
      <x:c r="R50" s="1"/>
      <x:c r="S50" s="1"/>
      <x:c r="T50" s="1"/>
    </x:row>
    <x:row r="51" ht="18" customHeight="1">
      <x:c r="A51" s="1"/>
      <x:c r="B51" s="19" t="n">
        <x:v>44</x:v>
      </x:c>
      <x:c r="C51" s="57"/>
      <x:c r="D51" s="58"/>
      <x:c r="E51" s="27"/>
      <x:c r="F51" s="27"/>
      <x:c r="G51" s="34"/>
      <x:c r="H51" s="27"/>
      <x:c r="I51" s="1"/>
      <x:c r="J51" s="1"/>
      <x:c r="K51" s="1"/>
      <x:c r="L51" s="1"/>
      <x:c r="M51" s="1"/>
      <x:c r="N51" s="1"/>
      <x:c r="O51" s="1"/>
      <x:c r="P51" s="1"/>
      <x:c r="Q51" s="1"/>
      <x:c r="R51" s="1"/>
      <x:c r="S51" s="1"/>
      <x:c r="T51" s="1"/>
    </x:row>
    <x:row r="52" ht="18" customHeight="1">
      <x:c r="A52" s="1"/>
      <x:c r="B52" s="19" t="n">
        <x:v>45</x:v>
      </x:c>
      <x:c r="C52" s="57"/>
      <x:c r="D52" s="58"/>
      <x:c r="E52" s="27"/>
      <x:c r="F52" s="27"/>
      <x:c r="G52" s="34"/>
      <x:c r="H52" s="27"/>
      <x:c r="I52" s="1"/>
      <x:c r="J52" s="1"/>
      <x:c r="K52" s="1"/>
      <x:c r="L52" s="1"/>
      <x:c r="M52" s="1"/>
      <x:c r="N52" s="1"/>
      <x:c r="O52" s="1"/>
      <x:c r="P52" s="1"/>
      <x:c r="Q52" s="1"/>
      <x:c r="R52" s="1"/>
      <x:c r="S52" s="1"/>
      <x:c r="T52" s="1"/>
    </x:row>
    <x:row r="53" ht="18" customHeight="1">
      <x:c r="A53" s="1"/>
      <x:c r="B53" s="19" t="n">
        <x:v>46</x:v>
      </x:c>
      <x:c r="C53" s="57"/>
      <x:c r="D53" s="58"/>
      <x:c r="E53" s="27"/>
      <x:c r="F53" s="27"/>
      <x:c r="G53" s="34"/>
      <x:c r="H53" s="27"/>
      <x:c r="I53" s="1"/>
      <x:c r="J53" s="1"/>
      <x:c r="K53" s="1"/>
      <x:c r="L53" s="1"/>
      <x:c r="M53" s="1"/>
      <x:c r="N53" s="1"/>
      <x:c r="O53" s="1"/>
      <x:c r="P53" s="1"/>
      <x:c r="Q53" s="1"/>
      <x:c r="R53" s="1"/>
      <x:c r="S53" s="1"/>
      <x:c r="T53" s="1"/>
    </x:row>
    <x:row r="54" ht="18" customHeight="1">
      <x:c r="A54" s="1"/>
      <x:c r="B54" s="19" t="n">
        <x:v>47</x:v>
      </x:c>
      <x:c r="C54" s="57"/>
      <x:c r="D54" s="58"/>
      <x:c r="E54" s="27"/>
      <x:c r="F54" s="27"/>
      <x:c r="G54" s="34"/>
      <x:c r="H54" s="27"/>
      <x:c r="I54" s="1"/>
      <x:c r="J54" s="1"/>
      <x:c r="K54" s="1"/>
      <x:c r="L54" s="1"/>
      <x:c r="M54" s="1"/>
      <x:c r="N54" s="1"/>
      <x:c r="O54" s="1"/>
      <x:c r="P54" s="1"/>
      <x:c r="Q54" s="1"/>
      <x:c r="R54" s="1"/>
      <x:c r="S54" s="1"/>
      <x:c r="T54" s="1"/>
    </x:row>
    <x:row r="55" ht="18" customHeight="1">
      <x:c r="A55" s="1"/>
      <x:c r="B55" s="19" t="n">
        <x:v>48</x:v>
      </x:c>
      <x:c r="C55" s="57"/>
      <x:c r="D55" s="58"/>
      <x:c r="E55" s="27"/>
      <x:c r="F55" s="27"/>
      <x:c r="G55" s="34"/>
      <x:c r="H55" s="27"/>
      <x:c r="I55" s="1"/>
      <x:c r="J55" s="1"/>
      <x:c r="K55" s="1"/>
      <x:c r="L55" s="1"/>
      <x:c r="M55" s="1"/>
      <x:c r="N55" s="1"/>
      <x:c r="O55" s="1"/>
      <x:c r="P55" s="1"/>
      <x:c r="Q55" s="1"/>
      <x:c r="R55" s="1"/>
      <x:c r="S55" s="1"/>
      <x:c r="T55" s="1"/>
    </x:row>
    <x:row r="56" ht="18" customHeight="1">
      <x:c r="A56" s="1"/>
      <x:c r="B56" s="19" t="n">
        <x:v>49</x:v>
      </x:c>
      <x:c r="C56" s="57"/>
      <x:c r="D56" s="58"/>
      <x:c r="E56" s="27"/>
      <x:c r="F56" s="27"/>
      <x:c r="G56" s="34"/>
      <x:c r="H56" s="27"/>
      <x:c r="I56" s="1"/>
      <x:c r="J56" s="1"/>
      <x:c r="K56" s="1"/>
      <x:c r="L56" s="1"/>
      <x:c r="M56" s="1"/>
      <x:c r="N56" s="1"/>
      <x:c r="O56" s="1"/>
      <x:c r="P56" s="1"/>
      <x:c r="Q56" s="1"/>
      <x:c r="R56" s="1"/>
      <x:c r="S56" s="1"/>
      <x:c r="T56" s="1"/>
    </x:row>
    <x:row r="57" ht="18" customHeight="1">
      <x:c r="A57" s="1"/>
      <x:c r="B57" s="19" t="n">
        <x:v>50</x:v>
      </x:c>
      <x:c r="C57" s="57"/>
      <x:c r="D57" s="58"/>
      <x:c r="E57" s="27"/>
      <x:c r="F57" s="27"/>
      <x:c r="G57" s="34"/>
      <x:c r="H57" s="27"/>
      <x:c r="I57" s="1"/>
      <x:c r="J57" s="1"/>
      <x:c r="K57" s="1"/>
      <x:c r="L57" s="1"/>
      <x:c r="M57" s="1"/>
      <x:c r="N57" s="1"/>
      <x:c r="O57" s="1"/>
      <x:c r="P57" s="1"/>
      <x:c r="Q57" s="1"/>
      <x:c r="R57" s="1"/>
      <x:c r="S57" s="1"/>
      <x:c r="T57" s="1"/>
    </x:row>
    <x:row r="58" ht="18" customHeight="1">
      <x:c r="A58" s="1"/>
      <x:c r="B58" s="19" t="n">
        <x:v>51</x:v>
      </x:c>
      <x:c r="C58" s="57"/>
      <x:c r="D58" s="58"/>
      <x:c r="E58" s="27"/>
      <x:c r="F58" s="27"/>
      <x:c r="G58" s="34"/>
      <x:c r="H58" s="27"/>
      <x:c r="I58" s="1"/>
      <x:c r="J58" s="1"/>
      <x:c r="K58" s="1"/>
      <x:c r="L58" s="1"/>
      <x:c r="M58" s="1"/>
      <x:c r="N58" s="1"/>
      <x:c r="O58" s="1"/>
      <x:c r="P58" s="1"/>
      <x:c r="Q58" s="1"/>
      <x:c r="R58" s="1"/>
      <x:c r="S58" s="1"/>
      <x:c r="T58" s="1"/>
    </x:row>
    <x:row r="59" ht="18" customHeight="1">
      <x:c r="A59" s="1"/>
      <x:c r="B59" s="19" t="n">
        <x:v>52</x:v>
      </x:c>
      <x:c r="C59" s="57"/>
      <x:c r="D59" s="58"/>
      <x:c r="E59" s="27"/>
      <x:c r="F59" s="27"/>
      <x:c r="G59" s="34"/>
      <x:c r="H59" s="27"/>
      <x:c r="I59" s="1"/>
      <x:c r="J59" s="1"/>
      <x:c r="K59" s="1"/>
      <x:c r="L59" s="1"/>
      <x:c r="M59" s="1"/>
      <x:c r="N59" s="1"/>
      <x:c r="O59" s="1"/>
      <x:c r="P59" s="1"/>
      <x:c r="Q59" s="1"/>
      <x:c r="R59" s="1"/>
      <x:c r="S59" s="1"/>
      <x:c r="T59" s="1"/>
    </x:row>
    <x:row r="60" ht="18" customHeight="1">
      <x:c r="A60" s="1"/>
      <x:c r="B60" s="19" t="n">
        <x:v>53</x:v>
      </x:c>
      <x:c r="C60" s="57"/>
      <x:c r="D60" s="58"/>
      <x:c r="E60" s="27"/>
      <x:c r="F60" s="27"/>
      <x:c r="G60" s="34"/>
      <x:c r="H60" s="27"/>
      <x:c r="I60" s="1"/>
      <x:c r="J60" s="1"/>
      <x:c r="K60" s="1"/>
      <x:c r="L60" s="1"/>
      <x:c r="M60" s="1"/>
      <x:c r="N60" s="1"/>
      <x:c r="O60" s="1"/>
      <x:c r="P60" s="1"/>
      <x:c r="Q60" s="1"/>
      <x:c r="R60" s="1"/>
      <x:c r="S60" s="1"/>
      <x:c r="T60" s="1"/>
    </x:row>
    <x:row r="61" ht="18" customHeight="1">
      <x:c r="A61" s="1"/>
      <x:c r="B61" s="19" t="n">
        <x:v>54</x:v>
      </x:c>
      <x:c r="C61" s="57"/>
      <x:c r="D61" s="58"/>
      <x:c r="E61" s="27"/>
      <x:c r="F61" s="27"/>
      <x:c r="G61" s="34"/>
      <x:c r="H61" s="27"/>
      <x:c r="I61" s="1"/>
      <x:c r="J61" s="1"/>
      <x:c r="K61" s="1"/>
      <x:c r="L61" s="1"/>
      <x:c r="M61" s="1"/>
      <x:c r="N61" s="1"/>
      <x:c r="O61" s="1"/>
      <x:c r="P61" s="1"/>
      <x:c r="Q61" s="1"/>
      <x:c r="R61" s="1"/>
      <x:c r="S61" s="1"/>
      <x:c r="T61" s="1"/>
    </x:row>
    <x:row r="62" ht="18" customHeight="1">
      <x:c r="A62" s="1"/>
      <x:c r="B62" s="19" t="n">
        <x:v>55</x:v>
      </x:c>
      <x:c r="C62" s="57"/>
      <x:c r="D62" s="58"/>
      <x:c r="E62" s="27"/>
      <x:c r="F62" s="27"/>
      <x:c r="G62" s="34"/>
      <x:c r="H62" s="27"/>
      <x:c r="I62" s="1"/>
      <x:c r="J62" s="1"/>
      <x:c r="K62" s="1"/>
      <x:c r="L62" s="1"/>
      <x:c r="M62" s="1"/>
      <x:c r="N62" s="1"/>
      <x:c r="O62" s="1"/>
      <x:c r="P62" s="1"/>
      <x:c r="Q62" s="1"/>
      <x:c r="R62" s="1"/>
      <x:c r="S62" s="1"/>
      <x:c r="T62" s="1"/>
    </x:row>
    <x:row r="63" ht="18" customHeight="1">
      <x:c r="A63" s="1"/>
      <x:c r="B63" s="19" t="n">
        <x:v>56</x:v>
      </x:c>
      <x:c r="C63" s="57"/>
      <x:c r="D63" s="58"/>
      <x:c r="E63" s="27"/>
      <x:c r="F63" s="27"/>
      <x:c r="G63" s="34"/>
      <x:c r="H63" s="27"/>
      <x:c r="I63" s="1"/>
      <x:c r="J63" s="1"/>
      <x:c r="K63" s="1"/>
      <x:c r="L63" s="1"/>
      <x:c r="M63" s="1"/>
      <x:c r="N63" s="1"/>
      <x:c r="O63" s="1"/>
      <x:c r="P63" s="1"/>
      <x:c r="Q63" s="1"/>
      <x:c r="R63" s="1"/>
      <x:c r="S63" s="1"/>
      <x:c r="T63" s="1"/>
    </x:row>
    <x:row r="64" ht="18" customHeight="1">
      <x:c r="A64" s="1"/>
      <x:c r="B64" s="19" t="n">
        <x:v>57</x:v>
      </x:c>
      <x:c r="C64" s="57"/>
      <x:c r="D64" s="58"/>
      <x:c r="E64" s="27"/>
      <x:c r="F64" s="27"/>
      <x:c r="G64" s="34"/>
      <x:c r="H64" s="27"/>
      <x:c r="I64" s="1"/>
      <x:c r="J64" s="1"/>
      <x:c r="K64" s="1"/>
      <x:c r="L64" s="1"/>
      <x:c r="M64" s="1"/>
      <x:c r="N64" s="1"/>
      <x:c r="O64" s="1"/>
      <x:c r="P64" s="1"/>
      <x:c r="Q64" s="1"/>
      <x:c r="R64" s="1"/>
      <x:c r="S64" s="1"/>
      <x:c r="T64" s="1"/>
    </x:row>
    <x:row r="65" ht="18" customHeight="1">
      <x:c r="A65" s="1"/>
      <x:c r="B65" s="19" t="n">
        <x:v>58</x:v>
      </x:c>
      <x:c r="C65" s="57"/>
      <x:c r="D65" s="58"/>
      <x:c r="E65" s="27"/>
      <x:c r="F65" s="27"/>
      <x:c r="G65" s="34"/>
      <x:c r="H65" s="27"/>
      <x:c r="I65" s="1"/>
      <x:c r="J65" s="1"/>
      <x:c r="K65" s="1"/>
      <x:c r="L65" s="1"/>
      <x:c r="M65" s="1"/>
      <x:c r="N65" s="1"/>
      <x:c r="O65" s="1"/>
      <x:c r="P65" s="1"/>
      <x:c r="Q65" s="1"/>
      <x:c r="R65" s="1"/>
      <x:c r="S65" s="1"/>
      <x:c r="T65" s="1"/>
    </x:row>
    <x:row r="66" ht="18" customHeight="1">
      <x:c r="A66" s="1"/>
      <x:c r="B66" s="19" t="n">
        <x:v>59</x:v>
      </x:c>
      <x:c r="C66" s="57"/>
      <x:c r="D66" s="58"/>
      <x:c r="E66" s="27"/>
      <x:c r="F66" s="27"/>
      <x:c r="G66" s="34"/>
      <x:c r="H66" s="27"/>
      <x:c r="I66" s="1"/>
      <x:c r="J66" s="1"/>
      <x:c r="K66" s="1"/>
      <x:c r="L66" s="1"/>
      <x:c r="M66" s="1"/>
      <x:c r="N66" s="1"/>
      <x:c r="O66" s="1"/>
      <x:c r="P66" s="1"/>
      <x:c r="Q66" s="1"/>
      <x:c r="R66" s="1"/>
      <x:c r="S66" s="1"/>
      <x:c r="T66" s="1"/>
    </x:row>
    <x:row r="67" ht="18" customHeight="1">
      <x:c r="A67" s="1"/>
      <x:c r="B67" s="19" t="n">
        <x:v>60</x:v>
      </x:c>
      <x:c r="C67" s="57"/>
      <x:c r="D67" s="58"/>
      <x:c r="E67" s="27"/>
      <x:c r="F67" s="27"/>
      <x:c r="G67" s="34"/>
      <x:c r="H67" s="27"/>
      <x:c r="I67" s="1"/>
      <x:c r="J67" s="1"/>
      <x:c r="K67" s="1"/>
      <x:c r="L67" s="1"/>
      <x:c r="M67" s="1"/>
      <x:c r="N67" s="1"/>
      <x:c r="O67" s="1"/>
      <x:c r="P67" s="1"/>
      <x:c r="Q67" s="1"/>
      <x:c r="R67" s="1"/>
      <x:c r="S67" s="1"/>
      <x:c r="T67" s="1"/>
    </x:row>
    <x:row r="68" ht="18" customHeight="1">
      <x:c r="A68" s="1"/>
      <x:c r="B68" s="19" t="n">
        <x:v>61</x:v>
      </x:c>
      <x:c r="C68" s="57"/>
      <x:c r="D68" s="58"/>
      <x:c r="E68" s="27"/>
      <x:c r="F68" s="27"/>
      <x:c r="G68" s="34"/>
      <x:c r="H68" s="27"/>
      <x:c r="I68" s="1"/>
      <x:c r="J68" s="1"/>
      <x:c r="K68" s="1"/>
      <x:c r="L68" s="1"/>
      <x:c r="M68" s="1"/>
      <x:c r="N68" s="1"/>
      <x:c r="O68" s="1"/>
      <x:c r="P68" s="1"/>
      <x:c r="Q68" s="1"/>
      <x:c r="R68" s="1"/>
      <x:c r="S68" s="1"/>
      <x:c r="T68" s="1"/>
    </x:row>
    <x:row r="69" ht="18" customHeight="1">
      <x:c r="A69" s="1"/>
      <x:c r="B69" s="19" t="n">
        <x:v>62</x:v>
      </x:c>
      <x:c r="C69" s="57"/>
      <x:c r="D69" s="58"/>
      <x:c r="E69" s="27"/>
      <x:c r="F69" s="27"/>
      <x:c r="G69" s="34"/>
      <x:c r="H69" s="27"/>
      <x:c r="I69" s="1"/>
      <x:c r="J69" s="1"/>
      <x:c r="K69" s="1"/>
      <x:c r="L69" s="1"/>
      <x:c r="M69" s="1"/>
      <x:c r="N69" s="1"/>
      <x:c r="O69" s="1"/>
      <x:c r="P69" s="1"/>
      <x:c r="Q69" s="1"/>
      <x:c r="R69" s="1"/>
      <x:c r="S69" s="1"/>
      <x:c r="T69" s="1"/>
    </x:row>
    <x:row r="70" ht="18" customHeight="1">
      <x:c r="A70" s="1"/>
      <x:c r="B70" s="19" t="n">
        <x:v>63</x:v>
      </x:c>
      <x:c r="C70" s="57"/>
      <x:c r="D70" s="58"/>
      <x:c r="E70" s="27"/>
      <x:c r="F70" s="27"/>
      <x:c r="G70" s="34"/>
      <x:c r="H70" s="27"/>
      <x:c r="I70" s="1"/>
      <x:c r="J70" s="1"/>
      <x:c r="K70" s="1"/>
      <x:c r="L70" s="1"/>
      <x:c r="M70" s="1"/>
      <x:c r="N70" s="1"/>
      <x:c r="O70" s="1"/>
      <x:c r="P70" s="1"/>
      <x:c r="Q70" s="1"/>
      <x:c r="R70" s="1"/>
      <x:c r="S70" s="1"/>
      <x:c r="T70" s="1"/>
    </x:row>
    <x:row r="71" ht="18" customHeight="1">
      <x:c r="A71" s="1"/>
      <x:c r="B71" s="19" t="n">
        <x:v>64</x:v>
      </x:c>
      <x:c r="C71" s="57"/>
      <x:c r="D71" s="58"/>
      <x:c r="E71" s="27"/>
      <x:c r="F71" s="27"/>
      <x:c r="G71" s="34"/>
      <x:c r="H71" s="27"/>
      <x:c r="I71" s="1"/>
      <x:c r="J71" s="1"/>
      <x:c r="K71" s="1"/>
      <x:c r="L71" s="1"/>
      <x:c r="M71" s="1"/>
      <x:c r="N71" s="1"/>
      <x:c r="O71" s="1"/>
      <x:c r="P71" s="1"/>
      <x:c r="Q71" s="1"/>
      <x:c r="R71" s="1"/>
      <x:c r="S71" s="1"/>
      <x:c r="T71" s="1"/>
    </x:row>
    <x:row r="72" ht="18" customHeight="1">
      <x:c r="A72" s="1"/>
      <x:c r="B72" s="19" t="n">
        <x:v>65</x:v>
      </x:c>
      <x:c r="C72" s="57"/>
      <x:c r="D72" s="58"/>
      <x:c r="E72" s="27"/>
      <x:c r="F72" s="27"/>
      <x:c r="G72" s="34"/>
      <x:c r="H72" s="27"/>
      <x:c r="I72" s="1"/>
      <x:c r="J72" s="1"/>
      <x:c r="K72" s="1"/>
      <x:c r="L72" s="1"/>
      <x:c r="M72" s="1"/>
      <x:c r="N72" s="1"/>
      <x:c r="O72" s="1"/>
      <x:c r="P72" s="1"/>
      <x:c r="Q72" s="1"/>
      <x:c r="R72" s="1"/>
      <x:c r="S72" s="1"/>
      <x:c r="T72" s="1"/>
    </x:row>
    <x:row r="73" ht="18" customHeight="1">
      <x:c r="A73" s="1"/>
      <x:c r="B73" s="19" t="n">
        <x:v>66</x:v>
      </x:c>
      <x:c r="C73" s="57"/>
      <x:c r="D73" s="58"/>
      <x:c r="E73" s="27"/>
      <x:c r="F73" s="27"/>
      <x:c r="G73" s="34"/>
      <x:c r="H73" s="27"/>
      <x:c r="I73" s="1"/>
      <x:c r="J73" s="1"/>
      <x:c r="K73" s="1"/>
      <x:c r="L73" s="1"/>
      <x:c r="M73" s="1"/>
      <x:c r="N73" s="1"/>
      <x:c r="O73" s="1"/>
      <x:c r="P73" s="1"/>
      <x:c r="Q73" s="1"/>
      <x:c r="R73" s="1"/>
      <x:c r="S73" s="1"/>
      <x:c r="T73" s="1"/>
    </x:row>
    <x:row r="74" ht="18" customHeight="1">
      <x:c r="A74" s="1"/>
      <x:c r="B74" s="19" t="n">
        <x:v>67</x:v>
      </x:c>
      <x:c r="C74" s="57"/>
      <x:c r="D74" s="58"/>
      <x:c r="E74" s="27"/>
      <x:c r="F74" s="27"/>
      <x:c r="G74" s="34"/>
      <x:c r="H74" s="27"/>
      <x:c r="I74" s="1"/>
      <x:c r="J74" s="1"/>
      <x:c r="K74" s="1"/>
      <x:c r="L74" s="1"/>
      <x:c r="M74" s="1"/>
      <x:c r="N74" s="1"/>
      <x:c r="O74" s="1"/>
      <x:c r="P74" s="1"/>
      <x:c r="Q74" s="1"/>
      <x:c r="R74" s="1"/>
      <x:c r="S74" s="1"/>
      <x:c r="T74" s="1"/>
    </x:row>
    <x:row r="75" ht="18" customHeight="1">
      <x:c r="A75" s="1"/>
      <x:c r="B75" s="19" t="n">
        <x:v>68</x:v>
      </x:c>
      <x:c r="C75" s="57"/>
      <x:c r="D75" s="58"/>
      <x:c r="E75" s="27"/>
      <x:c r="F75" s="27"/>
      <x:c r="G75" s="34"/>
      <x:c r="H75" s="27"/>
      <x:c r="I75" s="1"/>
      <x:c r="J75" s="1"/>
      <x:c r="K75" s="1"/>
      <x:c r="L75" s="1"/>
      <x:c r="M75" s="1"/>
      <x:c r="N75" s="1"/>
      <x:c r="O75" s="1"/>
      <x:c r="P75" s="1"/>
      <x:c r="Q75" s="1"/>
      <x:c r="R75" s="1"/>
      <x:c r="S75" s="1"/>
      <x:c r="T75" s="1"/>
    </x:row>
    <x:row r="76" ht="18" customHeight="1">
      <x:c r="A76" s="1"/>
      <x:c r="B76" s="19" t="n">
        <x:v>69</x:v>
      </x:c>
      <x:c r="C76" s="57"/>
      <x:c r="D76" s="58"/>
      <x:c r="E76" s="27"/>
      <x:c r="F76" s="27"/>
      <x:c r="G76" s="34"/>
      <x:c r="H76" s="27"/>
      <x:c r="I76" s="1"/>
      <x:c r="J76" s="1"/>
      <x:c r="K76" s="1"/>
      <x:c r="L76" s="1"/>
      <x:c r="M76" s="1"/>
      <x:c r="N76" s="1"/>
      <x:c r="O76" s="1"/>
      <x:c r="P76" s="1"/>
      <x:c r="Q76" s="1"/>
      <x:c r="R76" s="1"/>
      <x:c r="S76" s="1"/>
      <x:c r="T76" s="1"/>
    </x:row>
    <x:row r="77" ht="18" customHeight="1">
      <x:c r="A77" s="1"/>
      <x:c r="B77" s="19" t="n">
        <x:v>70</x:v>
      </x:c>
      <x:c r="C77" s="57"/>
      <x:c r="D77" s="58"/>
      <x:c r="E77" s="27"/>
      <x:c r="F77" s="27"/>
      <x:c r="G77" s="34"/>
      <x:c r="H77" s="27"/>
      <x:c r="I77" s="1"/>
      <x:c r="J77" s="1"/>
      <x:c r="K77" s="1"/>
      <x:c r="L77" s="1"/>
      <x:c r="M77" s="1"/>
      <x:c r="N77" s="1"/>
      <x:c r="O77" s="1"/>
      <x:c r="P77" s="1"/>
      <x:c r="Q77" s="1"/>
      <x:c r="R77" s="1"/>
      <x:c r="S77" s="1"/>
      <x:c r="T77" s="1"/>
    </x:row>
    <x:row r="78" ht="18" customHeight="1">
      <x:c r="A78" s="1"/>
      <x:c r="B78" s="19" t="n">
        <x:v>71</x:v>
      </x:c>
      <x:c r="C78" s="57"/>
      <x:c r="D78" s="58"/>
      <x:c r="E78" s="27"/>
      <x:c r="F78" s="27"/>
      <x:c r="G78" s="34"/>
      <x:c r="H78" s="27"/>
      <x:c r="I78" s="1"/>
      <x:c r="J78" s="1"/>
      <x:c r="K78" s="1"/>
      <x:c r="L78" s="1"/>
      <x:c r="M78" s="1"/>
      <x:c r="N78" s="1"/>
      <x:c r="O78" s="1"/>
      <x:c r="P78" s="1"/>
      <x:c r="Q78" s="1"/>
      <x:c r="R78" s="1"/>
      <x:c r="S78" s="1"/>
      <x:c r="T78" s="1"/>
    </x:row>
    <x:row r="79" ht="18" customHeight="1">
      <x:c r="A79" s="1"/>
      <x:c r="B79" s="19" t="n">
        <x:v>72</x:v>
      </x:c>
      <x:c r="C79" s="57"/>
      <x:c r="D79" s="58"/>
      <x:c r="E79" s="27"/>
      <x:c r="F79" s="27"/>
      <x:c r="G79" s="34"/>
      <x:c r="H79" s="27"/>
      <x:c r="I79" s="1"/>
      <x:c r="J79" s="1"/>
      <x:c r="K79" s="1"/>
      <x:c r="L79" s="1"/>
      <x:c r="M79" s="1"/>
      <x:c r="N79" s="1"/>
      <x:c r="O79" s="1"/>
      <x:c r="P79" s="1"/>
      <x:c r="Q79" s="1"/>
      <x:c r="R79" s="1"/>
      <x:c r="S79" s="1"/>
      <x:c r="T79" s="1"/>
    </x:row>
    <x:row r="80" ht="18" customHeight="1">
      <x:c r="A80" s="1"/>
      <x:c r="B80" s="19" t="n">
        <x:v>73</x:v>
      </x:c>
      <x:c r="C80" s="57"/>
      <x:c r="D80" s="58"/>
      <x:c r="E80" s="27"/>
      <x:c r="F80" s="27"/>
      <x:c r="G80" s="34"/>
      <x:c r="H80" s="27"/>
      <x:c r="I80" s="1"/>
      <x:c r="J80" s="1"/>
      <x:c r="K80" s="1"/>
      <x:c r="L80" s="1"/>
      <x:c r="M80" s="1"/>
      <x:c r="N80" s="1"/>
      <x:c r="O80" s="1"/>
      <x:c r="P80" s="1"/>
      <x:c r="Q80" s="1"/>
      <x:c r="R80" s="1"/>
      <x:c r="S80" s="1"/>
      <x:c r="T80" s="1"/>
    </x:row>
    <x:row r="81" ht="18" customHeight="1">
      <x:c r="A81" s="1"/>
      <x:c r="B81" s="19" t="n">
        <x:v>74</x:v>
      </x:c>
      <x:c r="C81" s="57"/>
      <x:c r="D81" s="58"/>
      <x:c r="E81" s="27"/>
      <x:c r="F81" s="27"/>
      <x:c r="G81" s="34"/>
      <x:c r="H81" s="27"/>
      <x:c r="I81" s="1"/>
      <x:c r="J81" s="1"/>
      <x:c r="K81" s="1"/>
      <x:c r="L81" s="1"/>
      <x:c r="M81" s="1"/>
      <x:c r="N81" s="1"/>
      <x:c r="O81" s="1"/>
      <x:c r="P81" s="1"/>
      <x:c r="Q81" s="1"/>
      <x:c r="R81" s="1"/>
      <x:c r="S81" s="1"/>
      <x:c r="T81" s="1"/>
    </x:row>
    <x:row r="82" ht="18" customHeight="1">
      <x:c r="A82" s="1"/>
      <x:c r="B82" s="19" t="n">
        <x:v>75</x:v>
      </x:c>
      <x:c r="C82" s="57"/>
      <x:c r="D82" s="58"/>
      <x:c r="E82" s="27"/>
      <x:c r="F82" s="27"/>
      <x:c r="G82" s="34"/>
      <x:c r="H82" s="27"/>
      <x:c r="I82" s="1"/>
      <x:c r="J82" s="1"/>
      <x:c r="K82" s="1"/>
      <x:c r="L82" s="1"/>
      <x:c r="M82" s="1"/>
      <x:c r="N82" s="1"/>
      <x:c r="O82" s="1"/>
      <x:c r="P82" s="1"/>
      <x:c r="Q82" s="1"/>
      <x:c r="R82" s="1"/>
      <x:c r="S82" s="1"/>
      <x:c r="T82" s="1"/>
    </x:row>
    <x:row r="83" ht="18" customHeight="1">
      <x:c r="A83" s="1"/>
      <x:c r="B83" s="19" t="n">
        <x:v>76</x:v>
      </x:c>
      <x:c r="C83" s="57"/>
      <x:c r="D83" s="58"/>
      <x:c r="E83" s="27"/>
      <x:c r="F83" s="27"/>
      <x:c r="G83" s="34"/>
      <x:c r="H83" s="27"/>
      <x:c r="I83" s="1"/>
      <x:c r="J83" s="1"/>
      <x:c r="K83" s="1"/>
      <x:c r="L83" s="1"/>
      <x:c r="M83" s="1"/>
      <x:c r="N83" s="1"/>
      <x:c r="O83" s="1"/>
      <x:c r="P83" s="1"/>
      <x:c r="Q83" s="1"/>
      <x:c r="R83" s="1"/>
      <x:c r="S83" s="1"/>
      <x:c r="T83" s="1"/>
    </x:row>
    <x:row r="84" ht="18" customHeight="1">
      <x:c r="A84" s="1"/>
      <x:c r="B84" s="19" t="n">
        <x:v>77</x:v>
      </x:c>
      <x:c r="C84" s="57"/>
      <x:c r="D84" s="58"/>
      <x:c r="E84" s="27"/>
      <x:c r="F84" s="27"/>
      <x:c r="G84" s="34"/>
      <x:c r="H84" s="27"/>
      <x:c r="I84" s="1"/>
      <x:c r="J84" s="1"/>
      <x:c r="K84" s="1"/>
      <x:c r="L84" s="1"/>
      <x:c r="M84" s="1"/>
      <x:c r="N84" s="1"/>
      <x:c r="O84" s="1"/>
      <x:c r="P84" s="1"/>
      <x:c r="Q84" s="1"/>
      <x:c r="R84" s="1"/>
      <x:c r="S84" s="1"/>
      <x:c r="T84" s="1"/>
    </x:row>
    <x:row r="85" ht="18" customHeight="1">
      <x:c r="A85" s="1"/>
      <x:c r="B85" s="19" t="n">
        <x:v>78</x:v>
      </x:c>
      <x:c r="C85" s="57"/>
      <x:c r="D85" s="58"/>
      <x:c r="E85" s="27"/>
      <x:c r="F85" s="27"/>
      <x:c r="G85" s="34"/>
      <x:c r="H85" s="27"/>
      <x:c r="I85" s="1"/>
      <x:c r="J85" s="1"/>
      <x:c r="K85" s="1"/>
      <x:c r="L85" s="1"/>
      <x:c r="M85" s="1"/>
      <x:c r="N85" s="1"/>
      <x:c r="O85" s="1"/>
      <x:c r="P85" s="1"/>
      <x:c r="Q85" s="1"/>
      <x:c r="R85" s="1"/>
      <x:c r="S85" s="1"/>
      <x:c r="T85" s="1"/>
    </x:row>
    <x:row r="86" ht="18" customHeight="1">
      <x:c r="A86" s="1"/>
      <x:c r="B86" s="19" t="n">
        <x:v>79</x:v>
      </x:c>
      <x:c r="C86" s="57"/>
      <x:c r="D86" s="58"/>
      <x:c r="E86" s="27"/>
      <x:c r="F86" s="27"/>
      <x:c r="G86" s="34"/>
      <x:c r="H86" s="27"/>
      <x:c r="I86" s="1"/>
      <x:c r="J86" s="1"/>
      <x:c r="K86" s="1"/>
      <x:c r="L86" s="1"/>
      <x:c r="M86" s="1"/>
      <x:c r="N86" s="1"/>
      <x:c r="O86" s="1"/>
      <x:c r="P86" s="1"/>
      <x:c r="Q86" s="1"/>
      <x:c r="R86" s="1"/>
      <x:c r="S86" s="1"/>
      <x:c r="T86" s="1"/>
    </x:row>
    <x:row r="87" ht="18" customHeight="1">
      <x:c r="A87" s="1"/>
      <x:c r="B87" s="19" t="n">
        <x:v>80</x:v>
      </x:c>
      <x:c r="C87" s="57"/>
      <x:c r="D87" s="58"/>
      <x:c r="E87" s="27"/>
      <x:c r="F87" s="27"/>
      <x:c r="G87" s="34"/>
      <x:c r="H87" s="27"/>
      <x:c r="I87" s="1"/>
      <x:c r="J87" s="1"/>
      <x:c r="K87" s="1"/>
      <x:c r="L87" s="1"/>
      <x:c r="M87" s="1"/>
      <x:c r="N87" s="1"/>
      <x:c r="O87" s="1"/>
      <x:c r="P87" s="1"/>
      <x:c r="Q87" s="1"/>
      <x:c r="R87" s="1"/>
      <x:c r="S87" s="1"/>
      <x:c r="T87" s="1"/>
    </x:row>
    <x:row r="88" ht="18" customHeight="1">
      <x:c r="A88" s="1"/>
      <x:c r="B88" s="19" t="n">
        <x:v>81</x:v>
      </x:c>
      <x:c r="C88" s="57"/>
      <x:c r="D88" s="58"/>
      <x:c r="E88" s="27"/>
      <x:c r="F88" s="27"/>
      <x:c r="G88" s="34"/>
      <x:c r="H88" s="27"/>
      <x:c r="I88" s="1"/>
      <x:c r="J88" s="1"/>
      <x:c r="K88" s="1"/>
      <x:c r="L88" s="1"/>
      <x:c r="M88" s="1"/>
      <x:c r="N88" s="1"/>
      <x:c r="O88" s="1"/>
      <x:c r="P88" s="1"/>
      <x:c r="Q88" s="1"/>
      <x:c r="R88" s="1"/>
      <x:c r="S88" s="1"/>
      <x:c r="T88" s="1"/>
    </x:row>
    <x:row r="89" ht="18" customHeight="1">
      <x:c r="A89" s="1"/>
      <x:c r="B89" s="19" t="n">
        <x:v>82</x:v>
      </x:c>
      <x:c r="C89" s="57"/>
      <x:c r="D89" s="58"/>
      <x:c r="E89" s="27"/>
      <x:c r="F89" s="27"/>
      <x:c r="G89" s="34"/>
      <x:c r="H89" s="27"/>
      <x:c r="I89" s="1"/>
      <x:c r="J89" s="1"/>
      <x:c r="K89" s="1"/>
      <x:c r="L89" s="1"/>
      <x:c r="M89" s="1"/>
      <x:c r="N89" s="1"/>
      <x:c r="O89" s="1"/>
      <x:c r="P89" s="1"/>
      <x:c r="Q89" s="1"/>
      <x:c r="R89" s="1"/>
      <x:c r="S89" s="1"/>
      <x:c r="T89" s="1"/>
    </x:row>
    <x:row r="90" ht="18" customHeight="1">
      <x:c r="A90" s="1"/>
      <x:c r="B90" s="19" t="n">
        <x:v>83</x:v>
      </x:c>
      <x:c r="C90" s="57"/>
      <x:c r="D90" s="58"/>
      <x:c r="E90" s="27"/>
      <x:c r="F90" s="27"/>
      <x:c r="G90" s="34"/>
      <x:c r="H90" s="27"/>
      <x:c r="I90" s="1"/>
      <x:c r="J90" s="1"/>
      <x:c r="K90" s="1"/>
      <x:c r="L90" s="1"/>
      <x:c r="M90" s="1"/>
      <x:c r="N90" s="1"/>
      <x:c r="O90" s="1"/>
      <x:c r="P90" s="1"/>
      <x:c r="Q90" s="1"/>
      <x:c r="R90" s="1"/>
      <x:c r="S90" s="1"/>
      <x:c r="T90" s="1"/>
    </x:row>
    <x:row r="91" ht="18" customHeight="1">
      <x:c r="A91" s="1"/>
      <x:c r="B91" s="19" t="n">
        <x:v>84</x:v>
      </x:c>
      <x:c r="C91" s="57"/>
      <x:c r="D91" s="58"/>
      <x:c r="E91" s="27"/>
      <x:c r="F91" s="27"/>
      <x:c r="G91" s="34"/>
      <x:c r="H91" s="27"/>
      <x:c r="I91" s="1"/>
      <x:c r="J91" s="1"/>
      <x:c r="K91" s="1"/>
      <x:c r="L91" s="1"/>
      <x:c r="M91" s="1"/>
      <x:c r="N91" s="1"/>
      <x:c r="O91" s="1"/>
      <x:c r="P91" s="1"/>
      <x:c r="Q91" s="1"/>
      <x:c r="R91" s="1"/>
      <x:c r="S91" s="1"/>
      <x:c r="T91" s="1"/>
    </x:row>
    <x:row r="92" ht="18" customHeight="1">
      <x:c r="A92" s="1"/>
      <x:c r="B92" s="19" t="n">
        <x:v>85</x:v>
      </x:c>
      <x:c r="C92" s="57"/>
      <x:c r="D92" s="58"/>
      <x:c r="E92" s="27"/>
      <x:c r="F92" s="27"/>
      <x:c r="G92" s="34"/>
      <x:c r="H92" s="27"/>
      <x:c r="I92" s="1"/>
      <x:c r="J92" s="1"/>
      <x:c r="K92" s="1"/>
      <x:c r="L92" s="1"/>
      <x:c r="M92" s="1"/>
      <x:c r="N92" s="1"/>
      <x:c r="O92" s="1"/>
      <x:c r="P92" s="1"/>
      <x:c r="Q92" s="1"/>
      <x:c r="R92" s="1"/>
      <x:c r="S92" s="1"/>
      <x:c r="T92" s="1"/>
    </x:row>
    <x:row r="93" ht="18" customHeight="1">
      <x:c r="A93" s="1"/>
      <x:c r="B93" s="19" t="n">
        <x:v>86</x:v>
      </x:c>
      <x:c r="C93" s="57"/>
      <x:c r="D93" s="58"/>
      <x:c r="E93" s="27"/>
      <x:c r="F93" s="27"/>
      <x:c r="G93" s="34"/>
      <x:c r="H93" s="27"/>
      <x:c r="I93" s="1"/>
      <x:c r="J93" s="1"/>
      <x:c r="K93" s="1"/>
      <x:c r="L93" s="1"/>
      <x:c r="M93" s="1"/>
      <x:c r="N93" s="1"/>
      <x:c r="O93" s="1"/>
      <x:c r="P93" s="1"/>
      <x:c r="Q93" s="1"/>
      <x:c r="R93" s="1"/>
      <x:c r="S93" s="1"/>
      <x:c r="T93" s="1"/>
    </x:row>
    <x:row r="94" ht="18" customHeight="1">
      <x:c r="A94" s="1"/>
      <x:c r="B94" s="19" t="n">
        <x:v>87</x:v>
      </x:c>
      <x:c r="C94" s="57"/>
      <x:c r="D94" s="58"/>
      <x:c r="E94" s="27"/>
      <x:c r="F94" s="27"/>
      <x:c r="G94" s="34"/>
      <x:c r="H94" s="27"/>
      <x:c r="I94" s="1"/>
      <x:c r="J94" s="1"/>
      <x:c r="K94" s="1"/>
      <x:c r="L94" s="1"/>
      <x:c r="M94" s="1"/>
      <x:c r="N94" s="1"/>
      <x:c r="O94" s="1"/>
      <x:c r="P94" s="1"/>
      <x:c r="Q94" s="1"/>
      <x:c r="R94" s="1"/>
      <x:c r="S94" s="1"/>
      <x:c r="T94" s="1"/>
    </x:row>
    <x:row r="95" ht="18" customHeight="1">
      <x:c r="A95" s="1"/>
      <x:c r="B95" s="19" t="n">
        <x:v>88</x:v>
      </x:c>
      <x:c r="C95" s="57"/>
      <x:c r="D95" s="58"/>
      <x:c r="E95" s="27"/>
      <x:c r="F95" s="27"/>
      <x:c r="G95" s="34"/>
      <x:c r="H95" s="27"/>
      <x:c r="I95" s="1"/>
      <x:c r="J95" s="1"/>
      <x:c r="K95" s="1"/>
      <x:c r="L95" s="1"/>
      <x:c r="M95" s="1"/>
      <x:c r="N95" s="1"/>
      <x:c r="O95" s="1"/>
      <x:c r="P95" s="1"/>
      <x:c r="Q95" s="1"/>
      <x:c r="R95" s="1"/>
      <x:c r="S95" s="1"/>
      <x:c r="T95" s="1"/>
    </x:row>
    <x:row r="96" ht="18" customHeight="1">
      <x:c r="A96" s="1"/>
      <x:c r="B96" s="19" t="n">
        <x:v>89</x:v>
      </x:c>
      <x:c r="C96" s="57"/>
      <x:c r="D96" s="58"/>
      <x:c r="E96" s="27"/>
      <x:c r="F96" s="27"/>
      <x:c r="G96" s="34"/>
      <x:c r="H96" s="27"/>
      <x:c r="I96" s="1"/>
      <x:c r="J96" s="1"/>
      <x:c r="K96" s="1"/>
      <x:c r="L96" s="1"/>
      <x:c r="M96" s="1"/>
      <x:c r="N96" s="1"/>
      <x:c r="O96" s="1"/>
      <x:c r="P96" s="1"/>
      <x:c r="Q96" s="1"/>
      <x:c r="R96" s="1"/>
      <x:c r="S96" s="1"/>
      <x:c r="T96" s="1"/>
    </x:row>
    <x:row r="97" ht="18" customHeight="1">
      <x:c r="A97" s="1"/>
      <x:c r="B97" s="19" t="n">
        <x:v>90</x:v>
      </x:c>
      <x:c r="C97" s="57"/>
      <x:c r="D97" s="58"/>
      <x:c r="E97" s="27"/>
      <x:c r="F97" s="27"/>
      <x:c r="G97" s="34"/>
      <x:c r="H97" s="27"/>
      <x:c r="I97" s="1"/>
      <x:c r="J97" s="1"/>
      <x:c r="K97" s="1"/>
      <x:c r="L97" s="1"/>
      <x:c r="M97" s="1"/>
      <x:c r="N97" s="1"/>
      <x:c r="O97" s="1"/>
      <x:c r="P97" s="1"/>
      <x:c r="Q97" s="1"/>
      <x:c r="R97" s="1"/>
      <x:c r="S97" s="1"/>
      <x:c r="T97" s="1"/>
    </x:row>
    <x:row r="98" ht="18" customHeight="1">
      <x:c r="A98" s="1"/>
      <x:c r="B98" s="19" t="n">
        <x:v>91</x:v>
      </x:c>
      <x:c r="C98" s="57"/>
      <x:c r="D98" s="58"/>
      <x:c r="E98" s="27"/>
      <x:c r="F98" s="27"/>
      <x:c r="G98" s="34"/>
      <x:c r="H98" s="27"/>
      <x:c r="I98" s="1"/>
      <x:c r="J98" s="1"/>
      <x:c r="K98" s="1"/>
      <x:c r="L98" s="1"/>
      <x:c r="M98" s="1"/>
      <x:c r="N98" s="1"/>
      <x:c r="O98" s="1"/>
      <x:c r="P98" s="1"/>
      <x:c r="Q98" s="1"/>
      <x:c r="R98" s="1"/>
      <x:c r="S98" s="1"/>
      <x:c r="T98" s="1"/>
    </x:row>
    <x:row r="99" ht="18" customHeight="1">
      <x:c r="A99" s="1"/>
      <x:c r="B99" s="19" t="n">
        <x:v>92</x:v>
      </x:c>
      <x:c r="C99" s="57"/>
      <x:c r="D99" s="58"/>
      <x:c r="E99" s="27"/>
      <x:c r="F99" s="27"/>
      <x:c r="G99" s="34"/>
      <x:c r="H99" s="27"/>
      <x:c r="I99" s="1"/>
      <x:c r="J99" s="1"/>
      <x:c r="K99" s="1"/>
      <x:c r="L99" s="1"/>
      <x:c r="M99" s="1"/>
      <x:c r="N99" s="1"/>
      <x:c r="O99" s="1"/>
      <x:c r="P99" s="1"/>
      <x:c r="Q99" s="1"/>
      <x:c r="R99" s="1"/>
      <x:c r="S99" s="1"/>
      <x:c r="T99" s="1"/>
    </x:row>
    <x:row r="100" ht="18" customHeight="1">
      <x:c r="A100" s="1"/>
      <x:c r="B100" s="19" t="n">
        <x:v>93</x:v>
      </x:c>
      <x:c r="C100" s="57"/>
      <x:c r="D100" s="58"/>
      <x:c r="E100" s="27"/>
      <x:c r="F100" s="27"/>
      <x:c r="G100" s="34"/>
      <x:c r="H100" s="27"/>
      <x:c r="I100" s="1"/>
      <x:c r="J100" s="1"/>
      <x:c r="K100" s="1"/>
      <x:c r="L100" s="1"/>
      <x:c r="M100" s="1"/>
      <x:c r="N100" s="1"/>
      <x:c r="O100" s="1"/>
      <x:c r="P100" s="1"/>
      <x:c r="Q100" s="1"/>
      <x:c r="R100" s="1"/>
      <x:c r="S100" s="1"/>
      <x:c r="T100" s="1"/>
    </x:row>
    <x:row r="101" ht="18" customHeight="1">
      <x:c r="A101" s="1"/>
      <x:c r="B101" s="19" t="n">
        <x:v>94</x:v>
      </x:c>
      <x:c r="C101" s="57"/>
      <x:c r="D101" s="58"/>
      <x:c r="E101" s="27"/>
      <x:c r="F101" s="27"/>
      <x:c r="G101" s="34"/>
      <x:c r="H101" s="27"/>
      <x:c r="I101" s="1"/>
      <x:c r="J101" s="1"/>
      <x:c r="K101" s="1"/>
      <x:c r="L101" s="1"/>
      <x:c r="M101" s="1"/>
      <x:c r="N101" s="1"/>
      <x:c r="O101" s="1"/>
      <x:c r="P101" s="1"/>
      <x:c r="Q101" s="1"/>
      <x:c r="R101" s="1"/>
      <x:c r="S101" s="1"/>
      <x:c r="T101" s="1"/>
    </x:row>
    <x:row r="102" ht="18" customHeight="1">
      <x:c r="A102" s="1"/>
      <x:c r="B102" s="19" t="n">
        <x:v>95</x:v>
      </x:c>
      <x:c r="C102" s="57"/>
      <x:c r="D102" s="58"/>
      <x:c r="E102" s="27"/>
      <x:c r="F102" s="27"/>
      <x:c r="G102" s="34"/>
      <x:c r="H102" s="27"/>
      <x:c r="I102" s="1"/>
      <x:c r="J102" s="1"/>
      <x:c r="K102" s="1"/>
      <x:c r="L102" s="1"/>
      <x:c r="M102" s="1"/>
      <x:c r="N102" s="1"/>
      <x:c r="O102" s="1"/>
      <x:c r="P102" s="1"/>
      <x:c r="Q102" s="1"/>
      <x:c r="R102" s="1"/>
      <x:c r="S102" s="1"/>
      <x:c r="T102" s="1"/>
    </x:row>
    <x:row r="103" ht="18" customHeight="1">
      <x:c r="A103" s="1"/>
      <x:c r="B103" s="19" t="n">
        <x:v>96</x:v>
      </x:c>
      <x:c r="C103" s="57"/>
      <x:c r="D103" s="58"/>
      <x:c r="E103" s="27"/>
      <x:c r="F103" s="27"/>
      <x:c r="G103" s="34"/>
      <x:c r="H103" s="27"/>
      <x:c r="I103" s="1"/>
      <x:c r="J103" s="1"/>
      <x:c r="K103" s="1"/>
      <x:c r="L103" s="1"/>
      <x:c r="M103" s="1"/>
      <x:c r="N103" s="1"/>
      <x:c r="O103" s="1"/>
      <x:c r="P103" s="1"/>
      <x:c r="Q103" s="1"/>
      <x:c r="R103" s="1"/>
      <x:c r="S103" s="1"/>
      <x:c r="T103" s="1"/>
    </x:row>
    <x:row r="104" ht="18" customHeight="1">
      <x:c r="A104" s="1"/>
      <x:c r="B104" s="19" t="n">
        <x:v>97</x:v>
      </x:c>
      <x:c r="C104" s="57"/>
      <x:c r="D104" s="58"/>
      <x:c r="E104" s="27"/>
      <x:c r="F104" s="27"/>
      <x:c r="G104" s="34"/>
      <x:c r="H104" s="27"/>
      <x:c r="I104" s="1"/>
      <x:c r="J104" s="1"/>
      <x:c r="K104" s="1"/>
      <x:c r="L104" s="1"/>
      <x:c r="M104" s="1"/>
      <x:c r="N104" s="1"/>
      <x:c r="O104" s="1"/>
      <x:c r="P104" s="1"/>
      <x:c r="Q104" s="1"/>
      <x:c r="R104" s="1"/>
      <x:c r="S104" s="1"/>
      <x:c r="T104" s="1"/>
    </x:row>
    <x:row r="105" ht="18" customHeight="1">
      <x:c r="A105" s="1"/>
      <x:c r="B105" s="19" t="n">
        <x:v>98</x:v>
      </x:c>
      <x:c r="C105" s="57"/>
      <x:c r="D105" s="58"/>
      <x:c r="E105" s="27"/>
      <x:c r="F105" s="27"/>
      <x:c r="G105" s="34"/>
      <x:c r="H105" s="27"/>
      <x:c r="I105" s="1"/>
      <x:c r="J105" s="1"/>
      <x:c r="K105" s="1"/>
      <x:c r="L105" s="1"/>
      <x:c r="M105" s="1"/>
      <x:c r="N105" s="1"/>
      <x:c r="O105" s="1"/>
      <x:c r="P105" s="1"/>
      <x:c r="Q105" s="1"/>
      <x:c r="R105" s="1"/>
      <x:c r="S105" s="1"/>
      <x:c r="T105" s="1"/>
    </x:row>
    <x:row r="106" ht="18" customHeight="1">
      <x:c r="A106" s="1"/>
      <x:c r="B106" s="19" t="n">
        <x:v>99</x:v>
      </x:c>
      <x:c r="C106" s="57"/>
      <x:c r="D106" s="58"/>
      <x:c r="E106" s="27"/>
      <x:c r="F106" s="27"/>
      <x:c r="G106" s="34"/>
      <x:c r="H106" s="27"/>
      <x:c r="I106" s="1"/>
      <x:c r="J106" s="1"/>
      <x:c r="K106" s="1"/>
      <x:c r="L106" s="1"/>
      <x:c r="M106" s="1"/>
      <x:c r="N106" s="1"/>
      <x:c r="O106" s="1"/>
      <x:c r="P106" s="1"/>
      <x:c r="Q106" s="1"/>
      <x:c r="R106" s="1"/>
      <x:c r="S106" s="1"/>
      <x:c r="T106" s="1"/>
    </x:row>
    <x:row r="107" ht="18" customHeight="1">
      <x:c r="A107" s="1"/>
      <x:c r="B107" s="19" t="n">
        <x:v>100</x:v>
      </x:c>
      <x:c r="C107" s="57"/>
      <x:c r="D107" s="58"/>
      <x:c r="E107" s="27"/>
      <x:c r="F107" s="27"/>
      <x:c r="G107" s="34"/>
      <x:c r="H107" s="27"/>
      <x:c r="I107" s="1"/>
      <x:c r="J107" s="1"/>
      <x:c r="K107" s="1"/>
      <x:c r="L107" s="1"/>
      <x:c r="M107" s="1"/>
      <x:c r="N107" s="1"/>
      <x:c r="O107" s="1"/>
      <x:c r="P107" s="1"/>
      <x:c r="Q107" s="1"/>
      <x:c r="R107" s="1"/>
      <x:c r="S107" s="1"/>
      <x:c r="T107" s="1"/>
    </x:row>
    <x:row r="108" ht="18" customHeight="1">
      <x:c r="A108" s="1"/>
      <x:c r="B108" s="1"/>
      <x:c r="C108" s="1"/>
      <x:c r="D108" s="1"/>
      <x:c r="E108" s="1"/>
      <x:c r="F108" s="1"/>
      <x:c r="G108" s="1"/>
      <x:c r="H108" s="1"/>
      <x:c r="I108" s="1"/>
      <x:c r="J108" s="1"/>
      <x:c r="K108" s="1"/>
      <x:c r="L108" s="1"/>
      <x:c r="M108" s="1"/>
      <x:c r="N108" s="1"/>
      <x:c r="O108" s="1"/>
      <x:c r="P108" s="1"/>
      <x:c r="Q108" s="1"/>
      <x:c r="R108" s="1"/>
      <x:c r="S108" s="1"/>
      <x:c r="T108" s="1"/>
    </x:row>
    <x:row r="109" ht="18" customHeight="1">
      <x:c r="A109" s="1"/>
      <x:c r="B109" s="1"/>
      <x:c r="C109" s="1"/>
      <x:c r="D109" s="1"/>
      <x:c r="E109" s="1"/>
      <x:c r="F109" s="1"/>
      <x:c r="G109" s="1"/>
      <x:c r="H109" s="1"/>
      <x:c r="I109" s="1"/>
      <x:c r="J109" s="1"/>
      <x:c r="K109" s="1"/>
      <x:c r="L109" s="1"/>
      <x:c r="M109" s="1"/>
      <x:c r="N109" s="1"/>
      <x:c r="O109" s="1"/>
      <x:c r="P109" s="1"/>
      <x:c r="Q109" s="1"/>
      <x:c r="R109" s="1"/>
      <x:c r="S109" s="1"/>
      <x:c r="T109" s="1"/>
    </x:row>
    <x:row r="110" ht="18" customHeight="1">
      <x:c r="A110" s="1"/>
      <x:c r="B110" s="1"/>
      <x:c r="C110" s="1"/>
      <x:c r="D110" s="1"/>
      <x:c r="E110" s="1"/>
      <x:c r="F110" s="1"/>
      <x:c r="G110" s="1"/>
      <x:c r="H110" s="1"/>
      <x:c r="I110" s="1"/>
      <x:c r="J110" s="1"/>
      <x:c r="K110" s="1"/>
      <x:c r="L110" s="1"/>
      <x:c r="M110" s="1"/>
      <x:c r="N110" s="1"/>
      <x:c r="O110" s="1"/>
      <x:c r="P110" s="1"/>
      <x:c r="Q110" s="1"/>
      <x:c r="R110" s="1"/>
      <x:c r="S110" s="1"/>
      <x:c r="T110" s="1"/>
    </x:row>
    <x:row r="111" ht="18" customHeight="1">
      <x:c r="A111" s="1"/>
      <x:c r="B111" s="1"/>
      <x:c r="C111" s="1"/>
      <x:c r="D111" s="1"/>
      <x:c r="E111" s="1"/>
      <x:c r="F111" s="1"/>
      <x:c r="G111" s="1"/>
      <x:c r="H111" s="1"/>
      <x:c r="I111" s="1"/>
      <x:c r="J111" s="1"/>
      <x:c r="K111" s="1"/>
      <x:c r="L111" s="1"/>
      <x:c r="M111" s="1"/>
      <x:c r="N111" s="1"/>
      <x:c r="O111" s="1"/>
      <x:c r="P111" s="1"/>
      <x:c r="Q111" s="1"/>
      <x:c r="R111" s="1"/>
      <x:c r="S111" s="1"/>
      <x:c r="T111" s="1"/>
    </x:row>
    <x:row r="112" ht="18" customHeight="1">
      <x:c r="A112" s="1"/>
      <x:c r="B112" s="1"/>
      <x:c r="C112" s="1"/>
      <x:c r="D112" s="1"/>
      <x:c r="E112" s="1"/>
      <x:c r="F112" s="1"/>
      <x:c r="G112" s="1"/>
      <x:c r="H112" s="1"/>
      <x:c r="I112" s="1"/>
      <x:c r="J112" s="1"/>
      <x:c r="K112" s="1"/>
      <x:c r="L112" s="1"/>
      <x:c r="M112" s="1"/>
      <x:c r="N112" s="1"/>
      <x:c r="O112" s="1"/>
      <x:c r="P112" s="1"/>
      <x:c r="Q112" s="1"/>
      <x:c r="R112" s="1"/>
      <x:c r="S112" s="1"/>
      <x:c r="T112" s="1"/>
    </x:row>
    <x:row r="113" ht="18" customHeight="1">
      <x:c r="A113" s="1"/>
      <x:c r="B113" s="1"/>
      <x:c r="C113" s="1"/>
      <x:c r="D113" s="1"/>
      <x:c r="E113" s="1"/>
      <x:c r="F113" s="1"/>
      <x:c r="G113" s="1"/>
      <x:c r="H113" s="1"/>
      <x:c r="I113" s="1"/>
      <x:c r="J113" s="1"/>
      <x:c r="K113" s="1"/>
      <x:c r="L113" s="1"/>
      <x:c r="M113" s="1"/>
      <x:c r="N113" s="1"/>
      <x:c r="O113" s="1"/>
      <x:c r="P113" s="1"/>
      <x:c r="Q113" s="1"/>
      <x:c r="R113" s="1"/>
      <x:c r="S113" s="1"/>
      <x:c r="T113" s="1"/>
    </x:row>
    <x:row r="114" ht="18" customHeight="1">
      <x:c r="A114" s="1"/>
      <x:c r="B114" s="1"/>
      <x:c r="C114" s="1"/>
      <x:c r="D114" s="1"/>
      <x:c r="E114" s="1"/>
      <x:c r="F114" s="1"/>
      <x:c r="G114" s="1"/>
      <x:c r="H114" s="1"/>
      <x:c r="I114" s="1"/>
      <x:c r="J114" s="1"/>
      <x:c r="K114" s="1"/>
      <x:c r="L114" s="1"/>
      <x:c r="M114" s="1"/>
      <x:c r="N114" s="1"/>
      <x:c r="O114" s="1"/>
      <x:c r="P114" s="1"/>
      <x:c r="Q114" s="1"/>
      <x:c r="R114" s="1"/>
      <x:c r="S114" s="1"/>
      <x:c r="T114" s="1"/>
    </x:row>
    <x:row r="115" ht="18" customHeight="1">
      <x:c r="A115" s="1"/>
      <x:c r="B115" s="1"/>
      <x:c r="C115" s="1"/>
      <x:c r="D115" s="1"/>
      <x:c r="E115" s="1"/>
      <x:c r="F115" s="1"/>
      <x:c r="G115" s="1"/>
      <x:c r="H115" s="1"/>
      <x:c r="I115" s="1"/>
      <x:c r="J115" s="1"/>
      <x:c r="K115" s="1"/>
      <x:c r="L115" s="1"/>
      <x:c r="M115" s="1"/>
      <x:c r="N115" s="1"/>
      <x:c r="O115" s="1"/>
      <x:c r="P115" s="1"/>
      <x:c r="Q115" s="1"/>
      <x:c r="R115" s="1"/>
      <x:c r="S115" s="1"/>
      <x:c r="T115" s="1"/>
    </x:row>
    <x:row r="116" ht="18" customHeight="1">
      <x:c r="A116" s="1"/>
      <x:c r="B116" s="1"/>
      <x:c r="C116" s="1"/>
      <x:c r="D116" s="1"/>
      <x:c r="E116" s="1"/>
      <x:c r="F116" s="1"/>
      <x:c r="G116" s="1"/>
      <x:c r="H116" s="1"/>
      <x:c r="I116" s="1"/>
      <x:c r="J116" s="1"/>
      <x:c r="K116" s="1"/>
      <x:c r="L116" s="1"/>
      <x:c r="M116" s="1"/>
      <x:c r="N116" s="1"/>
      <x:c r="O116" s="1"/>
      <x:c r="P116" s="1"/>
      <x:c r="Q116" s="1"/>
      <x:c r="R116" s="1"/>
      <x:c r="S116" s="1"/>
      <x:c r="T116" s="1"/>
    </x:row>
    <x:row r="117" ht="18" customHeight="1">
      <x:c r="A117" s="1"/>
      <x:c r="B117" s="1"/>
      <x:c r="C117" s="1"/>
      <x:c r="D117" s="1"/>
      <x:c r="E117" s="1"/>
      <x:c r="F117" s="1"/>
      <x:c r="G117" s="1"/>
      <x:c r="H117" s="1"/>
      <x:c r="I117" s="1"/>
      <x:c r="J117" s="1"/>
      <x:c r="K117" s="1"/>
      <x:c r="L117" s="1"/>
      <x:c r="M117" s="1"/>
      <x:c r="N117" s="1"/>
      <x:c r="O117" s="1"/>
      <x:c r="P117" s="1"/>
      <x:c r="Q117" s="1"/>
      <x:c r="R117" s="1"/>
      <x:c r="S117" s="1"/>
      <x:c r="T117" s="1"/>
    </x:row>
    <x:row r="118" ht="18" customHeight="1">
      <x:c r="A118" s="1"/>
      <x:c r="B118" s="1"/>
      <x:c r="C118" s="1"/>
      <x:c r="D118" s="1"/>
      <x:c r="E118" s="1"/>
      <x:c r="F118" s="1"/>
      <x:c r="G118" s="1"/>
      <x:c r="H118" s="1"/>
      <x:c r="I118" s="1"/>
      <x:c r="J118" s="1"/>
      <x:c r="K118" s="1"/>
      <x:c r="L118" s="1"/>
      <x:c r="M118" s="1"/>
      <x:c r="N118" s="1"/>
      <x:c r="O118" s="1"/>
      <x:c r="P118" s="1"/>
      <x:c r="Q118" s="1"/>
      <x:c r="R118" s="1"/>
      <x:c r="S118" s="1"/>
      <x:c r="T118" s="1"/>
    </x:row>
    <x:row r="119" ht="18" customHeight="1">
      <x:c r="A119" s="1"/>
      <x:c r="B119" s="1"/>
      <x:c r="C119" s="1"/>
      <x:c r="D119" s="1"/>
      <x:c r="E119" s="1"/>
      <x:c r="F119" s="1"/>
      <x:c r="G119" s="1"/>
      <x:c r="H119" s="1"/>
      <x:c r="I119" s="1"/>
      <x:c r="J119" s="1"/>
      <x:c r="K119" s="1"/>
      <x:c r="L119" s="1"/>
      <x:c r="M119" s="1"/>
      <x:c r="N119" s="1"/>
      <x:c r="O119" s="1"/>
      <x:c r="P119" s="1"/>
      <x:c r="Q119" s="1"/>
      <x:c r="R119" s="1"/>
      <x:c r="S119" s="1"/>
      <x:c r="T119" s="1"/>
    </x:row>
    <x:row r="120" ht="18" customHeight="1">
      <x:c r="A120" s="1"/>
      <x:c r="B120" s="1"/>
      <x:c r="C120" s="1"/>
      <x:c r="D120" s="1"/>
      <x:c r="E120" s="1"/>
      <x:c r="F120" s="1"/>
      <x:c r="G120" s="1"/>
      <x:c r="H120" s="1"/>
      <x:c r="I120" s="1"/>
      <x:c r="J120" s="1"/>
      <x:c r="K120" s="1"/>
      <x:c r="L120" s="1"/>
      <x:c r="M120" s="1"/>
      <x:c r="N120" s="1"/>
      <x:c r="O120" s="1"/>
      <x:c r="P120" s="1"/>
      <x:c r="Q120" s="1"/>
      <x:c r="R120" s="1"/>
      <x:c r="S120" s="1"/>
      <x:c r="T120" s="1"/>
    </x:row>
    <x:row r="121" ht="18" customHeight="1">
      <x:c r="A121" s="1"/>
      <x:c r="B121" s="1"/>
      <x:c r="C121" s="1"/>
      <x:c r="D121" s="1"/>
      <x:c r="E121" s="1"/>
      <x:c r="F121" s="1"/>
      <x:c r="G121" s="1"/>
      <x:c r="H121" s="1"/>
      <x:c r="I121" s="1"/>
      <x:c r="J121" s="1"/>
      <x:c r="K121" s="1"/>
      <x:c r="L121" s="1"/>
      <x:c r="M121" s="1"/>
      <x:c r="N121" s="1"/>
      <x:c r="O121" s="1"/>
      <x:c r="P121" s="1"/>
      <x:c r="Q121" s="1"/>
      <x:c r="R121" s="1"/>
      <x:c r="S121" s="1"/>
      <x:c r="T121" s="1"/>
    </x:row>
    <x:row r="122" ht="18" customHeight="1">
      <x:c r="A122" s="1"/>
      <x:c r="B122" s="1"/>
      <x:c r="C122" s="1"/>
      <x:c r="D122" s="1"/>
      <x:c r="E122" s="1"/>
      <x:c r="F122" s="1"/>
      <x:c r="G122" s="1"/>
      <x:c r="H122" s="1"/>
      <x:c r="I122" s="1"/>
      <x:c r="J122" s="1"/>
      <x:c r="K122" s="1"/>
      <x:c r="L122" s="1"/>
      <x:c r="M122" s="1"/>
      <x:c r="N122" s="1"/>
      <x:c r="O122" s="1"/>
      <x:c r="P122" s="1"/>
      <x:c r="Q122" s="1"/>
      <x:c r="R122" s="1"/>
      <x:c r="S122" s="1"/>
      <x:c r="T122" s="1"/>
    </x:row>
    <x:row r="123" ht="18" customHeight="1">
      <x:c r="A123" s="1"/>
      <x:c r="B123" s="1"/>
      <x:c r="C123" s="1"/>
      <x:c r="D123" s="1"/>
      <x:c r="E123" s="1"/>
      <x:c r="F123" s="1"/>
      <x:c r="G123" s="1"/>
      <x:c r="H123" s="1"/>
      <x:c r="I123" s="1"/>
      <x:c r="J123" s="1"/>
      <x:c r="K123" s="1"/>
      <x:c r="L123" s="1"/>
      <x:c r="M123" s="1"/>
      <x:c r="N123" s="1"/>
      <x:c r="O123" s="1"/>
      <x:c r="P123" s="1"/>
      <x:c r="Q123" s="1"/>
      <x:c r="R123" s="1"/>
      <x:c r="S123" s="1"/>
      <x:c r="T123" s="1"/>
    </x:row>
    <x:row r="124" ht="18" customHeight="1">
      <x:c r="A124" s="1"/>
      <x:c r="B124" s="1"/>
      <x:c r="C124" s="1"/>
      <x:c r="D124" s="1"/>
      <x:c r="E124" s="1"/>
      <x:c r="F124" s="1"/>
      <x:c r="G124" s="1"/>
      <x:c r="H124" s="1"/>
      <x:c r="I124" s="1"/>
      <x:c r="J124" s="1"/>
      <x:c r="K124" s="1"/>
      <x:c r="L124" s="1"/>
      <x:c r="M124" s="1"/>
      <x:c r="N124" s="1"/>
      <x:c r="O124" s="1"/>
      <x:c r="P124" s="1"/>
      <x:c r="Q124" s="1"/>
      <x:c r="R124" s="1"/>
      <x:c r="S124" s="1"/>
      <x:c r="T124" s="1"/>
    </x:row>
    <x:row r="125" ht="18" customHeight="1">
      <x:c r="A125" s="1"/>
      <x:c r="B125" s="1"/>
      <x:c r="C125" s="1"/>
      <x:c r="D125" s="1"/>
      <x:c r="E125" s="1"/>
      <x:c r="F125" s="1"/>
      <x:c r="G125" s="1"/>
      <x:c r="H125" s="1"/>
      <x:c r="I125" s="1"/>
      <x:c r="J125" s="1"/>
      <x:c r="K125" s="1"/>
      <x:c r="L125" s="1"/>
      <x:c r="M125" s="1"/>
      <x:c r="N125" s="1"/>
      <x:c r="O125" s="1"/>
      <x:c r="P125" s="1"/>
      <x:c r="Q125" s="1"/>
      <x:c r="R125" s="1"/>
      <x:c r="S125" s="1"/>
      <x:c r="T125" s="1"/>
    </x:row>
    <x:row r="126" ht="18" customHeight="1">
      <x:c r="A126" s="1"/>
      <x:c r="B126" s="1"/>
      <x:c r="C126" s="1"/>
      <x:c r="D126" s="1"/>
      <x:c r="E126" s="1"/>
      <x:c r="F126" s="1"/>
      <x:c r="G126" s="1"/>
      <x:c r="H126" s="1"/>
      <x:c r="I126" s="1"/>
      <x:c r="J126" s="1"/>
      <x:c r="K126" s="1"/>
      <x:c r="L126" s="1"/>
      <x:c r="M126" s="1"/>
      <x:c r="N126" s="1"/>
      <x:c r="O126" s="1"/>
      <x:c r="P126" s="1"/>
      <x:c r="Q126" s="1"/>
      <x:c r="R126" s="1"/>
      <x:c r="S126" s="1"/>
      <x:c r="T126" s="1"/>
    </x:row>
    <x:row r="127" ht="18" customHeight="1">
      <x:c r="A127" s="1"/>
      <x:c r="B127" s="1"/>
      <x:c r="C127" s="1"/>
      <x:c r="D127" s="1"/>
      <x:c r="E127" s="1"/>
      <x:c r="F127" s="1"/>
      <x:c r="G127" s="1"/>
      <x:c r="H127" s="1"/>
      <x:c r="I127" s="1"/>
      <x:c r="J127" s="1"/>
      <x:c r="K127" s="1"/>
      <x:c r="L127" s="1"/>
      <x:c r="M127" s="1"/>
      <x:c r="N127" s="1"/>
      <x:c r="O127" s="1"/>
      <x:c r="P127" s="1"/>
      <x:c r="Q127" s="1"/>
      <x:c r="R127" s="1"/>
      <x:c r="S127" s="1"/>
      <x:c r="T127" s="1"/>
    </x:row>
    <x:row r="128" ht="18" customHeight="1">
      <x:c r="A128" s="1"/>
      <x:c r="B128" s="1"/>
      <x:c r="C128" s="1"/>
      <x:c r="D128" s="1"/>
      <x:c r="E128" s="1"/>
      <x:c r="F128" s="1"/>
      <x:c r="G128" s="1"/>
      <x:c r="H128" s="1"/>
      <x:c r="I128" s="1"/>
      <x:c r="J128" s="1"/>
      <x:c r="K128" s="1"/>
      <x:c r="L128" s="1"/>
      <x:c r="M128" s="1"/>
      <x:c r="N128" s="1"/>
      <x:c r="O128" s="1"/>
      <x:c r="P128" s="1"/>
      <x:c r="Q128" s="1"/>
      <x:c r="R128" s="1"/>
      <x:c r="S128" s="1"/>
      <x:c r="T128" s="1"/>
    </x:row>
    <x:row r="129" ht="18" customHeight="1">
      <x:c r="A129" s="1"/>
      <x:c r="B129" s="1"/>
      <x:c r="C129" s="1"/>
      <x:c r="D129" s="1"/>
      <x:c r="E129" s="1"/>
      <x:c r="F129" s="1"/>
      <x:c r="G129" s="1"/>
      <x:c r="H129" s="1"/>
      <x:c r="I129" s="1"/>
      <x:c r="J129" s="1"/>
      <x:c r="K129" s="1"/>
      <x:c r="L129" s="1"/>
      <x:c r="M129" s="1"/>
      <x:c r="N129" s="1"/>
      <x:c r="O129" s="1"/>
      <x:c r="P129" s="1"/>
      <x:c r="Q129" s="1"/>
      <x:c r="R129" s="1"/>
      <x:c r="S129" s="1"/>
      <x:c r="T129" s="1"/>
    </x:row>
    <x:row r="130" ht="18" customHeight="1">
      <x:c r="A130" s="1"/>
      <x:c r="B130" s="1"/>
      <x:c r="C130" s="1"/>
      <x:c r="D130" s="1"/>
      <x:c r="E130" s="1"/>
      <x:c r="F130" s="1"/>
      <x:c r="G130" s="1"/>
      <x:c r="H130" s="1"/>
      <x:c r="I130" s="1"/>
      <x:c r="J130" s="1"/>
      <x:c r="K130" s="1"/>
      <x:c r="L130" s="1"/>
      <x:c r="M130" s="1"/>
      <x:c r="N130" s="1"/>
      <x:c r="O130" s="1"/>
      <x:c r="P130" s="1"/>
      <x:c r="Q130" s="1"/>
      <x:c r="R130" s="1"/>
      <x:c r="S130" s="1"/>
      <x:c r="T130" s="1"/>
    </x:row>
    <x:row r="131" ht="18" customHeight="1">
      <x:c r="A131" s="1"/>
      <x:c r="B131" s="1"/>
      <x:c r="C131" s="1"/>
      <x:c r="D131" s="1"/>
      <x:c r="E131" s="1"/>
      <x:c r="F131" s="1"/>
      <x:c r="G131" s="1"/>
      <x:c r="H131" s="1"/>
      <x:c r="I131" s="1"/>
      <x:c r="J131" s="1"/>
      <x:c r="K131" s="1"/>
      <x:c r="L131" s="1"/>
      <x:c r="M131" s="1"/>
      <x:c r="N131" s="1"/>
      <x:c r="O131" s="1"/>
      <x:c r="P131" s="1"/>
      <x:c r="Q131" s="1"/>
      <x:c r="R131" s="1"/>
      <x:c r="S131" s="1"/>
      <x:c r="T131" s="1"/>
    </x:row>
    <x:row r="132" ht="18" customHeight="1">
      <x:c r="A132" s="1"/>
      <x:c r="B132" s="1"/>
      <x:c r="C132" s="1"/>
      <x:c r="D132" s="1"/>
      <x:c r="E132" s="1"/>
      <x:c r="F132" s="1"/>
      <x:c r="G132" s="1"/>
      <x:c r="H132" s="1"/>
      <x:c r="I132" s="1"/>
      <x:c r="J132" s="1"/>
      <x:c r="K132" s="1"/>
      <x:c r="L132" s="1"/>
      <x:c r="M132" s="1"/>
      <x:c r="N132" s="1"/>
      <x:c r="O132" s="1"/>
      <x:c r="P132" s="1"/>
      <x:c r="Q132" s="1"/>
      <x:c r="R132" s="1"/>
      <x:c r="S132" s="1"/>
      <x:c r="T132" s="1"/>
    </x:row>
    <x:row r="133" ht="18" customHeight="1">
      <x:c r="A133" s="1"/>
      <x:c r="B133" s="1"/>
      <x:c r="C133" s="1"/>
      <x:c r="D133" s="1"/>
      <x:c r="E133" s="1"/>
      <x:c r="F133" s="1"/>
      <x:c r="G133" s="1"/>
      <x:c r="H133" s="1"/>
      <x:c r="I133" s="1"/>
      <x:c r="J133" s="1"/>
      <x:c r="K133" s="1"/>
      <x:c r="L133" s="1"/>
      <x:c r="M133" s="1"/>
      <x:c r="N133" s="1"/>
      <x:c r="O133" s="1"/>
      <x:c r="P133" s="1"/>
      <x:c r="Q133" s="1"/>
      <x:c r="R133" s="1"/>
      <x:c r="S133" s="1"/>
      <x:c r="T133" s="1"/>
    </x:row>
    <x:row r="134" ht="18" customHeight="1">
      <x:c r="A134" s="1"/>
      <x:c r="B134" s="1"/>
      <x:c r="C134" s="1"/>
      <x:c r="D134" s="1"/>
      <x:c r="E134" s="1"/>
      <x:c r="F134" s="1"/>
      <x:c r="G134" s="1"/>
      <x:c r="H134" s="1"/>
      <x:c r="I134" s="1"/>
      <x:c r="J134" s="1"/>
      <x:c r="K134" s="1"/>
      <x:c r="L134" s="1"/>
      <x:c r="M134" s="1"/>
      <x:c r="N134" s="1"/>
      <x:c r="O134" s="1"/>
      <x:c r="P134" s="1"/>
      <x:c r="Q134" s="1"/>
      <x:c r="R134" s="1"/>
      <x:c r="S134" s="1"/>
      <x:c r="T134" s="1"/>
    </x:row>
    <x:row r="135" ht="18" customHeight="1">
      <x:c r="A135" s="1"/>
      <x:c r="B135" s="1"/>
      <x:c r="C135" s="1"/>
      <x:c r="D135" s="1"/>
      <x:c r="E135" s="1"/>
      <x:c r="F135" s="1"/>
      <x:c r="G135" s="1"/>
      <x:c r="H135" s="1"/>
      <x:c r="I135" s="1"/>
      <x:c r="J135" s="1"/>
      <x:c r="K135" s="1"/>
      <x:c r="L135" s="1"/>
      <x:c r="M135" s="1"/>
      <x:c r="N135" s="1"/>
      <x:c r="O135" s="1"/>
      <x:c r="P135" s="1"/>
      <x:c r="Q135" s="1"/>
      <x:c r="R135" s="1"/>
      <x:c r="S135" s="1"/>
      <x:c r="T135" s="1"/>
    </x:row>
    <x:row r="136" ht="18" customHeight="1">
      <x:c r="A136" s="1"/>
      <x:c r="B136" s="1"/>
      <x:c r="C136" s="1"/>
      <x:c r="D136" s="1"/>
      <x:c r="E136" s="1"/>
      <x:c r="F136" s="1"/>
      <x:c r="G136" s="1"/>
      <x:c r="H136" s="1"/>
      <x:c r="I136" s="1"/>
      <x:c r="J136" s="1"/>
      <x:c r="K136" s="1"/>
      <x:c r="L136" s="1"/>
      <x:c r="M136" s="1"/>
      <x:c r="N136" s="1"/>
      <x:c r="O136" s="1"/>
      <x:c r="P136" s="1"/>
      <x:c r="Q136" s="1"/>
      <x:c r="R136" s="1"/>
      <x:c r="S136" s="1"/>
      <x:c r="T136" s="1"/>
    </x:row>
    <x:row r="137" ht="18" customHeight="1">
      <x:c r="A137" s="1"/>
      <x:c r="B137" s="1"/>
      <x:c r="C137" s="1"/>
      <x:c r="D137" s="1"/>
      <x:c r="E137" s="1"/>
      <x:c r="F137" s="1"/>
      <x:c r="G137" s="1"/>
      <x:c r="H137" s="1"/>
      <x:c r="I137" s="1"/>
      <x:c r="J137" s="1"/>
      <x:c r="K137" s="1"/>
      <x:c r="L137" s="1"/>
      <x:c r="M137" s="1"/>
      <x:c r="N137" s="1"/>
      <x:c r="O137" s="1"/>
      <x:c r="P137" s="1"/>
      <x:c r="Q137" s="1"/>
      <x:c r="R137" s="1"/>
      <x:c r="S137" s="1"/>
      <x:c r="T137" s="1"/>
    </x:row>
    <x:row r="138" ht="18" customHeight="1">
      <x:c r="A138" s="1"/>
      <x:c r="B138" s="1"/>
      <x:c r="C138" s="1"/>
      <x:c r="D138" s="1"/>
      <x:c r="E138" s="1"/>
      <x:c r="F138" s="1"/>
      <x:c r="G138" s="1"/>
      <x:c r="H138" s="1"/>
      <x:c r="I138" s="1"/>
      <x:c r="J138" s="1"/>
      <x:c r="K138" s="1"/>
      <x:c r="L138" s="1"/>
      <x:c r="M138" s="1"/>
      <x:c r="N138" s="1"/>
      <x:c r="O138" s="1"/>
      <x:c r="P138" s="1"/>
      <x:c r="Q138" s="1"/>
      <x:c r="R138" s="1"/>
      <x:c r="S138" s="1"/>
      <x:c r="T138" s="1"/>
    </x:row>
    <x:row r="139" ht="18" customHeight="1">
      <x:c r="A139" s="1"/>
      <x:c r="B139" s="1"/>
      <x:c r="C139" s="1"/>
      <x:c r="D139" s="1"/>
      <x:c r="E139" s="1"/>
      <x:c r="F139" s="1"/>
      <x:c r="G139" s="1"/>
      <x:c r="H139" s="1"/>
      <x:c r="I139" s="1"/>
      <x:c r="J139" s="1"/>
      <x:c r="K139" s="1"/>
      <x:c r="L139" s="1"/>
      <x:c r="M139" s="1"/>
      <x:c r="N139" s="1"/>
      <x:c r="O139" s="1"/>
      <x:c r="P139" s="1"/>
      <x:c r="Q139" s="1"/>
      <x:c r="R139" s="1"/>
      <x:c r="S139" s="1"/>
      <x:c r="T139" s="1"/>
    </x:row>
    <x:row r="140" ht="18" customHeight="1">
      <x:c r="A140" s="1"/>
      <x:c r="B140" s="1"/>
      <x:c r="C140" s="1"/>
      <x:c r="D140" s="1"/>
      <x:c r="E140" s="1"/>
      <x:c r="F140" s="1"/>
      <x:c r="G140" s="1"/>
      <x:c r="H140" s="1"/>
      <x:c r="I140" s="1"/>
      <x:c r="J140" s="1"/>
      <x:c r="K140" s="1"/>
      <x:c r="L140" s="1"/>
      <x:c r="M140" s="1"/>
      <x:c r="N140" s="1"/>
      <x:c r="O140" s="1"/>
      <x:c r="P140" s="1"/>
      <x:c r="Q140" s="1"/>
      <x:c r="R140" s="1"/>
      <x:c r="S140" s="1"/>
      <x:c r="T140" s="1"/>
    </x:row>
    <x:row r="141" ht="18" customHeight="1">
      <x:c r="A141" s="1"/>
      <x:c r="B141" s="1"/>
      <x:c r="C141" s="1"/>
      <x:c r="D141" s="1"/>
      <x:c r="E141" s="1"/>
      <x:c r="F141" s="1"/>
      <x:c r="G141" s="1"/>
      <x:c r="H141" s="1"/>
      <x:c r="I141" s="1"/>
      <x:c r="J141" s="1"/>
      <x:c r="K141" s="1"/>
      <x:c r="L141" s="1"/>
      <x:c r="M141" s="1"/>
      <x:c r="N141" s="1"/>
      <x:c r="O141" s="1"/>
      <x:c r="P141" s="1"/>
      <x:c r="Q141" s="1"/>
      <x:c r="R141" s="1"/>
      <x:c r="S141" s="1"/>
      <x:c r="T141" s="1"/>
    </x:row>
    <x:row r="142" ht="18" customHeight="1">
      <x:c r="A142" s="1"/>
      <x:c r="B142" s="1"/>
      <x:c r="C142" s="1"/>
      <x:c r="D142" s="1"/>
      <x:c r="E142" s="1"/>
      <x:c r="F142" s="1"/>
      <x:c r="G142" s="1"/>
      <x:c r="H142" s="1"/>
      <x:c r="I142" s="1"/>
      <x:c r="J142" s="1"/>
      <x:c r="K142" s="1"/>
      <x:c r="L142" s="1"/>
      <x:c r="M142" s="1"/>
      <x:c r="N142" s="1"/>
      <x:c r="O142" s="1"/>
      <x:c r="P142" s="1"/>
      <x:c r="Q142" s="1"/>
      <x:c r="R142" s="1"/>
      <x:c r="S142" s="1"/>
      <x:c r="T142" s="1"/>
    </x:row>
    <x:row r="143" ht="18" customHeight="1">
      <x:c r="A143" s="1"/>
      <x:c r="B143" s="1"/>
      <x:c r="C143" s="1"/>
      <x:c r="D143" s="1"/>
      <x:c r="E143" s="1"/>
      <x:c r="F143" s="1"/>
      <x:c r="G143" s="1"/>
      <x:c r="H143" s="1"/>
      <x:c r="I143" s="1"/>
      <x:c r="J143" s="1"/>
      <x:c r="K143" s="1"/>
      <x:c r="L143" s="1"/>
      <x:c r="M143" s="1"/>
      <x:c r="N143" s="1"/>
      <x:c r="O143" s="1"/>
      <x:c r="P143" s="1"/>
      <x:c r="Q143" s="1"/>
      <x:c r="R143" s="1"/>
      <x:c r="S143" s="1"/>
      <x:c r="T143" s="1"/>
    </x:row>
    <x:row r="144" ht="18" customHeight="1">
      <x:c r="A144" s="1"/>
      <x:c r="B144" s="1"/>
      <x:c r="C144" s="1"/>
      <x:c r="D144" s="1"/>
      <x:c r="E144" s="1"/>
      <x:c r="F144" s="1"/>
      <x:c r="G144" s="1"/>
      <x:c r="H144" s="1"/>
      <x:c r="I144" s="1"/>
      <x:c r="J144" s="1"/>
      <x:c r="K144" s="1"/>
      <x:c r="L144" s="1"/>
      <x:c r="M144" s="1"/>
      <x:c r="N144" s="1"/>
      <x:c r="O144" s="1"/>
      <x:c r="P144" s="1"/>
      <x:c r="Q144" s="1"/>
      <x:c r="R144" s="1"/>
      <x:c r="S144" s="1"/>
      <x:c r="T144" s="1"/>
    </x:row>
    <x:row r="145" ht="18" customHeight="1">
      <x:c r="A145" s="1"/>
      <x:c r="B145" s="1"/>
      <x:c r="C145" s="1"/>
      <x:c r="D145" s="1"/>
      <x:c r="E145" s="1"/>
      <x:c r="F145" s="1"/>
      <x:c r="G145" s="1"/>
      <x:c r="H145" s="1"/>
      <x:c r="I145" s="1"/>
      <x:c r="J145" s="1"/>
      <x:c r="K145" s="1"/>
      <x:c r="L145" s="1"/>
      <x:c r="M145" s="1"/>
      <x:c r="N145" s="1"/>
      <x:c r="O145" s="1"/>
      <x:c r="P145" s="1"/>
      <x:c r="Q145" s="1"/>
      <x:c r="R145" s="1"/>
      <x:c r="S145" s="1"/>
      <x:c r="T145" s="1"/>
    </x:row>
    <x:row r="146" ht="18" customHeight="1">
      <x:c r="A146" s="1"/>
      <x:c r="B146" s="1"/>
      <x:c r="C146" s="1"/>
      <x:c r="D146" s="1"/>
      <x:c r="E146" s="1"/>
      <x:c r="F146" s="1"/>
      <x:c r="G146" s="1"/>
      <x:c r="H146" s="1"/>
      <x:c r="I146" s="1"/>
      <x:c r="J146" s="1"/>
      <x:c r="K146" s="1"/>
      <x:c r="L146" s="1"/>
      <x:c r="M146" s="1"/>
      <x:c r="N146" s="1"/>
      <x:c r="O146" s="1"/>
      <x:c r="P146" s="1"/>
      <x:c r="Q146" s="1"/>
      <x:c r="R146" s="1"/>
      <x:c r="S146" s="1"/>
      <x:c r="T146" s="1"/>
    </x:row>
    <x:row r="147" ht="18" customHeight="1">
      <x:c r="A147" s="1"/>
      <x:c r="B147" s="1"/>
      <x:c r="C147" s="1"/>
      <x:c r="D147" s="1"/>
      <x:c r="E147" s="1"/>
      <x:c r="F147" s="1"/>
      <x:c r="G147" s="1"/>
      <x:c r="H147" s="1"/>
      <x:c r="I147" s="1"/>
      <x:c r="J147" s="1"/>
      <x:c r="K147" s="1"/>
      <x:c r="L147" s="1"/>
      <x:c r="M147" s="1"/>
      <x:c r="N147" s="1"/>
      <x:c r="O147" s="1"/>
      <x:c r="P147" s="1"/>
      <x:c r="Q147" s="1"/>
      <x:c r="R147" s="1"/>
      <x:c r="S147" s="1"/>
      <x:c r="T147" s="1"/>
    </x:row>
    <x:row r="148" ht="18" customHeight="1">
      <x:c r="A148" s="1"/>
      <x:c r="B148" s="1"/>
      <x:c r="C148" s="1"/>
      <x:c r="D148" s="1"/>
      <x:c r="E148" s="1"/>
      <x:c r="F148" s="1"/>
      <x:c r="G148" s="1"/>
      <x:c r="H148" s="1"/>
      <x:c r="I148" s="1"/>
      <x:c r="J148" s="1"/>
      <x:c r="K148" s="1"/>
      <x:c r="L148" s="1"/>
      <x:c r="M148" s="1"/>
      <x:c r="N148" s="1"/>
      <x:c r="O148" s="1"/>
      <x:c r="P148" s="1"/>
      <x:c r="Q148" s="1"/>
      <x:c r="R148" s="1"/>
      <x:c r="S148" s="1"/>
      <x:c r="T148" s="1"/>
    </x:row>
    <x:row r="149" ht="18" customHeight="1">
      <x:c r="A149" s="1"/>
      <x:c r="B149" s="1"/>
      <x:c r="C149" s="1"/>
      <x:c r="D149" s="1"/>
      <x:c r="E149" s="1"/>
      <x:c r="F149" s="1"/>
      <x:c r="G149" s="1"/>
      <x:c r="H149" s="1"/>
      <x:c r="I149" s="1"/>
      <x:c r="J149" s="1"/>
      <x:c r="K149" s="1"/>
      <x:c r="L149" s="1"/>
      <x:c r="M149" s="1"/>
      <x:c r="N149" s="1"/>
      <x:c r="O149" s="1"/>
      <x:c r="P149" s="1"/>
      <x:c r="Q149" s="1"/>
      <x:c r="R149" s="1"/>
      <x:c r="S149" s="1"/>
      <x:c r="T149" s="1"/>
    </x:row>
    <x:row r="150" ht="18" customHeight="1">
      <x:c r="A150" s="1"/>
      <x:c r="B150" s="1"/>
      <x:c r="C150" s="1"/>
      <x:c r="D150" s="1"/>
      <x:c r="E150" s="1"/>
      <x:c r="F150" s="1"/>
      <x:c r="G150" s="1"/>
      <x:c r="H150" s="1"/>
      <x:c r="I150" s="1"/>
      <x:c r="J150" s="1"/>
      <x:c r="K150" s="1"/>
      <x:c r="L150" s="1"/>
      <x:c r="M150" s="1"/>
      <x:c r="N150" s="1"/>
      <x:c r="O150" s="1"/>
      <x:c r="P150" s="1"/>
      <x:c r="Q150" s="1"/>
      <x:c r="R150" s="1"/>
      <x:c r="S150" s="1"/>
      <x:c r="T150" s="1"/>
    </x:row>
    <x:row r="151" ht="18" customHeight="1">
      <x:c r="A151" s="1"/>
      <x:c r="B151" s="1"/>
      <x:c r="C151" s="1"/>
      <x:c r="D151" s="1"/>
      <x:c r="E151" s="1"/>
      <x:c r="F151" s="1"/>
      <x:c r="G151" s="1"/>
      <x:c r="H151" s="1"/>
      <x:c r="I151" s="1"/>
      <x:c r="J151" s="1"/>
      <x:c r="K151" s="1"/>
      <x:c r="L151" s="1"/>
      <x:c r="M151" s="1"/>
      <x:c r="N151" s="1"/>
      <x:c r="O151" s="1"/>
      <x:c r="P151" s="1"/>
      <x:c r="Q151" s="1"/>
      <x:c r="R151" s="1"/>
      <x:c r="S151" s="1"/>
      <x:c r="T151" s="1"/>
    </x:row>
    <x:row r="152" ht="18" customHeight="1">
      <x:c r="A152" s="1"/>
      <x:c r="B152" s="1"/>
      <x:c r="C152" s="1"/>
      <x:c r="D152" s="1"/>
      <x:c r="E152" s="1"/>
      <x:c r="F152" s="1"/>
      <x:c r="G152" s="1"/>
      <x:c r="H152" s="1"/>
      <x:c r="I152" s="1"/>
      <x:c r="J152" s="1"/>
      <x:c r="K152" s="1"/>
      <x:c r="L152" s="1"/>
      <x:c r="M152" s="1"/>
      <x:c r="N152" s="1"/>
      <x:c r="O152" s="1"/>
      <x:c r="P152" s="1"/>
      <x:c r="Q152" s="1"/>
      <x:c r="R152" s="1"/>
      <x:c r="S152" s="1"/>
      <x:c r="T152" s="1"/>
    </x:row>
    <x:row r="153" ht="18" customHeight="1">
      <x:c r="A153" s="1"/>
      <x:c r="B153" s="1"/>
      <x:c r="C153" s="1"/>
      <x:c r="D153" s="1"/>
      <x:c r="E153" s="1"/>
      <x:c r="F153" s="1"/>
      <x:c r="G153" s="1"/>
      <x:c r="H153" s="1"/>
      <x:c r="I153" s="1"/>
      <x:c r="J153" s="1"/>
      <x:c r="K153" s="1"/>
      <x:c r="L153" s="1"/>
      <x:c r="M153" s="1"/>
      <x:c r="N153" s="1"/>
      <x:c r="O153" s="1"/>
      <x:c r="P153" s="1"/>
      <x:c r="Q153" s="1"/>
      <x:c r="R153" s="1"/>
      <x:c r="S153" s="1"/>
      <x:c r="T153" s="1"/>
    </x:row>
    <x:row r="154" ht="18" customHeight="1">
      <x:c r="A154" s="1"/>
      <x:c r="B154" s="1"/>
      <x:c r="C154" s="1"/>
      <x:c r="D154" s="1"/>
      <x:c r="E154" s="1"/>
      <x:c r="F154" s="1"/>
      <x:c r="G154" s="1"/>
      <x:c r="H154" s="1"/>
      <x:c r="I154" s="1"/>
      <x:c r="J154" s="1"/>
      <x:c r="K154" s="1"/>
      <x:c r="L154" s="1"/>
      <x:c r="M154" s="1"/>
      <x:c r="N154" s="1"/>
      <x:c r="O154" s="1"/>
      <x:c r="P154" s="1"/>
      <x:c r="Q154" s="1"/>
      <x:c r="R154" s="1"/>
      <x:c r="S154" s="1"/>
      <x:c r="T154" s="1"/>
    </x:row>
    <x:row r="155" ht="18" customHeight="1">
      <x:c r="A155" s="1"/>
      <x:c r="B155" s="1"/>
      <x:c r="C155" s="1"/>
      <x:c r="D155" s="1"/>
      <x:c r="E155" s="1"/>
      <x:c r="F155" s="1"/>
      <x:c r="G155" s="1"/>
      <x:c r="H155" s="1"/>
      <x:c r="I155" s="1"/>
      <x:c r="J155" s="1"/>
      <x:c r="K155" s="1"/>
      <x:c r="L155" s="1"/>
      <x:c r="M155" s="1"/>
      <x:c r="N155" s="1"/>
      <x:c r="O155" s="1"/>
      <x:c r="P155" s="1"/>
      <x:c r="Q155" s="1"/>
      <x:c r="R155" s="1"/>
      <x:c r="S155" s="1"/>
      <x:c r="T155" s="1"/>
    </x:row>
    <x:row r="156" ht="18" customHeight="1">
      <x:c r="A156" s="1"/>
      <x:c r="B156" s="1"/>
      <x:c r="C156" s="1"/>
      <x:c r="D156" s="1"/>
      <x:c r="E156" s="1"/>
      <x:c r="F156" s="1"/>
      <x:c r="G156" s="1"/>
      <x:c r="H156" s="1"/>
      <x:c r="I156" s="1"/>
      <x:c r="J156" s="1"/>
      <x:c r="K156" s="1"/>
      <x:c r="L156" s="1"/>
      <x:c r="M156" s="1"/>
      <x:c r="N156" s="1"/>
      <x:c r="O156" s="1"/>
      <x:c r="P156" s="1"/>
      <x:c r="Q156" s="1"/>
      <x:c r="R156" s="1"/>
      <x:c r="S156" s="1"/>
      <x:c r="T156" s="1"/>
    </x:row>
    <x:row r="157" ht="18" customHeight="1">
      <x:c r="A157" s="1"/>
      <x:c r="B157" s="1"/>
      <x:c r="C157" s="1"/>
      <x:c r="D157" s="1"/>
      <x:c r="E157" s="1"/>
      <x:c r="F157" s="1"/>
      <x:c r="G157" s="1"/>
      <x:c r="H157" s="1"/>
      <x:c r="I157" s="1"/>
      <x:c r="J157" s="1"/>
      <x:c r="K157" s="1"/>
      <x:c r="L157" s="1"/>
      <x:c r="M157" s="1"/>
      <x:c r="N157" s="1"/>
      <x:c r="O157" s="1"/>
      <x:c r="P157" s="1"/>
      <x:c r="Q157" s="1"/>
      <x:c r="R157" s="1"/>
      <x:c r="S157" s="1"/>
      <x:c r="T157" s="1"/>
    </x:row>
    <x:row r="158" ht="18" customHeight="1">
      <x:c r="A158" s="1"/>
      <x:c r="B158" s="1"/>
      <x:c r="C158" s="1"/>
      <x:c r="D158" s="1"/>
      <x:c r="E158" s="1"/>
      <x:c r="F158" s="1"/>
      <x:c r="G158" s="1"/>
      <x:c r="H158" s="1"/>
      <x:c r="I158" s="1"/>
      <x:c r="J158" s="1"/>
      <x:c r="K158" s="1"/>
      <x:c r="L158" s="1"/>
      <x:c r="M158" s="1"/>
      <x:c r="N158" s="1"/>
      <x:c r="O158" s="1"/>
      <x:c r="P158" s="1"/>
      <x:c r="Q158" s="1"/>
      <x:c r="R158" s="1"/>
      <x:c r="S158" s="1"/>
      <x:c r="T158" s="1"/>
    </x:row>
    <x:row r="159" ht="18" customHeight="1">
      <x:c r="A159" s="1"/>
      <x:c r="B159" s="1"/>
      <x:c r="C159" s="1"/>
      <x:c r="D159" s="1"/>
      <x:c r="E159" s="1"/>
      <x:c r="F159" s="1"/>
      <x:c r="G159" s="1"/>
      <x:c r="H159" s="1"/>
      <x:c r="I159" s="1"/>
      <x:c r="J159" s="1"/>
      <x:c r="K159" s="1"/>
      <x:c r="L159" s="1"/>
      <x:c r="M159" s="1"/>
      <x:c r="N159" s="1"/>
      <x:c r="O159" s="1"/>
      <x:c r="P159" s="1"/>
      <x:c r="Q159" s="1"/>
      <x:c r="R159" s="1"/>
      <x:c r="S159" s="1"/>
      <x:c r="T159" s="1"/>
    </x:row>
    <x:row r="160" ht="18" customHeight="1">
      <x:c r="A160" s="1"/>
      <x:c r="B160" s="1"/>
      <x:c r="C160" s="1"/>
      <x:c r="D160" s="1"/>
      <x:c r="E160" s="1"/>
      <x:c r="F160" s="1"/>
      <x:c r="G160" s="1"/>
      <x:c r="H160" s="1"/>
      <x:c r="I160" s="1"/>
      <x:c r="J160" s="1"/>
      <x:c r="K160" s="1"/>
      <x:c r="L160" s="1"/>
      <x:c r="M160" s="1"/>
      <x:c r="N160" s="1"/>
      <x:c r="O160" s="1"/>
      <x:c r="P160" s="1"/>
      <x:c r="Q160" s="1"/>
      <x:c r="R160" s="1"/>
      <x:c r="S160" s="1"/>
      <x:c r="T160" s="1"/>
    </x:row>
    <x:row r="161" ht="18" customHeight="1">
      <x:c r="A161" s="1"/>
      <x:c r="B161" s="1"/>
      <x:c r="C161" s="1"/>
      <x:c r="D161" s="1"/>
      <x:c r="E161" s="1"/>
      <x:c r="F161" s="1"/>
      <x:c r="G161" s="1"/>
      <x:c r="H161" s="1"/>
      <x:c r="I161" s="1"/>
      <x:c r="J161" s="1"/>
      <x:c r="K161" s="1"/>
      <x:c r="L161" s="1"/>
      <x:c r="M161" s="1"/>
      <x:c r="N161" s="1"/>
      <x:c r="O161" s="1"/>
      <x:c r="P161" s="1"/>
      <x:c r="Q161" s="1"/>
      <x:c r="R161" s="1"/>
      <x:c r="S161" s="1"/>
      <x:c r="T161" s="1"/>
    </x:row>
    <x:row r="162" ht="18" customHeight="1">
      <x:c r="A162" s="1"/>
      <x:c r="B162" s="1"/>
      <x:c r="C162" s="1"/>
      <x:c r="D162" s="1"/>
      <x:c r="E162" s="1"/>
      <x:c r="F162" s="1"/>
      <x:c r="G162" s="1"/>
      <x:c r="H162" s="1"/>
      <x:c r="I162" s="1"/>
      <x:c r="J162" s="1"/>
      <x:c r="K162" s="1"/>
      <x:c r="L162" s="1"/>
      <x:c r="M162" s="1"/>
      <x:c r="N162" s="1"/>
      <x:c r="O162" s="1"/>
      <x:c r="P162" s="1"/>
      <x:c r="Q162" s="1"/>
      <x:c r="R162" s="1"/>
      <x:c r="S162" s="1"/>
      <x:c r="T162" s="1"/>
    </x:row>
    <x:row r="163" ht="18" customHeight="1">
      <x:c r="A163" s="1"/>
      <x:c r="B163" s="1"/>
      <x:c r="C163" s="1"/>
      <x:c r="D163" s="1"/>
      <x:c r="E163" s="1"/>
      <x:c r="F163" s="1"/>
      <x:c r="G163" s="1"/>
      <x:c r="H163" s="1"/>
      <x:c r="I163" s="1"/>
      <x:c r="J163" s="1"/>
      <x:c r="K163" s="1"/>
      <x:c r="L163" s="1"/>
      <x:c r="M163" s="1"/>
      <x:c r="N163" s="1"/>
      <x:c r="O163" s="1"/>
      <x:c r="P163" s="1"/>
      <x:c r="Q163" s="1"/>
      <x:c r="R163" s="1"/>
      <x:c r="S163" s="1"/>
      <x:c r="T163" s="1"/>
    </x:row>
    <x:row r="164" ht="18" customHeight="1">
      <x:c r="A164" s="1"/>
      <x:c r="B164" s="1"/>
      <x:c r="C164" s="1"/>
      <x:c r="D164" s="1"/>
      <x:c r="E164" s="1"/>
      <x:c r="F164" s="1"/>
      <x:c r="G164" s="1"/>
      <x:c r="H164" s="1"/>
      <x:c r="I164" s="1"/>
      <x:c r="J164" s="1"/>
      <x:c r="K164" s="1"/>
      <x:c r="L164" s="1"/>
      <x:c r="M164" s="1"/>
      <x:c r="N164" s="1"/>
      <x:c r="O164" s="1"/>
      <x:c r="P164" s="1"/>
      <x:c r="Q164" s="1"/>
      <x:c r="R164" s="1"/>
      <x:c r="S164" s="1"/>
      <x:c r="T164" s="1"/>
    </x:row>
    <x:row r="165" ht="18" customHeight="1">
      <x:c r="A165" s="1"/>
      <x:c r="B165" s="1"/>
      <x:c r="C165" s="1"/>
      <x:c r="D165" s="1"/>
      <x:c r="E165" s="1"/>
      <x:c r="F165" s="1"/>
      <x:c r="G165" s="1"/>
      <x:c r="H165" s="1"/>
      <x:c r="I165" s="1"/>
      <x:c r="J165" s="1"/>
      <x:c r="K165" s="1"/>
      <x:c r="L165" s="1"/>
      <x:c r="M165" s="1"/>
      <x:c r="N165" s="1"/>
      <x:c r="O165" s="1"/>
      <x:c r="P165" s="1"/>
      <x:c r="Q165" s="1"/>
      <x:c r="R165" s="1"/>
      <x:c r="S165" s="1"/>
      <x:c r="T165" s="1"/>
    </x:row>
    <x:row r="166" ht="18" customHeight="1">
      <x:c r="A166" s="1"/>
      <x:c r="B166" s="1"/>
      <x:c r="C166" s="1"/>
      <x:c r="D166" s="1"/>
      <x:c r="E166" s="1"/>
      <x:c r="F166" s="1"/>
      <x:c r="G166" s="1"/>
      <x:c r="H166" s="1"/>
      <x:c r="I166" s="1"/>
      <x:c r="J166" s="1"/>
      <x:c r="K166" s="1"/>
      <x:c r="L166" s="1"/>
      <x:c r="M166" s="1"/>
      <x:c r="N166" s="1"/>
      <x:c r="O166" s="1"/>
      <x:c r="P166" s="1"/>
      <x:c r="Q166" s="1"/>
      <x:c r="R166" s="1"/>
      <x:c r="S166" s="1"/>
      <x:c r="T166" s="1"/>
    </x:row>
    <x:row r="167" ht="18" customHeight="1">
      <x:c r="A167" s="1"/>
      <x:c r="B167" s="1"/>
      <x:c r="C167" s="1"/>
      <x:c r="D167" s="1"/>
      <x:c r="E167" s="1"/>
      <x:c r="F167" s="1"/>
      <x:c r="G167" s="1"/>
      <x:c r="H167" s="1"/>
      <x:c r="I167" s="1"/>
      <x:c r="J167" s="1"/>
      <x:c r="K167" s="1"/>
      <x:c r="L167" s="1"/>
      <x:c r="M167" s="1"/>
      <x:c r="N167" s="1"/>
      <x:c r="O167" s="1"/>
      <x:c r="P167" s="1"/>
      <x:c r="Q167" s="1"/>
      <x:c r="R167" s="1"/>
      <x:c r="S167" s="1"/>
      <x:c r="T167" s="1"/>
    </x:row>
    <x:row r="168" ht="18" customHeight="1">
      <x:c r="A168" s="1"/>
      <x:c r="B168" s="1"/>
      <x:c r="C168" s="1"/>
      <x:c r="D168" s="1"/>
      <x:c r="E168" s="1"/>
      <x:c r="F168" s="1"/>
      <x:c r="G168" s="1"/>
      <x:c r="H168" s="1"/>
      <x:c r="I168" s="1"/>
      <x:c r="J168" s="1"/>
      <x:c r="K168" s="1"/>
      <x:c r="L168" s="1"/>
      <x:c r="M168" s="1"/>
      <x:c r="N168" s="1"/>
      <x:c r="O168" s="1"/>
      <x:c r="P168" s="1"/>
      <x:c r="Q168" s="1"/>
      <x:c r="R168" s="1"/>
      <x:c r="S168" s="1"/>
      <x:c r="T168" s="1"/>
    </x:row>
    <x:row r="169" ht="18" customHeight="1">
      <x:c r="A169" s="1"/>
      <x:c r="B169" s="1"/>
      <x:c r="C169" s="1"/>
      <x:c r="D169" s="1"/>
      <x:c r="E169" s="1"/>
      <x:c r="F169" s="1"/>
      <x:c r="G169" s="1"/>
      <x:c r="H169" s="1"/>
      <x:c r="I169" s="1"/>
      <x:c r="J169" s="1"/>
      <x:c r="K169" s="1"/>
      <x:c r="L169" s="1"/>
      <x:c r="M169" s="1"/>
      <x:c r="N169" s="1"/>
      <x:c r="O169" s="1"/>
      <x:c r="P169" s="1"/>
      <x:c r="Q169" s="1"/>
      <x:c r="R169" s="1"/>
      <x:c r="S169" s="1"/>
      <x:c r="T169" s="1"/>
    </x:row>
    <x:row r="170" ht="18" customHeight="1">
      <x:c r="A170" s="1"/>
      <x:c r="B170" s="1"/>
      <x:c r="C170" s="1"/>
      <x:c r="D170" s="1"/>
      <x:c r="E170" s="1"/>
      <x:c r="F170" s="1"/>
      <x:c r="G170" s="1"/>
      <x:c r="H170" s="1"/>
      <x:c r="I170" s="1"/>
      <x:c r="J170" s="1"/>
      <x:c r="K170" s="1"/>
      <x:c r="L170" s="1"/>
      <x:c r="M170" s="1"/>
      <x:c r="N170" s="1"/>
      <x:c r="O170" s="1"/>
      <x:c r="P170" s="1"/>
      <x:c r="Q170" s="1"/>
      <x:c r="R170" s="1"/>
      <x:c r="S170" s="1"/>
      <x:c r="T170" s="1"/>
    </x:row>
    <x:row r="171" ht="18" customHeight="1">
      <x:c r="A171" s="1"/>
      <x:c r="B171" s="1"/>
      <x:c r="C171" s="1"/>
      <x:c r="D171" s="1"/>
      <x:c r="E171" s="1"/>
      <x:c r="F171" s="1"/>
      <x:c r="G171" s="1"/>
      <x:c r="H171" s="1"/>
      <x:c r="I171" s="1"/>
      <x:c r="J171" s="1"/>
      <x:c r="K171" s="1"/>
      <x:c r="L171" s="1"/>
      <x:c r="M171" s="1"/>
      <x:c r="N171" s="1"/>
      <x:c r="O171" s="1"/>
      <x:c r="P171" s="1"/>
      <x:c r="Q171" s="1"/>
      <x:c r="R171" s="1"/>
      <x:c r="S171" s="1"/>
      <x:c r="T171" s="1"/>
    </x:row>
    <x:row r="172" ht="18" customHeight="1">
      <x:c r="A172" s="1"/>
      <x:c r="B172" s="1"/>
      <x:c r="C172" s="1"/>
      <x:c r="D172" s="1"/>
      <x:c r="E172" s="1"/>
      <x:c r="F172" s="1"/>
      <x:c r="G172" s="1"/>
      <x:c r="H172" s="1"/>
      <x:c r="I172" s="1"/>
      <x:c r="J172" s="1"/>
      <x:c r="K172" s="1"/>
      <x:c r="L172" s="1"/>
      <x:c r="M172" s="1"/>
      <x:c r="N172" s="1"/>
      <x:c r="O172" s="1"/>
      <x:c r="P172" s="1"/>
      <x:c r="Q172" s="1"/>
      <x:c r="R172" s="1"/>
      <x:c r="S172" s="1"/>
      <x:c r="T172" s="1"/>
    </x:row>
    <x:row r="173" ht="18" customHeight="1">
      <x:c r="A173" s="1"/>
      <x:c r="B173" s="1"/>
      <x:c r="C173" s="1"/>
      <x:c r="D173" s="1"/>
      <x:c r="E173" s="1"/>
      <x:c r="F173" s="1"/>
      <x:c r="G173" s="1"/>
      <x:c r="H173" s="1"/>
      <x:c r="I173" s="1"/>
      <x:c r="J173" s="1"/>
      <x:c r="K173" s="1"/>
      <x:c r="L173" s="1"/>
      <x:c r="M173" s="1"/>
      <x:c r="N173" s="1"/>
      <x:c r="O173" s="1"/>
      <x:c r="P173" s="1"/>
      <x:c r="Q173" s="1"/>
      <x:c r="R173" s="1"/>
      <x:c r="S173" s="1"/>
      <x:c r="T173" s="1"/>
    </x:row>
    <x:row r="174" ht="18" customHeight="1">
      <x:c r="A174" s="1"/>
      <x:c r="B174" s="1"/>
      <x:c r="C174" s="1"/>
      <x:c r="D174" s="1"/>
      <x:c r="E174" s="1"/>
      <x:c r="F174" s="1"/>
      <x:c r="G174" s="1"/>
      <x:c r="H174" s="1"/>
      <x:c r="I174" s="1"/>
      <x:c r="J174" s="1"/>
      <x:c r="K174" s="1"/>
      <x:c r="L174" s="1"/>
      <x:c r="M174" s="1"/>
      <x:c r="N174" s="1"/>
      <x:c r="O174" s="1"/>
      <x:c r="P174" s="1"/>
      <x:c r="Q174" s="1"/>
      <x:c r="R174" s="1"/>
      <x:c r="S174" s="1"/>
      <x:c r="T174" s="1"/>
    </x:row>
    <x:row r="175" ht="18" customHeight="1">
      <x:c r="A175" s="1"/>
      <x:c r="B175" s="1"/>
      <x:c r="C175" s="1"/>
      <x:c r="D175" s="1"/>
      <x:c r="E175" s="1"/>
      <x:c r="F175" s="1"/>
      <x:c r="G175" s="1"/>
      <x:c r="H175" s="1"/>
      <x:c r="I175" s="1"/>
      <x:c r="J175" s="1"/>
      <x:c r="K175" s="1"/>
      <x:c r="L175" s="1"/>
      <x:c r="M175" s="1"/>
      <x:c r="N175" s="1"/>
      <x:c r="O175" s="1"/>
      <x:c r="P175" s="1"/>
      <x:c r="Q175" s="1"/>
      <x:c r="R175" s="1"/>
      <x:c r="S175" s="1"/>
      <x:c r="T175" s="1"/>
    </x:row>
    <x:row r="176" ht="18" customHeight="1">
      <x:c r="A176" s="1"/>
      <x:c r="B176" s="1"/>
      <x:c r="C176" s="1"/>
      <x:c r="D176" s="1"/>
      <x:c r="E176" s="1"/>
      <x:c r="F176" s="1"/>
      <x:c r="G176" s="1"/>
      <x:c r="H176" s="1"/>
      <x:c r="I176" s="1"/>
      <x:c r="J176" s="1"/>
      <x:c r="K176" s="1"/>
      <x:c r="L176" s="1"/>
      <x:c r="M176" s="1"/>
      <x:c r="N176" s="1"/>
      <x:c r="O176" s="1"/>
      <x:c r="P176" s="1"/>
      <x:c r="Q176" s="1"/>
      <x:c r="R176" s="1"/>
      <x:c r="S176" s="1"/>
      <x:c r="T176" s="1"/>
    </x:row>
    <x:row r="177" ht="18" customHeight="1">
      <x:c r="A177" s="1"/>
      <x:c r="B177" s="1"/>
      <x:c r="C177" s="1"/>
      <x:c r="D177" s="1"/>
      <x:c r="E177" s="1"/>
      <x:c r="F177" s="1"/>
      <x:c r="G177" s="1"/>
      <x:c r="H177" s="1"/>
      <x:c r="I177" s="1"/>
      <x:c r="J177" s="1"/>
      <x:c r="K177" s="1"/>
      <x:c r="L177" s="1"/>
      <x:c r="M177" s="1"/>
      <x:c r="N177" s="1"/>
      <x:c r="O177" s="1"/>
      <x:c r="P177" s="1"/>
      <x:c r="Q177" s="1"/>
      <x:c r="R177" s="1"/>
      <x:c r="S177" s="1"/>
      <x:c r="T177" s="1"/>
    </x:row>
    <x:row r="178" ht="18" customHeight="1">
      <x:c r="A178" s="1"/>
      <x:c r="B178" s="1"/>
      <x:c r="C178" s="1"/>
      <x:c r="D178" s="1"/>
      <x:c r="E178" s="1"/>
      <x:c r="F178" s="1"/>
      <x:c r="G178" s="1"/>
      <x:c r="H178" s="1"/>
      <x:c r="I178" s="1"/>
      <x:c r="J178" s="1"/>
      <x:c r="K178" s="1"/>
      <x:c r="L178" s="1"/>
      <x:c r="M178" s="1"/>
      <x:c r="N178" s="1"/>
      <x:c r="O178" s="1"/>
      <x:c r="P178" s="1"/>
      <x:c r="Q178" s="1"/>
      <x:c r="R178" s="1"/>
      <x:c r="S178" s="1"/>
      <x:c r="T178" s="1"/>
    </x:row>
    <x:row r="179" ht="18" customHeight="1">
      <x:c r="A179" s="1"/>
      <x:c r="B179" s="1"/>
      <x:c r="C179" s="1"/>
      <x:c r="D179" s="1"/>
      <x:c r="E179" s="1"/>
      <x:c r="F179" s="1"/>
      <x:c r="G179" s="1"/>
      <x:c r="H179" s="1"/>
      <x:c r="I179" s="1"/>
      <x:c r="J179" s="1"/>
      <x:c r="K179" s="1"/>
      <x:c r="L179" s="1"/>
      <x:c r="M179" s="1"/>
      <x:c r="N179" s="1"/>
      <x:c r="O179" s="1"/>
      <x:c r="P179" s="1"/>
      <x:c r="Q179" s="1"/>
      <x:c r="R179" s="1"/>
      <x:c r="S179" s="1"/>
      <x:c r="T179" s="1"/>
    </x:row>
    <x:row r="180" ht="18" customHeight="1">
      <x:c r="A180" s="1"/>
      <x:c r="B180" s="1"/>
      <x:c r="C180" s="1"/>
      <x:c r="D180" s="1"/>
      <x:c r="E180" s="1"/>
      <x:c r="F180" s="1"/>
      <x:c r="G180" s="1"/>
      <x:c r="H180" s="1"/>
      <x:c r="I180" s="1"/>
      <x:c r="J180" s="1"/>
      <x:c r="K180" s="1"/>
      <x:c r="L180" s="1"/>
      <x:c r="M180" s="1"/>
      <x:c r="N180" s="1"/>
      <x:c r="O180" s="1"/>
      <x:c r="P180" s="1"/>
      <x:c r="Q180" s="1"/>
      <x:c r="R180" s="1"/>
      <x:c r="S180" s="1"/>
      <x:c r="T180" s="1"/>
    </x:row>
    <x:row r="181" ht="18" customHeight="1">
      <x:c r="A181" s="1"/>
      <x:c r="B181" s="1"/>
      <x:c r="C181" s="1"/>
      <x:c r="D181" s="1"/>
      <x:c r="E181" s="1"/>
      <x:c r="F181" s="1"/>
      <x:c r="G181" s="1"/>
      <x:c r="H181" s="1"/>
      <x:c r="I181" s="1"/>
      <x:c r="J181" s="1"/>
      <x:c r="K181" s="1"/>
      <x:c r="L181" s="1"/>
      <x:c r="M181" s="1"/>
      <x:c r="N181" s="1"/>
      <x:c r="O181" s="1"/>
      <x:c r="P181" s="1"/>
      <x:c r="Q181" s="1"/>
      <x:c r="R181" s="1"/>
      <x:c r="S181" s="1"/>
      <x:c r="T181" s="1"/>
    </x:row>
    <x:row r="182" ht="18" customHeight="1">
      <x:c r="A182" s="1"/>
      <x:c r="B182" s="1"/>
      <x:c r="C182" s="1"/>
      <x:c r="D182" s="1"/>
      <x:c r="E182" s="1"/>
      <x:c r="F182" s="1"/>
      <x:c r="G182" s="1"/>
      <x:c r="H182" s="1"/>
      <x:c r="I182" s="1"/>
      <x:c r="J182" s="1"/>
      <x:c r="K182" s="1"/>
      <x:c r="L182" s="1"/>
      <x:c r="M182" s="1"/>
      <x:c r="N182" s="1"/>
      <x:c r="O182" s="1"/>
      <x:c r="P182" s="1"/>
      <x:c r="Q182" s="1"/>
      <x:c r="R182" s="1"/>
      <x:c r="S182" s="1"/>
      <x:c r="T182" s="1"/>
    </x:row>
    <x:row r="183" ht="18" customHeight="1">
      <x:c r="A183" s="1"/>
      <x:c r="B183" s="1"/>
      <x:c r="C183" s="1"/>
      <x:c r="D183" s="1"/>
      <x:c r="E183" s="1"/>
      <x:c r="F183" s="1"/>
      <x:c r="G183" s="1"/>
      <x:c r="H183" s="1"/>
      <x:c r="I183" s="1"/>
      <x:c r="J183" s="1"/>
      <x:c r="K183" s="1"/>
      <x:c r="L183" s="1"/>
      <x:c r="M183" s="1"/>
      <x:c r="N183" s="1"/>
      <x:c r="O183" s="1"/>
      <x:c r="P183" s="1"/>
      <x:c r="Q183" s="1"/>
      <x:c r="R183" s="1"/>
      <x:c r="S183" s="1"/>
      <x:c r="T183" s="1"/>
    </x:row>
    <x:row r="184" ht="18" customHeight="1">
      <x:c r="A184" s="1"/>
      <x:c r="B184" s="1"/>
      <x:c r="C184" s="1"/>
      <x:c r="D184" s="1"/>
      <x:c r="E184" s="1"/>
      <x:c r="F184" s="1"/>
      <x:c r="G184" s="1"/>
      <x:c r="H184" s="1"/>
      <x:c r="I184" s="1"/>
      <x:c r="J184" s="1"/>
      <x:c r="K184" s="1"/>
      <x:c r="L184" s="1"/>
      <x:c r="M184" s="1"/>
      <x:c r="N184" s="1"/>
      <x:c r="O184" s="1"/>
      <x:c r="P184" s="1"/>
      <x:c r="Q184" s="1"/>
      <x:c r="R184" s="1"/>
      <x:c r="S184" s="1"/>
      <x:c r="T184" s="1"/>
    </x:row>
    <x:row r="185" ht="18" customHeight="1">
      <x:c r="A185" s="1"/>
      <x:c r="B185" s="1"/>
      <x:c r="C185" s="1"/>
      <x:c r="D185" s="1"/>
      <x:c r="E185" s="1"/>
      <x:c r="F185" s="1"/>
      <x:c r="G185" s="1"/>
      <x:c r="H185" s="1"/>
      <x:c r="I185" s="1"/>
      <x:c r="J185" s="1"/>
      <x:c r="K185" s="1"/>
      <x:c r="L185" s="1"/>
      <x:c r="M185" s="1"/>
      <x:c r="N185" s="1"/>
      <x:c r="O185" s="1"/>
      <x:c r="P185" s="1"/>
      <x:c r="Q185" s="1"/>
      <x:c r="R185" s="1"/>
      <x:c r="S185" s="1"/>
      <x:c r="T185" s="1"/>
    </x:row>
    <x:row r="186" ht="18" customHeight="1">
      <x:c r="A186" s="1"/>
      <x:c r="B186" s="1"/>
      <x:c r="C186" s="1"/>
      <x:c r="D186" s="1"/>
      <x:c r="E186" s="1"/>
      <x:c r="F186" s="1"/>
      <x:c r="G186" s="1"/>
      <x:c r="H186" s="1"/>
      <x:c r="I186" s="1"/>
      <x:c r="J186" s="1"/>
      <x:c r="K186" s="1"/>
      <x:c r="L186" s="1"/>
      <x:c r="M186" s="1"/>
      <x:c r="N186" s="1"/>
      <x:c r="O186" s="1"/>
      <x:c r="P186" s="1"/>
      <x:c r="Q186" s="1"/>
      <x:c r="R186" s="1"/>
      <x:c r="S186" s="1"/>
      <x:c r="T186" s="1"/>
    </x:row>
    <x:row r="187" ht="18" customHeight="1">
      <x:c r="A187" s="1"/>
      <x:c r="B187" s="1"/>
      <x:c r="C187" s="1"/>
      <x:c r="D187" s="1"/>
      <x:c r="E187" s="1"/>
      <x:c r="F187" s="1"/>
      <x:c r="G187" s="1"/>
      <x:c r="H187" s="1"/>
      <x:c r="I187" s="1"/>
      <x:c r="J187" s="1"/>
      <x:c r="K187" s="1"/>
      <x:c r="L187" s="1"/>
      <x:c r="M187" s="1"/>
      <x:c r="N187" s="1"/>
      <x:c r="O187" s="1"/>
      <x:c r="P187" s="1"/>
      <x:c r="Q187" s="1"/>
      <x:c r="R187" s="1"/>
      <x:c r="S187" s="1"/>
      <x:c r="T187" s="1"/>
    </x:row>
    <x:row r="188" ht="18" customHeight="1">
      <x:c r="A188" s="1"/>
      <x:c r="B188" s="1"/>
      <x:c r="C188" s="1"/>
      <x:c r="D188" s="1"/>
      <x:c r="E188" s="1"/>
      <x:c r="F188" s="1"/>
      <x:c r="G188" s="1"/>
      <x:c r="H188" s="1"/>
      <x:c r="I188" s="1"/>
      <x:c r="J188" s="1"/>
      <x:c r="K188" s="1"/>
      <x:c r="L188" s="1"/>
      <x:c r="M188" s="1"/>
      <x:c r="N188" s="1"/>
      <x:c r="O188" s="1"/>
      <x:c r="P188" s="1"/>
      <x:c r="Q188" s="1"/>
      <x:c r="R188" s="1"/>
      <x:c r="S188" s="1"/>
      <x:c r="T188" s="1"/>
    </x:row>
    <x:row r="189" ht="18" customHeight="1">
      <x:c r="A189" s="1"/>
      <x:c r="B189" s="1"/>
      <x:c r="C189" s="1"/>
      <x:c r="D189" s="1"/>
      <x:c r="E189" s="1"/>
      <x:c r="F189" s="1"/>
      <x:c r="G189" s="1"/>
      <x:c r="H189" s="1"/>
      <x:c r="I189" s="1"/>
      <x:c r="J189" s="1"/>
      <x:c r="K189" s="1"/>
      <x:c r="L189" s="1"/>
      <x:c r="M189" s="1"/>
      <x:c r="N189" s="1"/>
      <x:c r="O189" s="1"/>
      <x:c r="P189" s="1"/>
      <x:c r="Q189" s="1"/>
      <x:c r="R189" s="1"/>
      <x:c r="S189" s="1"/>
      <x:c r="T189" s="1"/>
    </x:row>
    <x:row r="190" ht="18" customHeight="1">
      <x:c r="A190" s="1"/>
      <x:c r="B190" s="1"/>
      <x:c r="C190" s="1"/>
      <x:c r="D190" s="1"/>
      <x:c r="E190" s="1"/>
      <x:c r="F190" s="1"/>
      <x:c r="G190" s="1"/>
      <x:c r="H190" s="1"/>
      <x:c r="I190" s="1"/>
      <x:c r="J190" s="1"/>
      <x:c r="K190" s="1"/>
      <x:c r="L190" s="1"/>
      <x:c r="M190" s="1"/>
      <x:c r="N190" s="1"/>
      <x:c r="O190" s="1"/>
      <x:c r="P190" s="1"/>
      <x:c r="Q190" s="1"/>
      <x:c r="R190" s="1"/>
      <x:c r="S190" s="1"/>
      <x:c r="T190" s="1"/>
    </x:row>
    <x:row r="191" ht="18" customHeight="1">
      <x:c r="A191" s="1"/>
      <x:c r="B191" s="1"/>
      <x:c r="C191" s="1"/>
      <x:c r="D191" s="1"/>
      <x:c r="E191" s="1"/>
      <x:c r="F191" s="1"/>
      <x:c r="G191" s="1"/>
      <x:c r="H191" s="1"/>
      <x:c r="I191" s="1"/>
      <x:c r="J191" s="1"/>
      <x:c r="K191" s="1"/>
      <x:c r="L191" s="1"/>
      <x:c r="M191" s="1"/>
      <x:c r="N191" s="1"/>
      <x:c r="O191" s="1"/>
      <x:c r="P191" s="1"/>
      <x:c r="Q191" s="1"/>
      <x:c r="R191" s="1"/>
      <x:c r="S191" s="1"/>
      <x:c r="T191" s="1"/>
    </x:row>
    <x:row r="192" ht="18" customHeight="1">
      <x:c r="A192" s="1"/>
      <x:c r="B192" s="1"/>
      <x:c r="C192" s="1"/>
      <x:c r="D192" s="1"/>
      <x:c r="E192" s="1"/>
      <x:c r="F192" s="1"/>
      <x:c r="G192" s="1"/>
      <x:c r="H192" s="1"/>
      <x:c r="I192" s="1"/>
      <x:c r="J192" s="1"/>
      <x:c r="K192" s="1"/>
      <x:c r="L192" s="1"/>
      <x:c r="M192" s="1"/>
      <x:c r="N192" s="1"/>
      <x:c r="O192" s="1"/>
      <x:c r="P192" s="1"/>
      <x:c r="Q192" s="1"/>
      <x:c r="R192" s="1"/>
      <x:c r="S192" s="1"/>
      <x:c r="T192" s="1"/>
    </x:row>
    <x:row r="193" ht="18" customHeight="1">
      <x:c r="A193" s="1"/>
      <x:c r="B193" s="1"/>
      <x:c r="C193" s="1"/>
      <x:c r="D193" s="1"/>
      <x:c r="E193" s="1"/>
      <x:c r="F193" s="1"/>
      <x:c r="G193" s="1"/>
      <x:c r="H193" s="1"/>
      <x:c r="I193" s="1"/>
      <x:c r="J193" s="1"/>
      <x:c r="K193" s="1"/>
      <x:c r="L193" s="1"/>
      <x:c r="M193" s="1"/>
      <x:c r="N193" s="1"/>
      <x:c r="O193" s="1"/>
      <x:c r="P193" s="1"/>
      <x:c r="Q193" s="1"/>
      <x:c r="R193" s="1"/>
      <x:c r="S193" s="1"/>
      <x:c r="T193" s="1"/>
    </x:row>
    <x:row r="194" ht="18" customHeight="1">
      <x:c r="A194" s="1"/>
      <x:c r="B194" s="1"/>
      <x:c r="C194" s="1"/>
      <x:c r="D194" s="1"/>
      <x:c r="E194" s="1"/>
      <x:c r="F194" s="1"/>
      <x:c r="G194" s="1"/>
      <x:c r="H194" s="1"/>
      <x:c r="I194" s="1"/>
      <x:c r="J194" s="1"/>
      <x:c r="K194" s="1"/>
      <x:c r="L194" s="1"/>
      <x:c r="M194" s="1"/>
      <x:c r="N194" s="1"/>
      <x:c r="O194" s="1"/>
      <x:c r="P194" s="1"/>
      <x:c r="Q194" s="1"/>
      <x:c r="R194" s="1"/>
      <x:c r="S194" s="1"/>
      <x:c r="T194" s="1"/>
    </x:row>
    <x:row r="195" ht="18" customHeight="1">
      <x:c r="A195" s="1"/>
      <x:c r="B195" s="1"/>
      <x:c r="C195" s="1"/>
      <x:c r="D195" s="1"/>
      <x:c r="E195" s="1"/>
      <x:c r="F195" s="1"/>
      <x:c r="G195" s="1"/>
      <x:c r="H195" s="1"/>
      <x:c r="I195" s="1"/>
      <x:c r="J195" s="1"/>
      <x:c r="K195" s="1"/>
      <x:c r="L195" s="1"/>
      <x:c r="M195" s="1"/>
      <x:c r="N195" s="1"/>
      <x:c r="O195" s="1"/>
      <x:c r="P195" s="1"/>
      <x:c r="Q195" s="1"/>
      <x:c r="R195" s="1"/>
      <x:c r="S195" s="1"/>
      <x:c r="T195" s="1"/>
    </x:row>
    <x:row r="196" ht="18" customHeight="1">
      <x:c r="A196" s="1"/>
      <x:c r="B196" s="1"/>
      <x:c r="C196" s="1"/>
      <x:c r="D196" s="1"/>
      <x:c r="E196" s="1"/>
      <x:c r="F196" s="1"/>
      <x:c r="G196" s="1"/>
      <x:c r="H196" s="1"/>
      <x:c r="I196" s="1"/>
      <x:c r="J196" s="1"/>
      <x:c r="K196" s="1"/>
      <x:c r="L196" s="1"/>
      <x:c r="M196" s="1"/>
      <x:c r="N196" s="1"/>
      <x:c r="O196" s="1"/>
      <x:c r="P196" s="1"/>
      <x:c r="Q196" s="1"/>
      <x:c r="R196" s="1"/>
      <x:c r="S196" s="1"/>
      <x:c r="T196" s="1"/>
    </x:row>
    <x:row r="197" ht="18" customHeight="1">
      <x:c r="A197" s="1"/>
      <x:c r="B197" s="1"/>
      <x:c r="C197" s="1"/>
      <x:c r="D197" s="1"/>
      <x:c r="E197" s="1"/>
      <x:c r="F197" s="1"/>
      <x:c r="G197" s="1"/>
      <x:c r="H197" s="1"/>
      <x:c r="I197" s="1"/>
      <x:c r="J197" s="1"/>
      <x:c r="K197" s="1"/>
      <x:c r="L197" s="1"/>
      <x:c r="M197" s="1"/>
      <x:c r="N197" s="1"/>
      <x:c r="O197" s="1"/>
      <x:c r="P197" s="1"/>
      <x:c r="Q197" s="1"/>
      <x:c r="R197" s="1"/>
      <x:c r="S197" s="1"/>
      <x:c r="T197" s="1"/>
    </x:row>
    <x:row r="198" ht="18" customHeight="1">
      <x:c r="A198" s="1"/>
      <x:c r="B198" s="1"/>
      <x:c r="C198" s="1"/>
      <x:c r="D198" s="1"/>
      <x:c r="E198" s="1"/>
      <x:c r="F198" s="1"/>
      <x:c r="G198" s="1"/>
      <x:c r="H198" s="1"/>
      <x:c r="I198" s="1"/>
      <x:c r="J198" s="1"/>
      <x:c r="K198" s="1"/>
      <x:c r="L198" s="1"/>
      <x:c r="M198" s="1"/>
      <x:c r="N198" s="1"/>
      <x:c r="O198" s="1"/>
      <x:c r="P198" s="1"/>
      <x:c r="Q198" s="1"/>
      <x:c r="R198" s="1"/>
      <x:c r="S198" s="1"/>
      <x:c r="T198" s="1"/>
    </x:row>
    <x:row r="199" ht="18" customHeight="1">
      <x:c r="A199" s="1"/>
      <x:c r="B199" s="1"/>
      <x:c r="C199" s="1"/>
      <x:c r="D199" s="1"/>
      <x:c r="E199" s="1"/>
      <x:c r="F199" s="1"/>
      <x:c r="G199" s="1"/>
      <x:c r="H199" s="1"/>
      <x:c r="I199" s="1"/>
      <x:c r="J199" s="1"/>
      <x:c r="K199" s="1"/>
      <x:c r="L199" s="1"/>
      <x:c r="M199" s="1"/>
      <x:c r="N199" s="1"/>
      <x:c r="O199" s="1"/>
      <x:c r="P199" s="1"/>
      <x:c r="Q199" s="1"/>
      <x:c r="R199" s="1"/>
      <x:c r="S199" s="1"/>
      <x:c r="T199" s="1"/>
    </x:row>
    <x:row r="200" ht="18" customHeight="1">
      <x:c r="A200" s="1"/>
      <x:c r="B200" s="1"/>
      <x:c r="C200" s="1"/>
      <x:c r="D200" s="1"/>
      <x:c r="E200" s="1"/>
      <x:c r="F200" s="1"/>
      <x:c r="G200" s="1"/>
      <x:c r="H200" s="1"/>
      <x:c r="I200" s="1"/>
      <x:c r="J200" s="1"/>
      <x:c r="K200" s="1"/>
      <x:c r="L200" s="1"/>
      <x:c r="M200" s="1"/>
      <x:c r="N200" s="1"/>
      <x:c r="O200" s="1"/>
      <x:c r="P200" s="1"/>
      <x:c r="Q200" s="1"/>
      <x:c r="R200" s="1"/>
      <x:c r="S200" s="1"/>
      <x:c r="T200" s="1"/>
    </x:row>
    <x:row r="201" ht="18" customHeight="1">
      <x:c r="A201" s="1"/>
      <x:c r="B201" s="1"/>
      <x:c r="C201" s="1"/>
      <x:c r="D201" s="1"/>
      <x:c r="E201" s="1"/>
      <x:c r="F201" s="1"/>
      <x:c r="G201" s="1"/>
      <x:c r="H201" s="1"/>
      <x:c r="I201" s="1"/>
      <x:c r="J201" s="1"/>
      <x:c r="K201" s="1"/>
      <x:c r="L201" s="1"/>
      <x:c r="M201" s="1"/>
      <x:c r="N201" s="1"/>
      <x:c r="O201" s="1"/>
      <x:c r="P201" s="1"/>
      <x:c r="Q201" s="1"/>
      <x:c r="R201" s="1"/>
      <x:c r="S201" s="1"/>
      <x:c r="T201" s="1"/>
    </x:row>
    <x:row r="202" ht="18" customHeight="1">
      <x:c r="A202" s="1"/>
      <x:c r="B202" s="1"/>
      <x:c r="C202" s="1"/>
      <x:c r="D202" s="1"/>
      <x:c r="E202" s="1"/>
      <x:c r="F202" s="1"/>
      <x:c r="G202" s="1"/>
      <x:c r="H202" s="1"/>
      <x:c r="I202" s="1"/>
      <x:c r="J202" s="1"/>
      <x:c r="K202" s="1"/>
      <x:c r="L202" s="1"/>
      <x:c r="M202" s="1"/>
      <x:c r="N202" s="1"/>
      <x:c r="O202" s="1"/>
      <x:c r="P202" s="1"/>
      <x:c r="Q202" s="1"/>
      <x:c r="R202" s="1"/>
      <x:c r="S202" s="1"/>
      <x:c r="T202" s="1"/>
    </x:row>
    <x:row r="203" ht="18" customHeight="1">
      <x:c r="A203" s="1"/>
      <x:c r="B203" s="1"/>
      <x:c r="C203" s="1"/>
      <x:c r="D203" s="1"/>
      <x:c r="E203" s="1"/>
      <x:c r="F203" s="1"/>
      <x:c r="G203" s="1"/>
      <x:c r="H203" s="1"/>
      <x:c r="I203" s="1"/>
      <x:c r="J203" s="1"/>
      <x:c r="K203" s="1"/>
      <x:c r="L203" s="1"/>
      <x:c r="M203" s="1"/>
      <x:c r="N203" s="1"/>
      <x:c r="O203" s="1"/>
      <x:c r="P203" s="1"/>
      <x:c r="Q203" s="1"/>
      <x:c r="R203" s="1"/>
      <x:c r="S203" s="1"/>
      <x:c r="T203" s="1"/>
    </x:row>
    <x:row r="204" ht="18" customHeight="1">
      <x:c r="A204" s="1"/>
      <x:c r="B204" s="1"/>
      <x:c r="C204" s="1"/>
      <x:c r="D204" s="1"/>
      <x:c r="E204" s="1"/>
      <x:c r="F204" s="1"/>
      <x:c r="G204" s="1"/>
      <x:c r="H204" s="1"/>
      <x:c r="I204" s="1"/>
      <x:c r="J204" s="1"/>
      <x:c r="K204" s="1"/>
      <x:c r="L204" s="1"/>
      <x:c r="M204" s="1"/>
      <x:c r="N204" s="1"/>
      <x:c r="O204" s="1"/>
      <x:c r="P204" s="1"/>
      <x:c r="Q204" s="1"/>
      <x:c r="R204" s="1"/>
      <x:c r="S204" s="1"/>
      <x:c r="T204" s="1"/>
    </x:row>
    <x:row r="205" ht="18" customHeight="1">
      <x:c r="A205" s="1"/>
      <x:c r="B205" s="1"/>
      <x:c r="C205" s="1"/>
      <x:c r="D205" s="1"/>
      <x:c r="E205" s="1"/>
      <x:c r="F205" s="1"/>
      <x:c r="G205" s="1"/>
      <x:c r="H205" s="1"/>
      <x:c r="I205" s="1"/>
      <x:c r="J205" s="1"/>
      <x:c r="K205" s="1"/>
      <x:c r="L205" s="1"/>
      <x:c r="M205" s="1"/>
      <x:c r="N205" s="1"/>
      <x:c r="O205" s="1"/>
      <x:c r="P205" s="1"/>
      <x:c r="Q205" s="1"/>
      <x:c r="R205" s="1"/>
      <x:c r="S205" s="1"/>
      <x:c r="T205" s="1"/>
    </x:row>
    <x:row r="206" ht="18" customHeight="1">
      <x:c r="A206" s="1"/>
      <x:c r="B206" s="1"/>
      <x:c r="C206" s="1"/>
      <x:c r="D206" s="1"/>
      <x:c r="E206" s="1"/>
      <x:c r="F206" s="1"/>
      <x:c r="G206" s="1"/>
      <x:c r="H206" s="1"/>
      <x:c r="I206" s="1"/>
      <x:c r="J206" s="1"/>
      <x:c r="K206" s="1"/>
      <x:c r="L206" s="1"/>
      <x:c r="M206" s="1"/>
      <x:c r="N206" s="1"/>
      <x:c r="O206" s="1"/>
      <x:c r="P206" s="1"/>
      <x:c r="Q206" s="1"/>
      <x:c r="R206" s="1"/>
      <x:c r="S206" s="1"/>
      <x:c r="T206" s="1"/>
    </x:row>
    <x:row r="207" ht="18" customHeight="1">
      <x:c r="A207" s="1"/>
      <x:c r="B207" s="1"/>
      <x:c r="C207" s="1"/>
      <x:c r="D207" s="1"/>
      <x:c r="E207" s="1"/>
      <x:c r="F207" s="1"/>
      <x:c r="G207" s="1"/>
      <x:c r="H207" s="1"/>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sheetData>
  <x:mergeCells>
    <x:mergeCell ref="B3:H3"/>
    <x:mergeCell ref="B4:H4"/>
  </x:mergeCells>
  <x:dataValidations count="1">
    <x:dataValidation type="list" sqref="G8:G107">
      <x:formula1>"offen,entschuldigt,unentschuldigt,noch zu prüfen"</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6" hidden="0" customWidth="1"/>
    <x:col min="3" max="3" width="13" hidden="0" customWidth="1"/>
    <x:col min="4" max="4" width="15" hidden="0" customWidth="1"/>
    <x:col min="5" max="5" width="22" hidden="0" customWidth="1"/>
    <x:col min="6" max="6" width="43.0099983215332" hidden="0" customWidth="1"/>
    <x:col min="7" max="7" width="23" hidden="0" customWidth="1"/>
    <x:col min="8" max="8" width="35.0099983215332"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Gespräche</x:v>
      </x:c>
      <x:c r="C3" s="5"/>
      <x:c r="D3" s="5"/>
      <x:c r="E3" s="5"/>
      <x:c r="F3" s="5"/>
      <x:c r="G3" s="5"/>
      <x:c r="H3" s="5"/>
      <x:c r="I3" s="1"/>
      <x:c r="J3" s="1"/>
      <x:c r="K3" s="1"/>
      <x:c r="L3" s="1"/>
      <x:c r="M3" s="1"/>
      <x:c r="N3" s="1"/>
      <x:c r="O3" s="1"/>
      <x:c r="P3" s="1"/>
      <x:c r="Q3" s="1"/>
      <x:c r="R3" s="1"/>
      <x:c r="S3" s="1"/>
      <x:c r="T3" s="1"/>
    </x:row>
    <x:row r="4" ht="20.017499923706055" customHeight="1">
      <x:c r="A4" s="1"/>
      <x:c r="B4" s="8" t="str">
        <x:v>Reines Register und Ablageverweis · Folgeschritte ausschließlich in „Offene Vorgänge“</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14" t="str">
        <x:v>Nr.</x:v>
      </x:c>
      <x:c r="C7" s="14" t="str">
        <x:v>Datum</x:v>
      </x:c>
      <x:c r="D7" s="14" t="str">
        <x:v>Schüler/in / Bereich</x:v>
      </x:c>
      <x:c r="E7" s="14" t="str">
        <x:v>Form</x:v>
      </x:c>
      <x:c r="F7" s="14" t="str">
        <x:v>Beteiligte / Rollen</x:v>
      </x:c>
      <x:c r="G7" s="14" t="str">
        <x:v>Anlass</x:v>
      </x:c>
      <x:c r="H7" s="14" t="str">
        <x:v>Dokumentablage</x:v>
      </x:c>
      <x:c r="I7" s="1"/>
      <x:c r="J7" s="1"/>
      <x:c r="K7" s="1"/>
      <x:c r="L7" s="1"/>
      <x:c r="M7" s="1"/>
      <x:c r="N7" s="1"/>
      <x:c r="O7" s="1"/>
      <x:c r="P7" s="1"/>
      <x:c r="Q7" s="1"/>
      <x:c r="R7" s="1"/>
      <x:c r="S7" s="1"/>
      <x:c r="T7" s="1"/>
    </x:row>
    <x:row r="8" ht="18" customHeight="1">
      <x:c r="A8" s="1"/>
      <x:c r="B8" s="19" t="n">
        <x:v>1</x:v>
      </x:c>
      <x:c r="C8" s="56"/>
      <x:c r="D8" s="27"/>
      <x:c r="E8" s="27"/>
      <x:c r="F8" s="27"/>
      <x:c r="G8" s="27"/>
      <x:c r="H8" s="27"/>
      <x:c r="I8" s="1"/>
      <x:c r="J8" s="1"/>
      <x:c r="K8" s="1"/>
      <x:c r="L8" s="1"/>
      <x:c r="M8" s="1"/>
      <x:c r="N8" s="1"/>
      <x:c r="O8" s="1"/>
      <x:c r="P8" s="1"/>
      <x:c r="Q8" s="1"/>
      <x:c r="R8" s="1"/>
      <x:c r="S8" s="1"/>
      <x:c r="T8" s="1"/>
    </x:row>
    <x:row r="9" ht="18" customHeight="1">
      <x:c r="A9" s="1"/>
      <x:c r="B9" s="19" t="n">
        <x:v>2</x:v>
      </x:c>
      <x:c r="C9" s="56"/>
      <x:c r="D9" s="27"/>
      <x:c r="E9" s="27"/>
      <x:c r="F9" s="27"/>
      <x:c r="G9" s="27"/>
      <x:c r="H9" s="27"/>
      <x:c r="I9" s="1"/>
      <x:c r="J9" s="1"/>
      <x:c r="K9" s="1"/>
      <x:c r="L9" s="1"/>
      <x:c r="M9" s="1"/>
      <x:c r="N9" s="1"/>
      <x:c r="O9" s="1"/>
      <x:c r="P9" s="1"/>
      <x:c r="Q9" s="1"/>
      <x:c r="R9" s="1"/>
      <x:c r="S9" s="1"/>
      <x:c r="T9" s="1"/>
    </x:row>
    <x:row r="10" ht="18" customHeight="1">
      <x:c r="A10" s="1"/>
      <x:c r="B10" s="19" t="n">
        <x:v>3</x:v>
      </x:c>
      <x:c r="C10" s="56"/>
      <x:c r="D10" s="27"/>
      <x:c r="E10" s="27"/>
      <x:c r="F10" s="27"/>
      <x:c r="G10" s="27"/>
      <x:c r="H10" s="27"/>
      <x:c r="I10" s="1"/>
      <x:c r="J10" s="1"/>
      <x:c r="K10" s="1"/>
      <x:c r="L10" s="1"/>
      <x:c r="M10" s="1"/>
      <x:c r="N10" s="1"/>
      <x:c r="O10" s="1"/>
      <x:c r="P10" s="1"/>
      <x:c r="Q10" s="1"/>
      <x:c r="R10" s="1"/>
      <x:c r="S10" s="1"/>
      <x:c r="T10" s="1"/>
    </x:row>
    <x:row r="11" ht="18" customHeight="1">
      <x:c r="A11" s="1"/>
      <x:c r="B11" s="19" t="n">
        <x:v>4</x:v>
      </x:c>
      <x:c r="C11" s="56"/>
      <x:c r="D11" s="27"/>
      <x:c r="E11" s="27"/>
      <x:c r="F11" s="27"/>
      <x:c r="G11" s="27"/>
      <x:c r="H11" s="27"/>
      <x:c r="I11" s="1"/>
      <x:c r="J11" s="1"/>
      <x:c r="K11" s="1"/>
      <x:c r="L11" s="1"/>
      <x:c r="M11" s="1"/>
      <x:c r="N11" s="1"/>
      <x:c r="O11" s="1"/>
      <x:c r="P11" s="1"/>
      <x:c r="Q11" s="1"/>
      <x:c r="R11" s="1"/>
      <x:c r="S11" s="1"/>
      <x:c r="T11" s="1"/>
    </x:row>
    <x:row r="12" ht="18" customHeight="1">
      <x:c r="A12" s="1"/>
      <x:c r="B12" s="19" t="n">
        <x:v>5</x:v>
      </x:c>
      <x:c r="C12" s="56"/>
      <x:c r="D12" s="27"/>
      <x:c r="E12" s="27"/>
      <x:c r="F12" s="27"/>
      <x:c r="G12" s="27"/>
      <x:c r="H12" s="27"/>
      <x:c r="I12" s="1"/>
      <x:c r="J12" s="1"/>
      <x:c r="K12" s="1"/>
      <x:c r="L12" s="1"/>
      <x:c r="M12" s="1"/>
      <x:c r="N12" s="1"/>
      <x:c r="O12" s="1"/>
      <x:c r="P12" s="1"/>
      <x:c r="Q12" s="1"/>
      <x:c r="R12" s="1"/>
      <x:c r="S12" s="1"/>
      <x:c r="T12" s="1"/>
    </x:row>
    <x:row r="13" ht="18" customHeight="1">
      <x:c r="A13" s="1"/>
      <x:c r="B13" s="19" t="n">
        <x:v>6</x:v>
      </x:c>
      <x:c r="C13" s="56"/>
      <x:c r="D13" s="27"/>
      <x:c r="E13" s="27"/>
      <x:c r="F13" s="27"/>
      <x:c r="G13" s="27"/>
      <x:c r="H13" s="27"/>
      <x:c r="I13" s="1"/>
      <x:c r="J13" s="1"/>
      <x:c r="K13" s="1"/>
      <x:c r="L13" s="1"/>
      <x:c r="M13" s="1"/>
      <x:c r="N13" s="1"/>
      <x:c r="O13" s="1"/>
      <x:c r="P13" s="1"/>
      <x:c r="Q13" s="1"/>
      <x:c r="R13" s="1"/>
      <x:c r="S13" s="1"/>
      <x:c r="T13" s="1"/>
    </x:row>
    <x:row r="14" ht="18" customHeight="1">
      <x:c r="A14" s="1"/>
      <x:c r="B14" s="19" t="n">
        <x:v>7</x:v>
      </x:c>
      <x:c r="C14" s="56"/>
      <x:c r="D14" s="27"/>
      <x:c r="E14" s="27"/>
      <x:c r="F14" s="27"/>
      <x:c r="G14" s="27"/>
      <x:c r="H14" s="27"/>
      <x:c r="I14" s="1"/>
      <x:c r="J14" s="1"/>
      <x:c r="K14" s="1"/>
      <x:c r="L14" s="1"/>
      <x:c r="M14" s="1"/>
      <x:c r="N14" s="1"/>
      <x:c r="O14" s="1"/>
      <x:c r="P14" s="1"/>
      <x:c r="Q14" s="1"/>
      <x:c r="R14" s="1"/>
      <x:c r="S14" s="1"/>
      <x:c r="T14" s="1"/>
    </x:row>
    <x:row r="15" ht="18" customHeight="1">
      <x:c r="A15" s="1"/>
      <x:c r="B15" s="19" t="n">
        <x:v>8</x:v>
      </x:c>
      <x:c r="C15" s="56"/>
      <x:c r="D15" s="27"/>
      <x:c r="E15" s="27"/>
      <x:c r="F15" s="27"/>
      <x:c r="G15" s="27"/>
      <x:c r="H15" s="27"/>
      <x:c r="I15" s="1"/>
      <x:c r="J15" s="1"/>
      <x:c r="K15" s="1"/>
      <x:c r="L15" s="1"/>
      <x:c r="M15" s="1"/>
      <x:c r="N15" s="1"/>
      <x:c r="O15" s="1"/>
      <x:c r="P15" s="1"/>
      <x:c r="Q15" s="1"/>
      <x:c r="R15" s="1"/>
      <x:c r="S15" s="1"/>
      <x:c r="T15" s="1"/>
    </x:row>
    <x:row r="16" ht="18" customHeight="1">
      <x:c r="A16" s="1"/>
      <x:c r="B16" s="19" t="n">
        <x:v>9</x:v>
      </x:c>
      <x:c r="C16" s="56"/>
      <x:c r="D16" s="27"/>
      <x:c r="E16" s="27"/>
      <x:c r="F16" s="27"/>
      <x:c r="G16" s="27"/>
      <x:c r="H16" s="27"/>
      <x:c r="I16" s="1"/>
      <x:c r="J16" s="1"/>
      <x:c r="K16" s="1"/>
      <x:c r="L16" s="1"/>
      <x:c r="M16" s="1"/>
      <x:c r="N16" s="1"/>
      <x:c r="O16" s="1"/>
      <x:c r="P16" s="1"/>
      <x:c r="Q16" s="1"/>
      <x:c r="R16" s="1"/>
      <x:c r="S16" s="1"/>
      <x:c r="T16" s="1"/>
    </x:row>
    <x:row r="17" ht="18" customHeight="1">
      <x:c r="A17" s="1"/>
      <x:c r="B17" s="19" t="n">
        <x:v>10</x:v>
      </x:c>
      <x:c r="C17" s="56"/>
      <x:c r="D17" s="27"/>
      <x:c r="E17" s="27"/>
      <x:c r="F17" s="27"/>
      <x:c r="G17" s="27"/>
      <x:c r="H17" s="27"/>
      <x:c r="I17" s="1"/>
      <x:c r="J17" s="1"/>
      <x:c r="K17" s="1"/>
      <x:c r="L17" s="1"/>
      <x:c r="M17" s="1"/>
      <x:c r="N17" s="1"/>
      <x:c r="O17" s="1"/>
      <x:c r="P17" s="1"/>
      <x:c r="Q17" s="1"/>
      <x:c r="R17" s="1"/>
      <x:c r="S17" s="1"/>
      <x:c r="T17" s="1"/>
    </x:row>
    <x:row r="18" ht="18" customHeight="1">
      <x:c r="A18" s="1"/>
      <x:c r="B18" s="19" t="n">
        <x:v>11</x:v>
      </x:c>
      <x:c r="C18" s="56"/>
      <x:c r="D18" s="27"/>
      <x:c r="E18" s="27"/>
      <x:c r="F18" s="27"/>
      <x:c r="G18" s="27"/>
      <x:c r="H18" s="27"/>
      <x:c r="I18" s="1"/>
      <x:c r="J18" s="1"/>
      <x:c r="K18" s="1"/>
      <x:c r="L18" s="1"/>
      <x:c r="M18" s="1"/>
      <x:c r="N18" s="1"/>
      <x:c r="O18" s="1"/>
      <x:c r="P18" s="1"/>
      <x:c r="Q18" s="1"/>
      <x:c r="R18" s="1"/>
      <x:c r="S18" s="1"/>
      <x:c r="T18" s="1"/>
    </x:row>
    <x:row r="19" ht="18" customHeight="1">
      <x:c r="A19" s="1"/>
      <x:c r="B19" s="19" t="n">
        <x:v>12</x:v>
      </x:c>
      <x:c r="C19" s="56"/>
      <x:c r="D19" s="27"/>
      <x:c r="E19" s="27"/>
      <x:c r="F19" s="27"/>
      <x:c r="G19" s="27"/>
      <x:c r="H19" s="27"/>
      <x:c r="I19" s="1"/>
      <x:c r="J19" s="1"/>
      <x:c r="K19" s="1"/>
      <x:c r="L19" s="1"/>
      <x:c r="M19" s="1"/>
      <x:c r="N19" s="1"/>
      <x:c r="O19" s="1"/>
      <x:c r="P19" s="1"/>
      <x:c r="Q19" s="1"/>
      <x:c r="R19" s="1"/>
      <x:c r="S19" s="1"/>
      <x:c r="T19" s="1"/>
    </x:row>
    <x:row r="20" ht="18" customHeight="1">
      <x:c r="A20" s="1"/>
      <x:c r="B20" s="19" t="n">
        <x:v>13</x:v>
      </x:c>
      <x:c r="C20" s="56"/>
      <x:c r="D20" s="27"/>
      <x:c r="E20" s="27"/>
      <x:c r="F20" s="27"/>
      <x:c r="G20" s="27"/>
      <x:c r="H20" s="27"/>
      <x:c r="I20" s="1"/>
      <x:c r="J20" s="1"/>
      <x:c r="K20" s="1"/>
      <x:c r="L20" s="1"/>
      <x:c r="M20" s="1"/>
      <x:c r="N20" s="1"/>
      <x:c r="O20" s="1"/>
      <x:c r="P20" s="1"/>
      <x:c r="Q20" s="1"/>
      <x:c r="R20" s="1"/>
      <x:c r="S20" s="1"/>
      <x:c r="T20" s="1"/>
    </x:row>
    <x:row r="21" ht="18" customHeight="1">
      <x:c r="A21" s="1"/>
      <x:c r="B21" s="19" t="n">
        <x:v>14</x:v>
      </x:c>
      <x:c r="C21" s="56"/>
      <x:c r="D21" s="27"/>
      <x:c r="E21" s="27"/>
      <x:c r="F21" s="27"/>
      <x:c r="G21" s="27"/>
      <x:c r="H21" s="27"/>
      <x:c r="I21" s="1"/>
      <x:c r="J21" s="1"/>
      <x:c r="K21" s="1"/>
      <x:c r="L21" s="1"/>
      <x:c r="M21" s="1"/>
      <x:c r="N21" s="1"/>
      <x:c r="O21" s="1"/>
      <x:c r="P21" s="1"/>
      <x:c r="Q21" s="1"/>
      <x:c r="R21" s="1"/>
      <x:c r="S21" s="1"/>
      <x:c r="T21" s="1"/>
    </x:row>
    <x:row r="22" ht="18" customHeight="1">
      <x:c r="A22" s="1"/>
      <x:c r="B22" s="19" t="n">
        <x:v>15</x:v>
      </x:c>
      <x:c r="C22" s="56"/>
      <x:c r="D22" s="27"/>
      <x:c r="E22" s="27"/>
      <x:c r="F22" s="27"/>
      <x:c r="G22" s="27"/>
      <x:c r="H22" s="27"/>
      <x:c r="I22" s="1"/>
      <x:c r="J22" s="1"/>
      <x:c r="K22" s="1"/>
      <x:c r="L22" s="1"/>
      <x:c r="M22" s="1"/>
      <x:c r="N22" s="1"/>
      <x:c r="O22" s="1"/>
      <x:c r="P22" s="1"/>
      <x:c r="Q22" s="1"/>
      <x:c r="R22" s="1"/>
      <x:c r="S22" s="1"/>
      <x:c r="T22" s="1"/>
    </x:row>
    <x:row r="23" ht="18" customHeight="1">
      <x:c r="A23" s="1"/>
      <x:c r="B23" s="19" t="n">
        <x:v>16</x:v>
      </x:c>
      <x:c r="C23" s="56"/>
      <x:c r="D23" s="27"/>
      <x:c r="E23" s="27"/>
      <x:c r="F23" s="27"/>
      <x:c r="G23" s="27"/>
      <x:c r="H23" s="27"/>
      <x:c r="I23" s="1"/>
      <x:c r="J23" s="1"/>
      <x:c r="K23" s="1"/>
      <x:c r="L23" s="1"/>
      <x:c r="M23" s="1"/>
      <x:c r="N23" s="1"/>
      <x:c r="O23" s="1"/>
      <x:c r="P23" s="1"/>
      <x:c r="Q23" s="1"/>
      <x:c r="R23" s="1"/>
      <x:c r="S23" s="1"/>
      <x:c r="T23" s="1"/>
    </x:row>
    <x:row r="24" ht="18" customHeight="1">
      <x:c r="A24" s="1"/>
      <x:c r="B24" s="19" t="n">
        <x:v>17</x:v>
      </x:c>
      <x:c r="C24" s="56"/>
      <x:c r="D24" s="27"/>
      <x:c r="E24" s="27"/>
      <x:c r="F24" s="27"/>
      <x:c r="G24" s="27"/>
      <x:c r="H24" s="27"/>
      <x:c r="I24" s="1"/>
      <x:c r="J24" s="1"/>
      <x:c r="K24" s="1"/>
      <x:c r="L24" s="1"/>
      <x:c r="M24" s="1"/>
      <x:c r="N24" s="1"/>
      <x:c r="O24" s="1"/>
      <x:c r="P24" s="1"/>
      <x:c r="Q24" s="1"/>
      <x:c r="R24" s="1"/>
      <x:c r="S24" s="1"/>
      <x:c r="T24" s="1"/>
    </x:row>
    <x:row r="25" ht="18" customHeight="1">
      <x:c r="A25" s="1"/>
      <x:c r="B25" s="19" t="n">
        <x:v>18</x:v>
      </x:c>
      <x:c r="C25" s="56"/>
      <x:c r="D25" s="27"/>
      <x:c r="E25" s="27"/>
      <x:c r="F25" s="27"/>
      <x:c r="G25" s="27"/>
      <x:c r="H25" s="27"/>
      <x:c r="I25" s="1"/>
      <x:c r="J25" s="1"/>
      <x:c r="K25" s="1"/>
      <x:c r="L25" s="1"/>
      <x:c r="M25" s="1"/>
      <x:c r="N25" s="1"/>
      <x:c r="O25" s="1"/>
      <x:c r="P25" s="1"/>
      <x:c r="Q25" s="1"/>
      <x:c r="R25" s="1"/>
      <x:c r="S25" s="1"/>
      <x:c r="T25" s="1"/>
    </x:row>
    <x:row r="26" ht="18" customHeight="1">
      <x:c r="A26" s="1"/>
      <x:c r="B26" s="19" t="n">
        <x:v>19</x:v>
      </x:c>
      <x:c r="C26" s="56"/>
      <x:c r="D26" s="27"/>
      <x:c r="E26" s="27"/>
      <x:c r="F26" s="27"/>
      <x:c r="G26" s="27"/>
      <x:c r="H26" s="27"/>
      <x:c r="I26" s="1"/>
      <x:c r="J26" s="1"/>
      <x:c r="K26" s="1"/>
      <x:c r="L26" s="1"/>
      <x:c r="M26" s="1"/>
      <x:c r="N26" s="1"/>
      <x:c r="O26" s="1"/>
      <x:c r="P26" s="1"/>
      <x:c r="Q26" s="1"/>
      <x:c r="R26" s="1"/>
      <x:c r="S26" s="1"/>
      <x:c r="T26" s="1"/>
    </x:row>
    <x:row r="27" ht="18" customHeight="1">
      <x:c r="A27" s="1"/>
      <x:c r="B27" s="19" t="n">
        <x:v>20</x:v>
      </x:c>
      <x:c r="C27" s="56"/>
      <x:c r="D27" s="27"/>
      <x:c r="E27" s="27"/>
      <x:c r="F27" s="27"/>
      <x:c r="G27" s="27"/>
      <x:c r="H27" s="27"/>
      <x:c r="I27" s="1"/>
      <x:c r="J27" s="1"/>
      <x:c r="K27" s="1"/>
      <x:c r="L27" s="1"/>
      <x:c r="M27" s="1"/>
      <x:c r="N27" s="1"/>
      <x:c r="O27" s="1"/>
      <x:c r="P27" s="1"/>
      <x:c r="Q27" s="1"/>
      <x:c r="R27" s="1"/>
      <x:c r="S27" s="1"/>
      <x:c r="T27" s="1"/>
    </x:row>
    <x:row r="28" ht="18" customHeight="1">
      <x:c r="A28" s="1"/>
      <x:c r="B28" s="19" t="n">
        <x:v>21</x:v>
      </x:c>
      <x:c r="C28" s="56"/>
      <x:c r="D28" s="27"/>
      <x:c r="E28" s="27"/>
      <x:c r="F28" s="27"/>
      <x:c r="G28" s="27"/>
      <x:c r="H28" s="27"/>
      <x:c r="I28" s="1"/>
      <x:c r="J28" s="1"/>
      <x:c r="K28" s="1"/>
      <x:c r="L28" s="1"/>
      <x:c r="M28" s="1"/>
      <x:c r="N28" s="1"/>
      <x:c r="O28" s="1"/>
      <x:c r="P28" s="1"/>
      <x:c r="Q28" s="1"/>
      <x:c r="R28" s="1"/>
      <x:c r="S28" s="1"/>
      <x:c r="T28" s="1"/>
    </x:row>
    <x:row r="29" ht="18" customHeight="1">
      <x:c r="A29" s="1"/>
      <x:c r="B29" s="19" t="n">
        <x:v>22</x:v>
      </x:c>
      <x:c r="C29" s="56"/>
      <x:c r="D29" s="27"/>
      <x:c r="E29" s="27"/>
      <x:c r="F29" s="27"/>
      <x:c r="G29" s="27"/>
      <x:c r="H29" s="27"/>
      <x:c r="I29" s="1"/>
      <x:c r="J29" s="1"/>
      <x:c r="K29" s="1"/>
      <x:c r="L29" s="1"/>
      <x:c r="M29" s="1"/>
      <x:c r="N29" s="1"/>
      <x:c r="O29" s="1"/>
      <x:c r="P29" s="1"/>
      <x:c r="Q29" s="1"/>
      <x:c r="R29" s="1"/>
      <x:c r="S29" s="1"/>
      <x:c r="T29" s="1"/>
    </x:row>
    <x:row r="30" ht="18" customHeight="1">
      <x:c r="A30" s="1"/>
      <x:c r="B30" s="19" t="n">
        <x:v>23</x:v>
      </x:c>
      <x:c r="C30" s="56"/>
      <x:c r="D30" s="27"/>
      <x:c r="E30" s="27"/>
      <x:c r="F30" s="27"/>
      <x:c r="G30" s="27"/>
      <x:c r="H30" s="27"/>
      <x:c r="I30" s="1"/>
      <x:c r="J30" s="1"/>
      <x:c r="K30" s="1"/>
      <x:c r="L30" s="1"/>
      <x:c r="M30" s="1"/>
      <x:c r="N30" s="1"/>
      <x:c r="O30" s="1"/>
      <x:c r="P30" s="1"/>
      <x:c r="Q30" s="1"/>
      <x:c r="R30" s="1"/>
      <x:c r="S30" s="1"/>
      <x:c r="T30" s="1"/>
    </x:row>
    <x:row r="31" ht="18" customHeight="1">
      <x:c r="A31" s="1"/>
      <x:c r="B31" s="19" t="n">
        <x:v>24</x:v>
      </x:c>
      <x:c r="C31" s="56"/>
      <x:c r="D31" s="27"/>
      <x:c r="E31" s="27"/>
      <x:c r="F31" s="27"/>
      <x:c r="G31" s="27"/>
      <x:c r="H31" s="27"/>
      <x:c r="I31" s="1"/>
      <x:c r="J31" s="1"/>
      <x:c r="K31" s="1"/>
      <x:c r="L31" s="1"/>
      <x:c r="M31" s="1"/>
      <x:c r="N31" s="1"/>
      <x:c r="O31" s="1"/>
      <x:c r="P31" s="1"/>
      <x:c r="Q31" s="1"/>
      <x:c r="R31" s="1"/>
      <x:c r="S31" s="1"/>
      <x:c r="T31" s="1"/>
    </x:row>
    <x:row r="32" ht="18" customHeight="1">
      <x:c r="A32" s="1"/>
      <x:c r="B32" s="19" t="n">
        <x:v>25</x:v>
      </x:c>
      <x:c r="C32" s="56"/>
      <x:c r="D32" s="27"/>
      <x:c r="E32" s="27"/>
      <x:c r="F32" s="27"/>
      <x:c r="G32" s="27"/>
      <x:c r="H32" s="27"/>
      <x:c r="I32" s="1"/>
      <x:c r="J32" s="1"/>
      <x:c r="K32" s="1"/>
      <x:c r="L32" s="1"/>
      <x:c r="M32" s="1"/>
      <x:c r="N32" s="1"/>
      <x:c r="O32" s="1"/>
      <x:c r="P32" s="1"/>
      <x:c r="Q32" s="1"/>
      <x:c r="R32" s="1"/>
      <x:c r="S32" s="1"/>
      <x:c r="T32" s="1"/>
    </x:row>
    <x:row r="33" ht="18" customHeight="1">
      <x:c r="A33" s="1"/>
      <x:c r="B33" s="19" t="n">
        <x:v>26</x:v>
      </x:c>
      <x:c r="C33" s="56"/>
      <x:c r="D33" s="27"/>
      <x:c r="E33" s="27"/>
      <x:c r="F33" s="27"/>
      <x:c r="G33" s="27"/>
      <x:c r="H33" s="27"/>
      <x:c r="I33" s="1"/>
      <x:c r="J33" s="1"/>
      <x:c r="K33" s="1"/>
      <x:c r="L33" s="1"/>
      <x:c r="M33" s="1"/>
      <x:c r="N33" s="1"/>
      <x:c r="O33" s="1"/>
      <x:c r="P33" s="1"/>
      <x:c r="Q33" s="1"/>
      <x:c r="R33" s="1"/>
      <x:c r="S33" s="1"/>
      <x:c r="T33" s="1"/>
    </x:row>
    <x:row r="34" ht="18" customHeight="1">
      <x:c r="A34" s="1"/>
      <x:c r="B34" s="19" t="n">
        <x:v>27</x:v>
      </x:c>
      <x:c r="C34" s="56"/>
      <x:c r="D34" s="27"/>
      <x:c r="E34" s="27"/>
      <x:c r="F34" s="27"/>
      <x:c r="G34" s="27"/>
      <x:c r="H34" s="27"/>
      <x:c r="I34" s="1"/>
      <x:c r="J34" s="1"/>
      <x:c r="K34" s="1"/>
      <x:c r="L34" s="1"/>
      <x:c r="M34" s="1"/>
      <x:c r="N34" s="1"/>
      <x:c r="O34" s="1"/>
      <x:c r="P34" s="1"/>
      <x:c r="Q34" s="1"/>
      <x:c r="R34" s="1"/>
      <x:c r="S34" s="1"/>
      <x:c r="T34" s="1"/>
    </x:row>
    <x:row r="35" ht="18" customHeight="1">
      <x:c r="A35" s="1"/>
      <x:c r="B35" s="19" t="n">
        <x:v>28</x:v>
      </x:c>
      <x:c r="C35" s="56"/>
      <x:c r="D35" s="27"/>
      <x:c r="E35" s="27"/>
      <x:c r="F35" s="27"/>
      <x:c r="G35" s="27"/>
      <x:c r="H35" s="27"/>
      <x:c r="I35" s="1"/>
      <x:c r="J35" s="1"/>
      <x:c r="K35" s="1"/>
      <x:c r="L35" s="1"/>
      <x:c r="M35" s="1"/>
      <x:c r="N35" s="1"/>
      <x:c r="O35" s="1"/>
      <x:c r="P35" s="1"/>
      <x:c r="Q35" s="1"/>
      <x:c r="R35" s="1"/>
      <x:c r="S35" s="1"/>
      <x:c r="T35" s="1"/>
    </x:row>
    <x:row r="36" ht="18" customHeight="1">
      <x:c r="A36" s="1"/>
      <x:c r="B36" s="19" t="n">
        <x:v>29</x:v>
      </x:c>
      <x:c r="C36" s="56"/>
      <x:c r="D36" s="27"/>
      <x:c r="E36" s="27"/>
      <x:c r="F36" s="27"/>
      <x:c r="G36" s="27"/>
      <x:c r="H36" s="27"/>
      <x:c r="I36" s="1"/>
      <x:c r="J36" s="1"/>
      <x:c r="K36" s="1"/>
      <x:c r="L36" s="1"/>
      <x:c r="M36" s="1"/>
      <x:c r="N36" s="1"/>
      <x:c r="O36" s="1"/>
      <x:c r="P36" s="1"/>
      <x:c r="Q36" s="1"/>
      <x:c r="R36" s="1"/>
      <x:c r="S36" s="1"/>
      <x:c r="T36" s="1"/>
    </x:row>
    <x:row r="37" ht="18" customHeight="1">
      <x:c r="A37" s="1"/>
      <x:c r="B37" s="19" t="n">
        <x:v>30</x:v>
      </x:c>
      <x:c r="C37" s="56"/>
      <x:c r="D37" s="27"/>
      <x:c r="E37" s="27"/>
      <x:c r="F37" s="27"/>
      <x:c r="G37" s="27"/>
      <x:c r="H37" s="27"/>
      <x:c r="I37" s="1"/>
      <x:c r="J37" s="1"/>
      <x:c r="K37" s="1"/>
      <x:c r="L37" s="1"/>
      <x:c r="M37" s="1"/>
      <x:c r="N37" s="1"/>
      <x:c r="O37" s="1"/>
      <x:c r="P37" s="1"/>
      <x:c r="Q37" s="1"/>
      <x:c r="R37" s="1"/>
      <x:c r="S37" s="1"/>
      <x:c r="T37" s="1"/>
    </x:row>
    <x:row r="38" ht="18" customHeight="1">
      <x:c r="A38" s="1"/>
      <x:c r="B38" s="19" t="n">
        <x:v>31</x:v>
      </x:c>
      <x:c r="C38" s="56"/>
      <x:c r="D38" s="27"/>
      <x:c r="E38" s="27"/>
      <x:c r="F38" s="27"/>
      <x:c r="G38" s="27"/>
      <x:c r="H38" s="27"/>
      <x:c r="I38" s="1"/>
      <x:c r="J38" s="1"/>
      <x:c r="K38" s="1"/>
      <x:c r="L38" s="1"/>
      <x:c r="M38" s="1"/>
      <x:c r="N38" s="1"/>
      <x:c r="O38" s="1"/>
      <x:c r="P38" s="1"/>
      <x:c r="Q38" s="1"/>
      <x:c r="R38" s="1"/>
      <x:c r="S38" s="1"/>
      <x:c r="T38" s="1"/>
    </x:row>
    <x:row r="39" ht="18" customHeight="1">
      <x:c r="A39" s="1"/>
      <x:c r="B39" s="19" t="n">
        <x:v>32</x:v>
      </x:c>
      <x:c r="C39" s="56"/>
      <x:c r="D39" s="27"/>
      <x:c r="E39" s="27"/>
      <x:c r="F39" s="27"/>
      <x:c r="G39" s="27"/>
      <x:c r="H39" s="27"/>
      <x:c r="I39" s="1"/>
      <x:c r="J39" s="1"/>
      <x:c r="K39" s="1"/>
      <x:c r="L39" s="1"/>
      <x:c r="M39" s="1"/>
      <x:c r="N39" s="1"/>
      <x:c r="O39" s="1"/>
      <x:c r="P39" s="1"/>
      <x:c r="Q39" s="1"/>
      <x:c r="R39" s="1"/>
      <x:c r="S39" s="1"/>
      <x:c r="T39" s="1"/>
    </x:row>
    <x:row r="40" ht="18" customHeight="1">
      <x:c r="A40" s="1"/>
      <x:c r="B40" s="19" t="n">
        <x:v>33</x:v>
      </x:c>
      <x:c r="C40" s="56"/>
      <x:c r="D40" s="27"/>
      <x:c r="E40" s="27"/>
      <x:c r="F40" s="27"/>
      <x:c r="G40" s="27"/>
      <x:c r="H40" s="27"/>
      <x:c r="I40" s="1"/>
      <x:c r="J40" s="1"/>
      <x:c r="K40" s="1"/>
      <x:c r="L40" s="1"/>
      <x:c r="M40" s="1"/>
      <x:c r="N40" s="1"/>
      <x:c r="O40" s="1"/>
      <x:c r="P40" s="1"/>
      <x:c r="Q40" s="1"/>
      <x:c r="R40" s="1"/>
      <x:c r="S40" s="1"/>
      <x:c r="T40" s="1"/>
    </x:row>
    <x:row r="41" ht="18" customHeight="1">
      <x:c r="A41" s="1"/>
      <x:c r="B41" s="19" t="n">
        <x:v>34</x:v>
      </x:c>
      <x:c r="C41" s="56"/>
      <x:c r="D41" s="27"/>
      <x:c r="E41" s="27"/>
      <x:c r="F41" s="27"/>
      <x:c r="G41" s="27"/>
      <x:c r="H41" s="27"/>
      <x:c r="I41" s="1"/>
      <x:c r="J41" s="1"/>
      <x:c r="K41" s="1"/>
      <x:c r="L41" s="1"/>
      <x:c r="M41" s="1"/>
      <x:c r="N41" s="1"/>
      <x:c r="O41" s="1"/>
      <x:c r="P41" s="1"/>
      <x:c r="Q41" s="1"/>
      <x:c r="R41" s="1"/>
      <x:c r="S41" s="1"/>
      <x:c r="T41" s="1"/>
    </x:row>
    <x:row r="42" ht="18" customHeight="1">
      <x:c r="A42" s="1"/>
      <x:c r="B42" s="19" t="n">
        <x:v>35</x:v>
      </x:c>
      <x:c r="C42" s="56"/>
      <x:c r="D42" s="27"/>
      <x:c r="E42" s="27"/>
      <x:c r="F42" s="27"/>
      <x:c r="G42" s="27"/>
      <x:c r="H42" s="27"/>
      <x:c r="I42" s="1"/>
      <x:c r="J42" s="1"/>
      <x:c r="K42" s="1"/>
      <x:c r="L42" s="1"/>
      <x:c r="M42" s="1"/>
      <x:c r="N42" s="1"/>
      <x:c r="O42" s="1"/>
      <x:c r="P42" s="1"/>
      <x:c r="Q42" s="1"/>
      <x:c r="R42" s="1"/>
      <x:c r="S42" s="1"/>
      <x:c r="T42" s="1"/>
    </x:row>
    <x:row r="43" ht="18" customHeight="1">
      <x:c r="A43" s="1"/>
      <x:c r="B43" s="19" t="n">
        <x:v>36</x:v>
      </x:c>
      <x:c r="C43" s="56"/>
      <x:c r="D43" s="27"/>
      <x:c r="E43" s="27"/>
      <x:c r="F43" s="27"/>
      <x:c r="G43" s="27"/>
      <x:c r="H43" s="27"/>
      <x:c r="I43" s="1"/>
      <x:c r="J43" s="1"/>
      <x:c r="K43" s="1"/>
      <x:c r="L43" s="1"/>
      <x:c r="M43" s="1"/>
      <x:c r="N43" s="1"/>
      <x:c r="O43" s="1"/>
      <x:c r="P43" s="1"/>
      <x:c r="Q43" s="1"/>
      <x:c r="R43" s="1"/>
      <x:c r="S43" s="1"/>
      <x:c r="T43" s="1"/>
    </x:row>
    <x:row r="44" ht="18" customHeight="1">
      <x:c r="A44" s="1"/>
      <x:c r="B44" s="19" t="n">
        <x:v>37</x:v>
      </x:c>
      <x:c r="C44" s="56"/>
      <x:c r="D44" s="27"/>
      <x:c r="E44" s="27"/>
      <x:c r="F44" s="27"/>
      <x:c r="G44" s="27"/>
      <x:c r="H44" s="27"/>
      <x:c r="I44" s="1"/>
      <x:c r="J44" s="1"/>
      <x:c r="K44" s="1"/>
      <x:c r="L44" s="1"/>
      <x:c r="M44" s="1"/>
      <x:c r="N44" s="1"/>
      <x:c r="O44" s="1"/>
      <x:c r="P44" s="1"/>
      <x:c r="Q44" s="1"/>
      <x:c r="R44" s="1"/>
      <x:c r="S44" s="1"/>
      <x:c r="T44" s="1"/>
    </x:row>
    <x:row r="45" ht="18" customHeight="1">
      <x:c r="A45" s="1"/>
      <x:c r="B45" s="19" t="n">
        <x:v>38</x:v>
      </x:c>
      <x:c r="C45" s="56"/>
      <x:c r="D45" s="27"/>
      <x:c r="E45" s="27"/>
      <x:c r="F45" s="27"/>
      <x:c r="G45" s="27"/>
      <x:c r="H45" s="27"/>
      <x:c r="I45" s="1"/>
      <x:c r="J45" s="1"/>
      <x:c r="K45" s="1"/>
      <x:c r="L45" s="1"/>
      <x:c r="M45" s="1"/>
      <x:c r="N45" s="1"/>
      <x:c r="O45" s="1"/>
      <x:c r="P45" s="1"/>
      <x:c r="Q45" s="1"/>
      <x:c r="R45" s="1"/>
      <x:c r="S45" s="1"/>
      <x:c r="T45" s="1"/>
    </x:row>
    <x:row r="46" ht="18" customHeight="1">
      <x:c r="A46" s="1"/>
      <x:c r="B46" s="19" t="n">
        <x:v>39</x:v>
      </x:c>
      <x:c r="C46" s="56"/>
      <x:c r="D46" s="27"/>
      <x:c r="E46" s="27"/>
      <x:c r="F46" s="27"/>
      <x:c r="G46" s="27"/>
      <x:c r="H46" s="27"/>
      <x:c r="I46" s="1"/>
      <x:c r="J46" s="1"/>
      <x:c r="K46" s="1"/>
      <x:c r="L46" s="1"/>
      <x:c r="M46" s="1"/>
      <x:c r="N46" s="1"/>
      <x:c r="O46" s="1"/>
      <x:c r="P46" s="1"/>
      <x:c r="Q46" s="1"/>
      <x:c r="R46" s="1"/>
      <x:c r="S46" s="1"/>
      <x:c r="T46" s="1"/>
    </x:row>
    <x:row r="47" ht="18" customHeight="1">
      <x:c r="A47" s="1"/>
      <x:c r="B47" s="19" t="n">
        <x:v>40</x:v>
      </x:c>
      <x:c r="C47" s="56"/>
      <x:c r="D47" s="27"/>
      <x:c r="E47" s="27"/>
      <x:c r="F47" s="27"/>
      <x:c r="G47" s="27"/>
      <x:c r="H47" s="27"/>
      <x:c r="I47" s="1"/>
      <x:c r="J47" s="1"/>
      <x:c r="K47" s="1"/>
      <x:c r="L47" s="1"/>
      <x:c r="M47" s="1"/>
      <x:c r="N47" s="1"/>
      <x:c r="O47" s="1"/>
      <x:c r="P47" s="1"/>
      <x:c r="Q47" s="1"/>
      <x:c r="R47" s="1"/>
      <x:c r="S47" s="1"/>
      <x:c r="T47" s="1"/>
    </x:row>
    <x:row r="48" ht="18" customHeight="1">
      <x:c r="A48" s="1"/>
      <x:c r="B48" s="19" t="n">
        <x:v>41</x:v>
      </x:c>
      <x:c r="C48" s="56"/>
      <x:c r="D48" s="27"/>
      <x:c r="E48" s="27"/>
      <x:c r="F48" s="27"/>
      <x:c r="G48" s="27"/>
      <x:c r="H48" s="27"/>
      <x:c r="I48" s="1"/>
      <x:c r="J48" s="1"/>
      <x:c r="K48" s="1"/>
      <x:c r="L48" s="1"/>
      <x:c r="M48" s="1"/>
      <x:c r="N48" s="1"/>
      <x:c r="O48" s="1"/>
      <x:c r="P48" s="1"/>
      <x:c r="Q48" s="1"/>
      <x:c r="R48" s="1"/>
      <x:c r="S48" s="1"/>
      <x:c r="T48" s="1"/>
    </x:row>
    <x:row r="49" ht="18" customHeight="1">
      <x:c r="A49" s="1"/>
      <x:c r="B49" s="19" t="n">
        <x:v>42</x:v>
      </x:c>
      <x:c r="C49" s="56"/>
      <x:c r="D49" s="27"/>
      <x:c r="E49" s="27"/>
      <x:c r="F49" s="27"/>
      <x:c r="G49" s="27"/>
      <x:c r="H49" s="27"/>
      <x:c r="I49" s="1"/>
      <x:c r="J49" s="1"/>
      <x:c r="K49" s="1"/>
      <x:c r="L49" s="1"/>
      <x:c r="M49" s="1"/>
      <x:c r="N49" s="1"/>
      <x:c r="O49" s="1"/>
      <x:c r="P49" s="1"/>
      <x:c r="Q49" s="1"/>
      <x:c r="R49" s="1"/>
      <x:c r="S49" s="1"/>
      <x:c r="T49" s="1"/>
    </x:row>
    <x:row r="50" ht="18" customHeight="1">
      <x:c r="A50" s="1"/>
      <x:c r="B50" s="19" t="n">
        <x:v>43</x:v>
      </x:c>
      <x:c r="C50" s="56"/>
      <x:c r="D50" s="27"/>
      <x:c r="E50" s="27"/>
      <x:c r="F50" s="27"/>
      <x:c r="G50" s="27"/>
      <x:c r="H50" s="27"/>
      <x:c r="I50" s="1"/>
      <x:c r="J50" s="1"/>
      <x:c r="K50" s="1"/>
      <x:c r="L50" s="1"/>
      <x:c r="M50" s="1"/>
      <x:c r="N50" s="1"/>
      <x:c r="O50" s="1"/>
      <x:c r="P50" s="1"/>
      <x:c r="Q50" s="1"/>
      <x:c r="R50" s="1"/>
      <x:c r="S50" s="1"/>
      <x:c r="T50" s="1"/>
    </x:row>
    <x:row r="51" ht="18" customHeight="1">
      <x:c r="A51" s="1"/>
      <x:c r="B51" s="19" t="n">
        <x:v>44</x:v>
      </x:c>
      <x:c r="C51" s="56"/>
      <x:c r="D51" s="27"/>
      <x:c r="E51" s="27"/>
      <x:c r="F51" s="27"/>
      <x:c r="G51" s="27"/>
      <x:c r="H51" s="27"/>
      <x:c r="I51" s="1"/>
      <x:c r="J51" s="1"/>
      <x:c r="K51" s="1"/>
      <x:c r="L51" s="1"/>
      <x:c r="M51" s="1"/>
      <x:c r="N51" s="1"/>
      <x:c r="O51" s="1"/>
      <x:c r="P51" s="1"/>
      <x:c r="Q51" s="1"/>
      <x:c r="R51" s="1"/>
      <x:c r="S51" s="1"/>
      <x:c r="T51" s="1"/>
    </x:row>
    <x:row r="52" ht="18" customHeight="1">
      <x:c r="A52" s="1"/>
      <x:c r="B52" s="19" t="n">
        <x:v>45</x:v>
      </x:c>
      <x:c r="C52" s="56"/>
      <x:c r="D52" s="27"/>
      <x:c r="E52" s="27"/>
      <x:c r="F52" s="27"/>
      <x:c r="G52" s="27"/>
      <x:c r="H52" s="27"/>
      <x:c r="I52" s="1"/>
      <x:c r="J52" s="1"/>
      <x:c r="K52" s="1"/>
      <x:c r="L52" s="1"/>
      <x:c r="M52" s="1"/>
      <x:c r="N52" s="1"/>
      <x:c r="O52" s="1"/>
      <x:c r="P52" s="1"/>
      <x:c r="Q52" s="1"/>
      <x:c r="R52" s="1"/>
      <x:c r="S52" s="1"/>
      <x:c r="T52" s="1"/>
    </x:row>
    <x:row r="53" ht="18" customHeight="1">
      <x:c r="A53" s="1"/>
      <x:c r="B53" s="19" t="n">
        <x:v>46</x:v>
      </x:c>
      <x:c r="C53" s="56"/>
      <x:c r="D53" s="27"/>
      <x:c r="E53" s="27"/>
      <x:c r="F53" s="27"/>
      <x:c r="G53" s="27"/>
      <x:c r="H53" s="27"/>
      <x:c r="I53" s="1"/>
      <x:c r="J53" s="1"/>
      <x:c r="K53" s="1"/>
      <x:c r="L53" s="1"/>
      <x:c r="M53" s="1"/>
      <x:c r="N53" s="1"/>
      <x:c r="O53" s="1"/>
      <x:c r="P53" s="1"/>
      <x:c r="Q53" s="1"/>
      <x:c r="R53" s="1"/>
      <x:c r="S53" s="1"/>
      <x:c r="T53" s="1"/>
    </x:row>
    <x:row r="54" ht="18" customHeight="1">
      <x:c r="A54" s="1"/>
      <x:c r="B54" s="19" t="n">
        <x:v>47</x:v>
      </x:c>
      <x:c r="C54" s="56"/>
      <x:c r="D54" s="27"/>
      <x:c r="E54" s="27"/>
      <x:c r="F54" s="27"/>
      <x:c r="G54" s="27"/>
      <x:c r="H54" s="27"/>
      <x:c r="I54" s="1"/>
      <x:c r="J54" s="1"/>
      <x:c r="K54" s="1"/>
      <x:c r="L54" s="1"/>
      <x:c r="M54" s="1"/>
      <x:c r="N54" s="1"/>
      <x:c r="O54" s="1"/>
      <x:c r="P54" s="1"/>
      <x:c r="Q54" s="1"/>
      <x:c r="R54" s="1"/>
      <x:c r="S54" s="1"/>
      <x:c r="T54" s="1"/>
    </x:row>
    <x:row r="55" ht="18" customHeight="1">
      <x:c r="A55" s="1"/>
      <x:c r="B55" s="19" t="n">
        <x:v>48</x:v>
      </x:c>
      <x:c r="C55" s="56"/>
      <x:c r="D55" s="27"/>
      <x:c r="E55" s="27"/>
      <x:c r="F55" s="27"/>
      <x:c r="G55" s="27"/>
      <x:c r="H55" s="27"/>
      <x:c r="I55" s="1"/>
      <x:c r="J55" s="1"/>
      <x:c r="K55" s="1"/>
      <x:c r="L55" s="1"/>
      <x:c r="M55" s="1"/>
      <x:c r="N55" s="1"/>
      <x:c r="O55" s="1"/>
      <x:c r="P55" s="1"/>
      <x:c r="Q55" s="1"/>
      <x:c r="R55" s="1"/>
      <x:c r="S55" s="1"/>
      <x:c r="T55" s="1"/>
    </x:row>
    <x:row r="56" ht="18" customHeight="1">
      <x:c r="A56" s="1"/>
      <x:c r="B56" s="19" t="n">
        <x:v>49</x:v>
      </x:c>
      <x:c r="C56" s="56"/>
      <x:c r="D56" s="27"/>
      <x:c r="E56" s="27"/>
      <x:c r="F56" s="27"/>
      <x:c r="G56" s="27"/>
      <x:c r="H56" s="27"/>
      <x:c r="I56" s="1"/>
      <x:c r="J56" s="1"/>
      <x:c r="K56" s="1"/>
      <x:c r="L56" s="1"/>
      <x:c r="M56" s="1"/>
      <x:c r="N56" s="1"/>
      <x:c r="O56" s="1"/>
      <x:c r="P56" s="1"/>
      <x:c r="Q56" s="1"/>
      <x:c r="R56" s="1"/>
      <x:c r="S56" s="1"/>
      <x:c r="T56" s="1"/>
    </x:row>
    <x:row r="57" ht="18" customHeight="1">
      <x:c r="A57" s="1"/>
      <x:c r="B57" s="19" t="n">
        <x:v>50</x:v>
      </x:c>
      <x:c r="C57" s="56"/>
      <x:c r="D57" s="27"/>
      <x:c r="E57" s="27"/>
      <x:c r="F57" s="27"/>
      <x:c r="G57" s="27"/>
      <x:c r="H57" s="27"/>
      <x:c r="I57" s="1"/>
      <x:c r="J57" s="1"/>
      <x:c r="K57" s="1"/>
      <x:c r="L57" s="1"/>
      <x:c r="M57" s="1"/>
      <x:c r="N57" s="1"/>
      <x:c r="O57" s="1"/>
      <x:c r="P57" s="1"/>
      <x:c r="Q57" s="1"/>
      <x:c r="R57" s="1"/>
      <x:c r="S57" s="1"/>
      <x:c r="T57" s="1"/>
    </x:row>
    <x:row r="58" ht="18" customHeight="1">
      <x:c r="A58" s="1"/>
      <x:c r="B58" s="19" t="n">
        <x:v>51</x:v>
      </x:c>
      <x:c r="C58" s="56"/>
      <x:c r="D58" s="27"/>
      <x:c r="E58" s="27"/>
      <x:c r="F58" s="27"/>
      <x:c r="G58" s="27"/>
      <x:c r="H58" s="27"/>
      <x:c r="I58" s="1"/>
      <x:c r="J58" s="1"/>
      <x:c r="K58" s="1"/>
      <x:c r="L58" s="1"/>
      <x:c r="M58" s="1"/>
      <x:c r="N58" s="1"/>
      <x:c r="O58" s="1"/>
      <x:c r="P58" s="1"/>
      <x:c r="Q58" s="1"/>
      <x:c r="R58" s="1"/>
      <x:c r="S58" s="1"/>
      <x:c r="T58" s="1"/>
    </x:row>
    <x:row r="59" ht="18" customHeight="1">
      <x:c r="A59" s="1"/>
      <x:c r="B59" s="19" t="n">
        <x:v>52</x:v>
      </x:c>
      <x:c r="C59" s="56"/>
      <x:c r="D59" s="27"/>
      <x:c r="E59" s="27"/>
      <x:c r="F59" s="27"/>
      <x:c r="G59" s="27"/>
      <x:c r="H59" s="27"/>
      <x:c r="I59" s="1"/>
      <x:c r="J59" s="1"/>
      <x:c r="K59" s="1"/>
      <x:c r="L59" s="1"/>
      <x:c r="M59" s="1"/>
      <x:c r="N59" s="1"/>
      <x:c r="O59" s="1"/>
      <x:c r="P59" s="1"/>
      <x:c r="Q59" s="1"/>
      <x:c r="R59" s="1"/>
      <x:c r="S59" s="1"/>
      <x:c r="T59" s="1"/>
    </x:row>
    <x:row r="60" ht="18" customHeight="1">
      <x:c r="A60" s="1"/>
      <x:c r="B60" s="19" t="n">
        <x:v>53</x:v>
      </x:c>
      <x:c r="C60" s="56"/>
      <x:c r="D60" s="27"/>
      <x:c r="E60" s="27"/>
      <x:c r="F60" s="27"/>
      <x:c r="G60" s="27"/>
      <x:c r="H60" s="27"/>
      <x:c r="I60" s="1"/>
      <x:c r="J60" s="1"/>
      <x:c r="K60" s="1"/>
      <x:c r="L60" s="1"/>
      <x:c r="M60" s="1"/>
      <x:c r="N60" s="1"/>
      <x:c r="O60" s="1"/>
      <x:c r="P60" s="1"/>
      <x:c r="Q60" s="1"/>
      <x:c r="R60" s="1"/>
      <x:c r="S60" s="1"/>
      <x:c r="T60" s="1"/>
    </x:row>
    <x:row r="61" ht="18" customHeight="1">
      <x:c r="A61" s="1"/>
      <x:c r="B61" s="19" t="n">
        <x:v>54</x:v>
      </x:c>
      <x:c r="C61" s="56"/>
      <x:c r="D61" s="27"/>
      <x:c r="E61" s="27"/>
      <x:c r="F61" s="27"/>
      <x:c r="G61" s="27"/>
      <x:c r="H61" s="27"/>
      <x:c r="I61" s="1"/>
      <x:c r="J61" s="1"/>
      <x:c r="K61" s="1"/>
      <x:c r="L61" s="1"/>
      <x:c r="M61" s="1"/>
      <x:c r="N61" s="1"/>
      <x:c r="O61" s="1"/>
      <x:c r="P61" s="1"/>
      <x:c r="Q61" s="1"/>
      <x:c r="R61" s="1"/>
      <x:c r="S61" s="1"/>
      <x:c r="T61" s="1"/>
    </x:row>
    <x:row r="62" ht="18" customHeight="1">
      <x:c r="A62" s="1"/>
      <x:c r="B62" s="19" t="n">
        <x:v>55</x:v>
      </x:c>
      <x:c r="C62" s="56"/>
      <x:c r="D62" s="27"/>
      <x:c r="E62" s="27"/>
      <x:c r="F62" s="27"/>
      <x:c r="G62" s="27"/>
      <x:c r="H62" s="27"/>
      <x:c r="I62" s="1"/>
      <x:c r="J62" s="1"/>
      <x:c r="K62" s="1"/>
      <x:c r="L62" s="1"/>
      <x:c r="M62" s="1"/>
      <x:c r="N62" s="1"/>
      <x:c r="O62" s="1"/>
      <x:c r="P62" s="1"/>
      <x:c r="Q62" s="1"/>
      <x:c r="R62" s="1"/>
      <x:c r="S62" s="1"/>
      <x:c r="T62" s="1"/>
    </x:row>
    <x:row r="63" ht="18" customHeight="1">
      <x:c r="A63" s="1"/>
      <x:c r="B63" s="19" t="n">
        <x:v>56</x:v>
      </x:c>
      <x:c r="C63" s="56"/>
      <x:c r="D63" s="27"/>
      <x:c r="E63" s="27"/>
      <x:c r="F63" s="27"/>
      <x:c r="G63" s="27"/>
      <x:c r="H63" s="27"/>
      <x:c r="I63" s="1"/>
      <x:c r="J63" s="1"/>
      <x:c r="K63" s="1"/>
      <x:c r="L63" s="1"/>
      <x:c r="M63" s="1"/>
      <x:c r="N63" s="1"/>
      <x:c r="O63" s="1"/>
      <x:c r="P63" s="1"/>
      <x:c r="Q63" s="1"/>
      <x:c r="R63" s="1"/>
      <x:c r="S63" s="1"/>
      <x:c r="T63" s="1"/>
    </x:row>
    <x:row r="64" ht="18" customHeight="1">
      <x:c r="A64" s="1"/>
      <x:c r="B64" s="19" t="n">
        <x:v>57</x:v>
      </x:c>
      <x:c r="C64" s="56"/>
      <x:c r="D64" s="27"/>
      <x:c r="E64" s="27"/>
      <x:c r="F64" s="27"/>
      <x:c r="G64" s="27"/>
      <x:c r="H64" s="27"/>
      <x:c r="I64" s="1"/>
      <x:c r="J64" s="1"/>
      <x:c r="K64" s="1"/>
      <x:c r="L64" s="1"/>
      <x:c r="M64" s="1"/>
      <x:c r="N64" s="1"/>
      <x:c r="O64" s="1"/>
      <x:c r="P64" s="1"/>
      <x:c r="Q64" s="1"/>
      <x:c r="R64" s="1"/>
      <x:c r="S64" s="1"/>
      <x:c r="T64" s="1"/>
    </x:row>
    <x:row r="65" ht="18" customHeight="1">
      <x:c r="A65" s="1"/>
      <x:c r="B65" s="19" t="n">
        <x:v>58</x:v>
      </x:c>
      <x:c r="C65" s="56"/>
      <x:c r="D65" s="27"/>
      <x:c r="E65" s="27"/>
      <x:c r="F65" s="27"/>
      <x:c r="G65" s="27"/>
      <x:c r="H65" s="27"/>
      <x:c r="I65" s="1"/>
      <x:c r="J65" s="1"/>
      <x:c r="K65" s="1"/>
      <x:c r="L65" s="1"/>
      <x:c r="M65" s="1"/>
      <x:c r="N65" s="1"/>
      <x:c r="O65" s="1"/>
      <x:c r="P65" s="1"/>
      <x:c r="Q65" s="1"/>
      <x:c r="R65" s="1"/>
      <x:c r="S65" s="1"/>
      <x:c r="T65" s="1"/>
    </x:row>
    <x:row r="66" ht="18" customHeight="1">
      <x:c r="A66" s="1"/>
      <x:c r="B66" s="19" t="n">
        <x:v>59</x:v>
      </x:c>
      <x:c r="C66" s="56"/>
      <x:c r="D66" s="27"/>
      <x:c r="E66" s="27"/>
      <x:c r="F66" s="27"/>
      <x:c r="G66" s="27"/>
      <x:c r="H66" s="27"/>
      <x:c r="I66" s="1"/>
      <x:c r="J66" s="1"/>
      <x:c r="K66" s="1"/>
      <x:c r="L66" s="1"/>
      <x:c r="M66" s="1"/>
      <x:c r="N66" s="1"/>
      <x:c r="O66" s="1"/>
      <x:c r="P66" s="1"/>
      <x:c r="Q66" s="1"/>
      <x:c r="R66" s="1"/>
      <x:c r="S66" s="1"/>
      <x:c r="T66" s="1"/>
    </x:row>
    <x:row r="67" ht="18" customHeight="1">
      <x:c r="A67" s="1"/>
      <x:c r="B67" s="19" t="n">
        <x:v>60</x:v>
      </x:c>
      <x:c r="C67" s="56"/>
      <x:c r="D67" s="27"/>
      <x:c r="E67" s="27"/>
      <x:c r="F67" s="27"/>
      <x:c r="G67" s="27"/>
      <x:c r="H67" s="27"/>
      <x:c r="I67" s="1"/>
      <x:c r="J67" s="1"/>
      <x:c r="K67" s="1"/>
      <x:c r="L67" s="1"/>
      <x:c r="M67" s="1"/>
      <x:c r="N67" s="1"/>
      <x:c r="O67" s="1"/>
      <x:c r="P67" s="1"/>
      <x:c r="Q67" s="1"/>
      <x:c r="R67" s="1"/>
      <x:c r="S67" s="1"/>
      <x:c r="T67" s="1"/>
    </x:row>
    <x:row r="68" ht="18" customHeight="1">
      <x:c r="A68" s="1"/>
      <x:c r="B68" s="19" t="n">
        <x:v>61</x:v>
      </x:c>
      <x:c r="C68" s="56"/>
      <x:c r="D68" s="27"/>
      <x:c r="E68" s="27"/>
      <x:c r="F68" s="27"/>
      <x:c r="G68" s="27"/>
      <x:c r="H68" s="27"/>
      <x:c r="I68" s="1"/>
      <x:c r="J68" s="1"/>
      <x:c r="K68" s="1"/>
      <x:c r="L68" s="1"/>
      <x:c r="M68" s="1"/>
      <x:c r="N68" s="1"/>
      <x:c r="O68" s="1"/>
      <x:c r="P68" s="1"/>
      <x:c r="Q68" s="1"/>
      <x:c r="R68" s="1"/>
      <x:c r="S68" s="1"/>
      <x:c r="T68" s="1"/>
    </x:row>
    <x:row r="69" ht="18" customHeight="1">
      <x:c r="A69" s="1"/>
      <x:c r="B69" s="19" t="n">
        <x:v>62</x:v>
      </x:c>
      <x:c r="C69" s="56"/>
      <x:c r="D69" s="27"/>
      <x:c r="E69" s="27"/>
      <x:c r="F69" s="27"/>
      <x:c r="G69" s="27"/>
      <x:c r="H69" s="27"/>
      <x:c r="I69" s="1"/>
      <x:c r="J69" s="1"/>
      <x:c r="K69" s="1"/>
      <x:c r="L69" s="1"/>
      <x:c r="M69" s="1"/>
      <x:c r="N69" s="1"/>
      <x:c r="O69" s="1"/>
      <x:c r="P69" s="1"/>
      <x:c r="Q69" s="1"/>
      <x:c r="R69" s="1"/>
      <x:c r="S69" s="1"/>
      <x:c r="T69" s="1"/>
    </x:row>
    <x:row r="70" ht="18" customHeight="1">
      <x:c r="A70" s="1"/>
      <x:c r="B70" s="19" t="n">
        <x:v>63</x:v>
      </x:c>
      <x:c r="C70" s="56"/>
      <x:c r="D70" s="27"/>
      <x:c r="E70" s="27"/>
      <x:c r="F70" s="27"/>
      <x:c r="G70" s="27"/>
      <x:c r="H70" s="27"/>
      <x:c r="I70" s="1"/>
      <x:c r="J70" s="1"/>
      <x:c r="K70" s="1"/>
      <x:c r="L70" s="1"/>
      <x:c r="M70" s="1"/>
      <x:c r="N70" s="1"/>
      <x:c r="O70" s="1"/>
      <x:c r="P70" s="1"/>
      <x:c r="Q70" s="1"/>
      <x:c r="R70" s="1"/>
      <x:c r="S70" s="1"/>
      <x:c r="T70" s="1"/>
    </x:row>
    <x:row r="71" ht="18" customHeight="1">
      <x:c r="A71" s="1"/>
      <x:c r="B71" s="19" t="n">
        <x:v>64</x:v>
      </x:c>
      <x:c r="C71" s="56"/>
      <x:c r="D71" s="27"/>
      <x:c r="E71" s="27"/>
      <x:c r="F71" s="27"/>
      <x:c r="G71" s="27"/>
      <x:c r="H71" s="27"/>
      <x:c r="I71" s="1"/>
      <x:c r="J71" s="1"/>
      <x:c r="K71" s="1"/>
      <x:c r="L71" s="1"/>
      <x:c r="M71" s="1"/>
      <x:c r="N71" s="1"/>
      <x:c r="O71" s="1"/>
      <x:c r="P71" s="1"/>
      <x:c r="Q71" s="1"/>
      <x:c r="R71" s="1"/>
      <x:c r="S71" s="1"/>
      <x:c r="T71" s="1"/>
    </x:row>
    <x:row r="72" ht="18" customHeight="1">
      <x:c r="A72" s="1"/>
      <x:c r="B72" s="19" t="n">
        <x:v>65</x:v>
      </x:c>
      <x:c r="C72" s="56"/>
      <x:c r="D72" s="27"/>
      <x:c r="E72" s="27"/>
      <x:c r="F72" s="27"/>
      <x:c r="G72" s="27"/>
      <x:c r="H72" s="27"/>
      <x:c r="I72" s="1"/>
      <x:c r="J72" s="1"/>
      <x:c r="K72" s="1"/>
      <x:c r="L72" s="1"/>
      <x:c r="M72" s="1"/>
      <x:c r="N72" s="1"/>
      <x:c r="O72" s="1"/>
      <x:c r="P72" s="1"/>
      <x:c r="Q72" s="1"/>
      <x:c r="R72" s="1"/>
      <x:c r="S72" s="1"/>
      <x:c r="T72" s="1"/>
    </x:row>
    <x:row r="73" ht="18" customHeight="1">
      <x:c r="A73" s="1"/>
      <x:c r="B73" s="19" t="n">
        <x:v>66</x:v>
      </x:c>
      <x:c r="C73" s="56"/>
      <x:c r="D73" s="27"/>
      <x:c r="E73" s="27"/>
      <x:c r="F73" s="27"/>
      <x:c r="G73" s="27"/>
      <x:c r="H73" s="27"/>
      <x:c r="I73" s="1"/>
      <x:c r="J73" s="1"/>
      <x:c r="K73" s="1"/>
      <x:c r="L73" s="1"/>
      <x:c r="M73" s="1"/>
      <x:c r="N73" s="1"/>
      <x:c r="O73" s="1"/>
      <x:c r="P73" s="1"/>
      <x:c r="Q73" s="1"/>
      <x:c r="R73" s="1"/>
      <x:c r="S73" s="1"/>
      <x:c r="T73" s="1"/>
    </x:row>
    <x:row r="74" ht="18" customHeight="1">
      <x:c r="A74" s="1"/>
      <x:c r="B74" s="19" t="n">
        <x:v>67</x:v>
      </x:c>
      <x:c r="C74" s="56"/>
      <x:c r="D74" s="27"/>
      <x:c r="E74" s="27"/>
      <x:c r="F74" s="27"/>
      <x:c r="G74" s="27"/>
      <x:c r="H74" s="27"/>
      <x:c r="I74" s="1"/>
      <x:c r="J74" s="1"/>
      <x:c r="K74" s="1"/>
      <x:c r="L74" s="1"/>
      <x:c r="M74" s="1"/>
      <x:c r="N74" s="1"/>
      <x:c r="O74" s="1"/>
      <x:c r="P74" s="1"/>
      <x:c r="Q74" s="1"/>
      <x:c r="R74" s="1"/>
      <x:c r="S74" s="1"/>
      <x:c r="T74" s="1"/>
    </x:row>
    <x:row r="75" ht="18" customHeight="1">
      <x:c r="A75" s="1"/>
      <x:c r="B75" s="19" t="n">
        <x:v>68</x:v>
      </x:c>
      <x:c r="C75" s="56"/>
      <x:c r="D75" s="27"/>
      <x:c r="E75" s="27"/>
      <x:c r="F75" s="27"/>
      <x:c r="G75" s="27"/>
      <x:c r="H75" s="27"/>
      <x:c r="I75" s="1"/>
      <x:c r="J75" s="1"/>
      <x:c r="K75" s="1"/>
      <x:c r="L75" s="1"/>
      <x:c r="M75" s="1"/>
      <x:c r="N75" s="1"/>
      <x:c r="O75" s="1"/>
      <x:c r="P75" s="1"/>
      <x:c r="Q75" s="1"/>
      <x:c r="R75" s="1"/>
      <x:c r="S75" s="1"/>
      <x:c r="T75" s="1"/>
    </x:row>
    <x:row r="76" ht="18" customHeight="1">
      <x:c r="A76" s="1"/>
      <x:c r="B76" s="19" t="n">
        <x:v>69</x:v>
      </x:c>
      <x:c r="C76" s="56"/>
      <x:c r="D76" s="27"/>
      <x:c r="E76" s="27"/>
      <x:c r="F76" s="27"/>
      <x:c r="G76" s="27"/>
      <x:c r="H76" s="27"/>
      <x:c r="I76" s="1"/>
      <x:c r="J76" s="1"/>
      <x:c r="K76" s="1"/>
      <x:c r="L76" s="1"/>
      <x:c r="M76" s="1"/>
      <x:c r="N76" s="1"/>
      <x:c r="O76" s="1"/>
      <x:c r="P76" s="1"/>
      <x:c r="Q76" s="1"/>
      <x:c r="R76" s="1"/>
      <x:c r="S76" s="1"/>
      <x:c r="T76" s="1"/>
    </x:row>
    <x:row r="77" ht="18" customHeight="1">
      <x:c r="A77" s="1"/>
      <x:c r="B77" s="19" t="n">
        <x:v>70</x:v>
      </x:c>
      <x:c r="C77" s="56"/>
      <x:c r="D77" s="27"/>
      <x:c r="E77" s="27"/>
      <x:c r="F77" s="27"/>
      <x:c r="G77" s="27"/>
      <x:c r="H77" s="27"/>
      <x:c r="I77" s="1"/>
      <x:c r="J77" s="1"/>
      <x:c r="K77" s="1"/>
      <x:c r="L77" s="1"/>
      <x:c r="M77" s="1"/>
      <x:c r="N77" s="1"/>
      <x:c r="O77" s="1"/>
      <x:c r="P77" s="1"/>
      <x:c r="Q77" s="1"/>
      <x:c r="R77" s="1"/>
      <x:c r="S77" s="1"/>
      <x:c r="T77" s="1"/>
    </x:row>
    <x:row r="78" ht="18" customHeight="1">
      <x:c r="A78" s="1"/>
      <x:c r="B78" s="19" t="n">
        <x:v>71</x:v>
      </x:c>
      <x:c r="C78" s="56"/>
      <x:c r="D78" s="27"/>
      <x:c r="E78" s="27"/>
      <x:c r="F78" s="27"/>
      <x:c r="G78" s="27"/>
      <x:c r="H78" s="27"/>
      <x:c r="I78" s="1"/>
      <x:c r="J78" s="1"/>
      <x:c r="K78" s="1"/>
      <x:c r="L78" s="1"/>
      <x:c r="M78" s="1"/>
      <x:c r="N78" s="1"/>
      <x:c r="O78" s="1"/>
      <x:c r="P78" s="1"/>
      <x:c r="Q78" s="1"/>
      <x:c r="R78" s="1"/>
      <x:c r="S78" s="1"/>
      <x:c r="T78" s="1"/>
    </x:row>
    <x:row r="79" ht="18" customHeight="1">
      <x:c r="A79" s="1"/>
      <x:c r="B79" s="19" t="n">
        <x:v>72</x:v>
      </x:c>
      <x:c r="C79" s="56"/>
      <x:c r="D79" s="27"/>
      <x:c r="E79" s="27"/>
      <x:c r="F79" s="27"/>
      <x:c r="G79" s="27"/>
      <x:c r="H79" s="27"/>
      <x:c r="I79" s="1"/>
      <x:c r="J79" s="1"/>
      <x:c r="K79" s="1"/>
      <x:c r="L79" s="1"/>
      <x:c r="M79" s="1"/>
      <x:c r="N79" s="1"/>
      <x:c r="O79" s="1"/>
      <x:c r="P79" s="1"/>
      <x:c r="Q79" s="1"/>
      <x:c r="R79" s="1"/>
      <x:c r="S79" s="1"/>
      <x:c r="T79" s="1"/>
    </x:row>
    <x:row r="80" ht="18" customHeight="1">
      <x:c r="A80" s="1"/>
      <x:c r="B80" s="19" t="n">
        <x:v>73</x:v>
      </x:c>
      <x:c r="C80" s="56"/>
      <x:c r="D80" s="27"/>
      <x:c r="E80" s="27"/>
      <x:c r="F80" s="27"/>
      <x:c r="G80" s="27"/>
      <x:c r="H80" s="27"/>
      <x:c r="I80" s="1"/>
      <x:c r="J80" s="1"/>
      <x:c r="K80" s="1"/>
      <x:c r="L80" s="1"/>
      <x:c r="M80" s="1"/>
      <x:c r="N80" s="1"/>
      <x:c r="O80" s="1"/>
      <x:c r="P80" s="1"/>
      <x:c r="Q80" s="1"/>
      <x:c r="R80" s="1"/>
      <x:c r="S80" s="1"/>
      <x:c r="T80" s="1"/>
    </x:row>
    <x:row r="81" ht="18" customHeight="1">
      <x:c r="A81" s="1"/>
      <x:c r="B81" s="19" t="n">
        <x:v>74</x:v>
      </x:c>
      <x:c r="C81" s="56"/>
      <x:c r="D81" s="27"/>
      <x:c r="E81" s="27"/>
      <x:c r="F81" s="27"/>
      <x:c r="G81" s="27"/>
      <x:c r="H81" s="27"/>
      <x:c r="I81" s="1"/>
      <x:c r="J81" s="1"/>
      <x:c r="K81" s="1"/>
      <x:c r="L81" s="1"/>
      <x:c r="M81" s="1"/>
      <x:c r="N81" s="1"/>
      <x:c r="O81" s="1"/>
      <x:c r="P81" s="1"/>
      <x:c r="Q81" s="1"/>
      <x:c r="R81" s="1"/>
      <x:c r="S81" s="1"/>
      <x:c r="T81" s="1"/>
    </x:row>
    <x:row r="82" ht="18" customHeight="1">
      <x:c r="A82" s="1"/>
      <x:c r="B82" s="19" t="n">
        <x:v>75</x:v>
      </x:c>
      <x:c r="C82" s="56"/>
      <x:c r="D82" s="27"/>
      <x:c r="E82" s="27"/>
      <x:c r="F82" s="27"/>
      <x:c r="G82" s="27"/>
      <x:c r="H82" s="27"/>
      <x:c r="I82" s="1"/>
      <x:c r="J82" s="1"/>
      <x:c r="K82" s="1"/>
      <x:c r="L82" s="1"/>
      <x:c r="M82" s="1"/>
      <x:c r="N82" s="1"/>
      <x:c r="O82" s="1"/>
      <x:c r="P82" s="1"/>
      <x:c r="Q82" s="1"/>
      <x:c r="R82" s="1"/>
      <x:c r="S82" s="1"/>
      <x:c r="T82" s="1"/>
    </x:row>
    <x:row r="83" ht="18" customHeight="1">
      <x:c r="A83" s="1"/>
      <x:c r="B83" s="19" t="n">
        <x:v>76</x:v>
      </x:c>
      <x:c r="C83" s="56"/>
      <x:c r="D83" s="27"/>
      <x:c r="E83" s="27"/>
      <x:c r="F83" s="27"/>
      <x:c r="G83" s="27"/>
      <x:c r="H83" s="27"/>
      <x:c r="I83" s="1"/>
      <x:c r="J83" s="1"/>
      <x:c r="K83" s="1"/>
      <x:c r="L83" s="1"/>
      <x:c r="M83" s="1"/>
      <x:c r="N83" s="1"/>
      <x:c r="O83" s="1"/>
      <x:c r="P83" s="1"/>
      <x:c r="Q83" s="1"/>
      <x:c r="R83" s="1"/>
      <x:c r="S83" s="1"/>
      <x:c r="T83" s="1"/>
    </x:row>
    <x:row r="84" ht="18" customHeight="1">
      <x:c r="A84" s="1"/>
      <x:c r="B84" s="19" t="n">
        <x:v>77</x:v>
      </x:c>
      <x:c r="C84" s="56"/>
      <x:c r="D84" s="27"/>
      <x:c r="E84" s="27"/>
      <x:c r="F84" s="27"/>
      <x:c r="G84" s="27"/>
      <x:c r="H84" s="27"/>
      <x:c r="I84" s="1"/>
      <x:c r="J84" s="1"/>
      <x:c r="K84" s="1"/>
      <x:c r="L84" s="1"/>
      <x:c r="M84" s="1"/>
      <x:c r="N84" s="1"/>
      <x:c r="O84" s="1"/>
      <x:c r="P84" s="1"/>
      <x:c r="Q84" s="1"/>
      <x:c r="R84" s="1"/>
      <x:c r="S84" s="1"/>
      <x:c r="T84" s="1"/>
    </x:row>
    <x:row r="85" ht="18" customHeight="1">
      <x:c r="A85" s="1"/>
      <x:c r="B85" s="19" t="n">
        <x:v>78</x:v>
      </x:c>
      <x:c r="C85" s="56"/>
      <x:c r="D85" s="27"/>
      <x:c r="E85" s="27"/>
      <x:c r="F85" s="27"/>
      <x:c r="G85" s="27"/>
      <x:c r="H85" s="27"/>
      <x:c r="I85" s="1"/>
      <x:c r="J85" s="1"/>
      <x:c r="K85" s="1"/>
      <x:c r="L85" s="1"/>
      <x:c r="M85" s="1"/>
      <x:c r="N85" s="1"/>
      <x:c r="O85" s="1"/>
      <x:c r="P85" s="1"/>
      <x:c r="Q85" s="1"/>
      <x:c r="R85" s="1"/>
      <x:c r="S85" s="1"/>
      <x:c r="T85" s="1"/>
    </x:row>
    <x:row r="86" ht="18" customHeight="1">
      <x:c r="A86" s="1"/>
      <x:c r="B86" s="19" t="n">
        <x:v>79</x:v>
      </x:c>
      <x:c r="C86" s="56"/>
      <x:c r="D86" s="27"/>
      <x:c r="E86" s="27"/>
      <x:c r="F86" s="27"/>
      <x:c r="G86" s="27"/>
      <x:c r="H86" s="27"/>
      <x:c r="I86" s="1"/>
      <x:c r="J86" s="1"/>
      <x:c r="K86" s="1"/>
      <x:c r="L86" s="1"/>
      <x:c r="M86" s="1"/>
      <x:c r="N86" s="1"/>
      <x:c r="O86" s="1"/>
      <x:c r="P86" s="1"/>
      <x:c r="Q86" s="1"/>
      <x:c r="R86" s="1"/>
      <x:c r="S86" s="1"/>
      <x:c r="T86" s="1"/>
    </x:row>
    <x:row r="87" ht="18" customHeight="1">
      <x:c r="A87" s="1"/>
      <x:c r="B87" s="19" t="n">
        <x:v>80</x:v>
      </x:c>
      <x:c r="C87" s="56"/>
      <x:c r="D87" s="27"/>
      <x:c r="E87" s="27"/>
      <x:c r="F87" s="27"/>
      <x:c r="G87" s="27"/>
      <x:c r="H87" s="27"/>
      <x:c r="I87" s="1"/>
      <x:c r="J87" s="1"/>
      <x:c r="K87" s="1"/>
      <x:c r="L87" s="1"/>
      <x:c r="M87" s="1"/>
      <x:c r="N87" s="1"/>
      <x:c r="O87" s="1"/>
      <x:c r="P87" s="1"/>
      <x:c r="Q87" s="1"/>
      <x:c r="R87" s="1"/>
      <x:c r="S87" s="1"/>
      <x:c r="T87" s="1"/>
    </x:row>
    <x:row r="88" ht="18" customHeight="1">
      <x:c r="A88" s="1"/>
      <x:c r="B88" s="19" t="n">
        <x:v>81</x:v>
      </x:c>
      <x:c r="C88" s="56"/>
      <x:c r="D88" s="27"/>
      <x:c r="E88" s="27"/>
      <x:c r="F88" s="27"/>
      <x:c r="G88" s="27"/>
      <x:c r="H88" s="27"/>
      <x:c r="I88" s="1"/>
      <x:c r="J88" s="1"/>
      <x:c r="K88" s="1"/>
      <x:c r="L88" s="1"/>
      <x:c r="M88" s="1"/>
      <x:c r="N88" s="1"/>
      <x:c r="O88" s="1"/>
      <x:c r="P88" s="1"/>
      <x:c r="Q88" s="1"/>
      <x:c r="R88" s="1"/>
      <x:c r="S88" s="1"/>
      <x:c r="T88" s="1"/>
    </x:row>
    <x:row r="89" ht="18" customHeight="1">
      <x:c r="A89" s="1"/>
      <x:c r="B89" s="19" t="n">
        <x:v>82</x:v>
      </x:c>
      <x:c r="C89" s="56"/>
      <x:c r="D89" s="27"/>
      <x:c r="E89" s="27"/>
      <x:c r="F89" s="27"/>
      <x:c r="G89" s="27"/>
      <x:c r="H89" s="27"/>
      <x:c r="I89" s="1"/>
      <x:c r="J89" s="1"/>
      <x:c r="K89" s="1"/>
      <x:c r="L89" s="1"/>
      <x:c r="M89" s="1"/>
      <x:c r="N89" s="1"/>
      <x:c r="O89" s="1"/>
      <x:c r="P89" s="1"/>
      <x:c r="Q89" s="1"/>
      <x:c r="R89" s="1"/>
      <x:c r="S89" s="1"/>
      <x:c r="T89" s="1"/>
    </x:row>
    <x:row r="90" ht="18" customHeight="1">
      <x:c r="A90" s="1"/>
      <x:c r="B90" s="19" t="n">
        <x:v>83</x:v>
      </x:c>
      <x:c r="C90" s="56"/>
      <x:c r="D90" s="27"/>
      <x:c r="E90" s="27"/>
      <x:c r="F90" s="27"/>
      <x:c r="G90" s="27"/>
      <x:c r="H90" s="27"/>
      <x:c r="I90" s="1"/>
      <x:c r="J90" s="1"/>
      <x:c r="K90" s="1"/>
      <x:c r="L90" s="1"/>
      <x:c r="M90" s="1"/>
      <x:c r="N90" s="1"/>
      <x:c r="O90" s="1"/>
      <x:c r="P90" s="1"/>
      <x:c r="Q90" s="1"/>
      <x:c r="R90" s="1"/>
      <x:c r="S90" s="1"/>
      <x:c r="T90" s="1"/>
    </x:row>
    <x:row r="91" ht="18" customHeight="1">
      <x:c r="A91" s="1"/>
      <x:c r="B91" s="19" t="n">
        <x:v>84</x:v>
      </x:c>
      <x:c r="C91" s="56"/>
      <x:c r="D91" s="27"/>
      <x:c r="E91" s="27"/>
      <x:c r="F91" s="27"/>
      <x:c r="G91" s="27"/>
      <x:c r="H91" s="27"/>
      <x:c r="I91" s="1"/>
      <x:c r="J91" s="1"/>
      <x:c r="K91" s="1"/>
      <x:c r="L91" s="1"/>
      <x:c r="M91" s="1"/>
      <x:c r="N91" s="1"/>
      <x:c r="O91" s="1"/>
      <x:c r="P91" s="1"/>
      <x:c r="Q91" s="1"/>
      <x:c r="R91" s="1"/>
      <x:c r="S91" s="1"/>
      <x:c r="T91" s="1"/>
    </x:row>
    <x:row r="92" ht="18" customHeight="1">
      <x:c r="A92" s="1"/>
      <x:c r="B92" s="19" t="n">
        <x:v>85</x:v>
      </x:c>
      <x:c r="C92" s="56"/>
      <x:c r="D92" s="27"/>
      <x:c r="E92" s="27"/>
      <x:c r="F92" s="27"/>
      <x:c r="G92" s="27"/>
      <x:c r="H92" s="27"/>
      <x:c r="I92" s="1"/>
      <x:c r="J92" s="1"/>
      <x:c r="K92" s="1"/>
      <x:c r="L92" s="1"/>
      <x:c r="M92" s="1"/>
      <x:c r="N92" s="1"/>
      <x:c r="O92" s="1"/>
      <x:c r="P92" s="1"/>
      <x:c r="Q92" s="1"/>
      <x:c r="R92" s="1"/>
      <x:c r="S92" s="1"/>
      <x:c r="T92" s="1"/>
    </x:row>
    <x:row r="93" ht="18" customHeight="1">
      <x:c r="A93" s="1"/>
      <x:c r="B93" s="19" t="n">
        <x:v>86</x:v>
      </x:c>
      <x:c r="C93" s="56"/>
      <x:c r="D93" s="27"/>
      <x:c r="E93" s="27"/>
      <x:c r="F93" s="27"/>
      <x:c r="G93" s="27"/>
      <x:c r="H93" s="27"/>
      <x:c r="I93" s="1"/>
      <x:c r="J93" s="1"/>
      <x:c r="K93" s="1"/>
      <x:c r="L93" s="1"/>
      <x:c r="M93" s="1"/>
      <x:c r="N93" s="1"/>
      <x:c r="O93" s="1"/>
      <x:c r="P93" s="1"/>
      <x:c r="Q93" s="1"/>
      <x:c r="R93" s="1"/>
      <x:c r="S93" s="1"/>
      <x:c r="T93" s="1"/>
    </x:row>
    <x:row r="94" ht="18" customHeight="1">
      <x:c r="A94" s="1"/>
      <x:c r="B94" s="19" t="n">
        <x:v>87</x:v>
      </x:c>
      <x:c r="C94" s="56"/>
      <x:c r="D94" s="27"/>
      <x:c r="E94" s="27"/>
      <x:c r="F94" s="27"/>
      <x:c r="G94" s="27"/>
      <x:c r="H94" s="27"/>
      <x:c r="I94" s="1"/>
      <x:c r="J94" s="1"/>
      <x:c r="K94" s="1"/>
      <x:c r="L94" s="1"/>
      <x:c r="M94" s="1"/>
      <x:c r="N94" s="1"/>
      <x:c r="O94" s="1"/>
      <x:c r="P94" s="1"/>
      <x:c r="Q94" s="1"/>
      <x:c r="R94" s="1"/>
      <x:c r="S94" s="1"/>
      <x:c r="T94" s="1"/>
    </x:row>
    <x:row r="95" ht="18" customHeight="1">
      <x:c r="A95" s="1"/>
      <x:c r="B95" s="19" t="n">
        <x:v>88</x:v>
      </x:c>
      <x:c r="C95" s="56"/>
      <x:c r="D95" s="27"/>
      <x:c r="E95" s="27"/>
      <x:c r="F95" s="27"/>
      <x:c r="G95" s="27"/>
      <x:c r="H95" s="27"/>
      <x:c r="I95" s="1"/>
      <x:c r="J95" s="1"/>
      <x:c r="K95" s="1"/>
      <x:c r="L95" s="1"/>
      <x:c r="M95" s="1"/>
      <x:c r="N95" s="1"/>
      <x:c r="O95" s="1"/>
      <x:c r="P95" s="1"/>
      <x:c r="Q95" s="1"/>
      <x:c r="R95" s="1"/>
      <x:c r="S95" s="1"/>
      <x:c r="T95" s="1"/>
    </x:row>
    <x:row r="96" ht="18" customHeight="1">
      <x:c r="A96" s="1"/>
      <x:c r="B96" s="19" t="n">
        <x:v>89</x:v>
      </x:c>
      <x:c r="C96" s="56"/>
      <x:c r="D96" s="27"/>
      <x:c r="E96" s="27"/>
      <x:c r="F96" s="27"/>
      <x:c r="G96" s="27"/>
      <x:c r="H96" s="27"/>
      <x:c r="I96" s="1"/>
      <x:c r="J96" s="1"/>
      <x:c r="K96" s="1"/>
      <x:c r="L96" s="1"/>
      <x:c r="M96" s="1"/>
      <x:c r="N96" s="1"/>
      <x:c r="O96" s="1"/>
      <x:c r="P96" s="1"/>
      <x:c r="Q96" s="1"/>
      <x:c r="R96" s="1"/>
      <x:c r="S96" s="1"/>
      <x:c r="T96" s="1"/>
    </x:row>
    <x:row r="97" ht="18" customHeight="1">
      <x:c r="A97" s="1"/>
      <x:c r="B97" s="19" t="n">
        <x:v>90</x:v>
      </x:c>
      <x:c r="C97" s="56"/>
      <x:c r="D97" s="27"/>
      <x:c r="E97" s="27"/>
      <x:c r="F97" s="27"/>
      <x:c r="G97" s="27"/>
      <x:c r="H97" s="27"/>
      <x:c r="I97" s="1"/>
      <x:c r="J97" s="1"/>
      <x:c r="K97" s="1"/>
      <x:c r="L97" s="1"/>
      <x:c r="M97" s="1"/>
      <x:c r="N97" s="1"/>
      <x:c r="O97" s="1"/>
      <x:c r="P97" s="1"/>
      <x:c r="Q97" s="1"/>
      <x:c r="R97" s="1"/>
      <x:c r="S97" s="1"/>
      <x:c r="T97" s="1"/>
    </x:row>
    <x:row r="98" ht="18" customHeight="1">
      <x:c r="A98" s="1"/>
      <x:c r="B98" s="19" t="n">
        <x:v>91</x:v>
      </x:c>
      <x:c r="C98" s="56"/>
      <x:c r="D98" s="27"/>
      <x:c r="E98" s="27"/>
      <x:c r="F98" s="27"/>
      <x:c r="G98" s="27"/>
      <x:c r="H98" s="27"/>
      <x:c r="I98" s="1"/>
      <x:c r="J98" s="1"/>
      <x:c r="K98" s="1"/>
      <x:c r="L98" s="1"/>
      <x:c r="M98" s="1"/>
      <x:c r="N98" s="1"/>
      <x:c r="O98" s="1"/>
      <x:c r="P98" s="1"/>
      <x:c r="Q98" s="1"/>
      <x:c r="R98" s="1"/>
      <x:c r="S98" s="1"/>
      <x:c r="T98" s="1"/>
    </x:row>
    <x:row r="99" ht="18" customHeight="1">
      <x:c r="A99" s="1"/>
      <x:c r="B99" s="19" t="n">
        <x:v>92</x:v>
      </x:c>
      <x:c r="C99" s="56"/>
      <x:c r="D99" s="27"/>
      <x:c r="E99" s="27"/>
      <x:c r="F99" s="27"/>
      <x:c r="G99" s="27"/>
      <x:c r="H99" s="27"/>
      <x:c r="I99" s="1"/>
      <x:c r="J99" s="1"/>
      <x:c r="K99" s="1"/>
      <x:c r="L99" s="1"/>
      <x:c r="M99" s="1"/>
      <x:c r="N99" s="1"/>
      <x:c r="O99" s="1"/>
      <x:c r="P99" s="1"/>
      <x:c r="Q99" s="1"/>
      <x:c r="R99" s="1"/>
      <x:c r="S99" s="1"/>
      <x:c r="T99" s="1"/>
    </x:row>
    <x:row r="100" ht="18" customHeight="1">
      <x:c r="A100" s="1"/>
      <x:c r="B100" s="19" t="n">
        <x:v>93</x:v>
      </x:c>
      <x:c r="C100" s="56"/>
      <x:c r="D100" s="27"/>
      <x:c r="E100" s="27"/>
      <x:c r="F100" s="27"/>
      <x:c r="G100" s="27"/>
      <x:c r="H100" s="27"/>
      <x:c r="I100" s="1"/>
      <x:c r="J100" s="1"/>
      <x:c r="K100" s="1"/>
      <x:c r="L100" s="1"/>
      <x:c r="M100" s="1"/>
      <x:c r="N100" s="1"/>
      <x:c r="O100" s="1"/>
      <x:c r="P100" s="1"/>
      <x:c r="Q100" s="1"/>
      <x:c r="R100" s="1"/>
      <x:c r="S100" s="1"/>
      <x:c r="T100" s="1"/>
    </x:row>
    <x:row r="101" ht="18" customHeight="1">
      <x:c r="A101" s="1"/>
      <x:c r="B101" s="19" t="n">
        <x:v>94</x:v>
      </x:c>
      <x:c r="C101" s="56"/>
      <x:c r="D101" s="27"/>
      <x:c r="E101" s="27"/>
      <x:c r="F101" s="27"/>
      <x:c r="G101" s="27"/>
      <x:c r="H101" s="27"/>
      <x:c r="I101" s="1"/>
      <x:c r="J101" s="1"/>
      <x:c r="K101" s="1"/>
      <x:c r="L101" s="1"/>
      <x:c r="M101" s="1"/>
      <x:c r="N101" s="1"/>
      <x:c r="O101" s="1"/>
      <x:c r="P101" s="1"/>
      <x:c r="Q101" s="1"/>
      <x:c r="R101" s="1"/>
      <x:c r="S101" s="1"/>
      <x:c r="T101" s="1"/>
    </x:row>
    <x:row r="102" ht="18" customHeight="1">
      <x:c r="A102" s="1"/>
      <x:c r="B102" s="19" t="n">
        <x:v>95</x:v>
      </x:c>
      <x:c r="C102" s="56"/>
      <x:c r="D102" s="27"/>
      <x:c r="E102" s="27"/>
      <x:c r="F102" s="27"/>
      <x:c r="G102" s="27"/>
      <x:c r="H102" s="27"/>
      <x:c r="I102" s="1"/>
      <x:c r="J102" s="1"/>
      <x:c r="K102" s="1"/>
      <x:c r="L102" s="1"/>
      <x:c r="M102" s="1"/>
      <x:c r="N102" s="1"/>
      <x:c r="O102" s="1"/>
      <x:c r="P102" s="1"/>
      <x:c r="Q102" s="1"/>
      <x:c r="R102" s="1"/>
      <x:c r="S102" s="1"/>
      <x:c r="T102" s="1"/>
    </x:row>
    <x:row r="103" ht="18" customHeight="1">
      <x:c r="A103" s="1"/>
      <x:c r="B103" s="19" t="n">
        <x:v>96</x:v>
      </x:c>
      <x:c r="C103" s="56"/>
      <x:c r="D103" s="27"/>
      <x:c r="E103" s="27"/>
      <x:c r="F103" s="27"/>
      <x:c r="G103" s="27"/>
      <x:c r="H103" s="27"/>
      <x:c r="I103" s="1"/>
      <x:c r="J103" s="1"/>
      <x:c r="K103" s="1"/>
      <x:c r="L103" s="1"/>
      <x:c r="M103" s="1"/>
      <x:c r="N103" s="1"/>
      <x:c r="O103" s="1"/>
      <x:c r="P103" s="1"/>
      <x:c r="Q103" s="1"/>
      <x:c r="R103" s="1"/>
      <x:c r="S103" s="1"/>
      <x:c r="T103" s="1"/>
    </x:row>
    <x:row r="104" ht="18" customHeight="1">
      <x:c r="A104" s="1"/>
      <x:c r="B104" s="19" t="n">
        <x:v>97</x:v>
      </x:c>
      <x:c r="C104" s="56"/>
      <x:c r="D104" s="27"/>
      <x:c r="E104" s="27"/>
      <x:c r="F104" s="27"/>
      <x:c r="G104" s="27"/>
      <x:c r="H104" s="27"/>
      <x:c r="I104" s="1"/>
      <x:c r="J104" s="1"/>
      <x:c r="K104" s="1"/>
      <x:c r="L104" s="1"/>
      <x:c r="M104" s="1"/>
      <x:c r="N104" s="1"/>
      <x:c r="O104" s="1"/>
      <x:c r="P104" s="1"/>
      <x:c r="Q104" s="1"/>
      <x:c r="R104" s="1"/>
      <x:c r="S104" s="1"/>
      <x:c r="T104" s="1"/>
    </x:row>
    <x:row r="105" ht="18" customHeight="1">
      <x:c r="A105" s="1"/>
      <x:c r="B105" s="19" t="n">
        <x:v>98</x:v>
      </x:c>
      <x:c r="C105" s="56"/>
      <x:c r="D105" s="27"/>
      <x:c r="E105" s="27"/>
      <x:c r="F105" s="27"/>
      <x:c r="G105" s="27"/>
      <x:c r="H105" s="27"/>
      <x:c r="I105" s="1"/>
      <x:c r="J105" s="1"/>
      <x:c r="K105" s="1"/>
      <x:c r="L105" s="1"/>
      <x:c r="M105" s="1"/>
      <x:c r="N105" s="1"/>
      <x:c r="O105" s="1"/>
      <x:c r="P105" s="1"/>
      <x:c r="Q105" s="1"/>
      <x:c r="R105" s="1"/>
      <x:c r="S105" s="1"/>
      <x:c r="T105" s="1"/>
    </x:row>
    <x:row r="106" ht="18" customHeight="1">
      <x:c r="A106" s="1"/>
      <x:c r="B106" s="19" t="n">
        <x:v>99</x:v>
      </x:c>
      <x:c r="C106" s="56"/>
      <x:c r="D106" s="27"/>
      <x:c r="E106" s="27"/>
      <x:c r="F106" s="27"/>
      <x:c r="G106" s="27"/>
      <x:c r="H106" s="27"/>
      <x:c r="I106" s="1"/>
      <x:c r="J106" s="1"/>
      <x:c r="K106" s="1"/>
      <x:c r="L106" s="1"/>
      <x:c r="M106" s="1"/>
      <x:c r="N106" s="1"/>
      <x:c r="O106" s="1"/>
      <x:c r="P106" s="1"/>
      <x:c r="Q106" s="1"/>
      <x:c r="R106" s="1"/>
      <x:c r="S106" s="1"/>
      <x:c r="T106" s="1"/>
    </x:row>
    <x:row r="107" ht="18" customHeight="1">
      <x:c r="A107" s="1"/>
      <x:c r="B107" s="19" t="n">
        <x:v>100</x:v>
      </x:c>
      <x:c r="C107" s="56"/>
      <x:c r="D107" s="27"/>
      <x:c r="E107" s="27"/>
      <x:c r="F107" s="27"/>
      <x:c r="G107" s="27"/>
      <x:c r="H107" s="27"/>
      <x:c r="I107" s="1"/>
      <x:c r="J107" s="1"/>
      <x:c r="K107" s="1"/>
      <x:c r="L107" s="1"/>
      <x:c r="M107" s="1"/>
      <x:c r="N107" s="1"/>
      <x:c r="O107" s="1"/>
      <x:c r="P107" s="1"/>
      <x:c r="Q107" s="1"/>
      <x:c r="R107" s="1"/>
      <x:c r="S107" s="1"/>
      <x:c r="T107" s="1"/>
    </x:row>
    <x:row r="108" ht="18" customHeight="1">
      <x:c r="A108" s="1"/>
      <x:c r="B108" s="1"/>
      <x:c r="C108" s="1"/>
      <x:c r="D108" s="1"/>
      <x:c r="E108" s="1"/>
      <x:c r="F108" s="1"/>
      <x:c r="G108" s="1"/>
      <x:c r="H108" s="1"/>
      <x:c r="I108" s="1"/>
      <x:c r="J108" s="1"/>
      <x:c r="K108" s="1"/>
      <x:c r="L108" s="1"/>
      <x:c r="M108" s="1"/>
      <x:c r="N108" s="1"/>
      <x:c r="O108" s="1"/>
      <x:c r="P108" s="1"/>
      <x:c r="Q108" s="1"/>
      <x:c r="R108" s="1"/>
      <x:c r="S108" s="1"/>
      <x:c r="T108" s="1"/>
    </x:row>
    <x:row r="109" ht="18" customHeight="1">
      <x:c r="A109" s="1"/>
      <x:c r="B109" s="1"/>
      <x:c r="C109" s="1"/>
      <x:c r="D109" s="1"/>
      <x:c r="E109" s="1"/>
      <x:c r="F109" s="1"/>
      <x:c r="G109" s="1"/>
      <x:c r="H109" s="1"/>
      <x:c r="I109" s="1"/>
      <x:c r="J109" s="1"/>
      <x:c r="K109" s="1"/>
      <x:c r="L109" s="1"/>
      <x:c r="M109" s="1"/>
      <x:c r="N109" s="1"/>
      <x:c r="O109" s="1"/>
      <x:c r="P109" s="1"/>
      <x:c r="Q109" s="1"/>
      <x:c r="R109" s="1"/>
      <x:c r="S109" s="1"/>
      <x:c r="T109" s="1"/>
    </x:row>
    <x:row r="110" ht="18" customHeight="1">
      <x:c r="A110" s="1"/>
      <x:c r="B110" s="1"/>
      <x:c r="C110" s="1"/>
      <x:c r="D110" s="1"/>
      <x:c r="E110" s="1"/>
      <x:c r="F110" s="1"/>
      <x:c r="G110" s="1"/>
      <x:c r="H110" s="1"/>
      <x:c r="I110" s="1"/>
      <x:c r="J110" s="1"/>
      <x:c r="K110" s="1"/>
      <x:c r="L110" s="1"/>
      <x:c r="M110" s="1"/>
      <x:c r="N110" s="1"/>
      <x:c r="O110" s="1"/>
      <x:c r="P110" s="1"/>
      <x:c r="Q110" s="1"/>
      <x:c r="R110" s="1"/>
      <x:c r="S110" s="1"/>
      <x:c r="T110" s="1"/>
    </x:row>
    <x:row r="111" ht="18" customHeight="1">
      <x:c r="A111" s="1"/>
      <x:c r="B111" s="1"/>
      <x:c r="C111" s="1"/>
      <x:c r="D111" s="1"/>
      <x:c r="E111" s="1"/>
      <x:c r="F111" s="1"/>
      <x:c r="G111" s="1"/>
      <x:c r="H111" s="1"/>
      <x:c r="I111" s="1"/>
      <x:c r="J111" s="1"/>
      <x:c r="K111" s="1"/>
      <x:c r="L111" s="1"/>
      <x:c r="M111" s="1"/>
      <x:c r="N111" s="1"/>
      <x:c r="O111" s="1"/>
      <x:c r="P111" s="1"/>
      <x:c r="Q111" s="1"/>
      <x:c r="R111" s="1"/>
      <x:c r="S111" s="1"/>
      <x:c r="T111" s="1"/>
    </x:row>
    <x:row r="112" ht="18" customHeight="1">
      <x:c r="A112" s="1"/>
      <x:c r="B112" s="1"/>
      <x:c r="C112" s="1"/>
      <x:c r="D112" s="1"/>
      <x:c r="E112" s="1"/>
      <x:c r="F112" s="1"/>
      <x:c r="G112" s="1"/>
      <x:c r="H112" s="1"/>
      <x:c r="I112" s="1"/>
      <x:c r="J112" s="1"/>
      <x:c r="K112" s="1"/>
      <x:c r="L112" s="1"/>
      <x:c r="M112" s="1"/>
      <x:c r="N112" s="1"/>
      <x:c r="O112" s="1"/>
      <x:c r="P112" s="1"/>
      <x:c r="Q112" s="1"/>
      <x:c r="R112" s="1"/>
      <x:c r="S112" s="1"/>
      <x:c r="T112" s="1"/>
    </x:row>
    <x:row r="113" ht="18" customHeight="1">
      <x:c r="A113" s="1"/>
      <x:c r="B113" s="1"/>
      <x:c r="C113" s="1"/>
      <x:c r="D113" s="1"/>
      <x:c r="E113" s="1"/>
      <x:c r="F113" s="1"/>
      <x:c r="G113" s="1"/>
      <x:c r="H113" s="1"/>
      <x:c r="I113" s="1"/>
      <x:c r="J113" s="1"/>
      <x:c r="K113" s="1"/>
      <x:c r="L113" s="1"/>
      <x:c r="M113" s="1"/>
      <x:c r="N113" s="1"/>
      <x:c r="O113" s="1"/>
      <x:c r="P113" s="1"/>
      <x:c r="Q113" s="1"/>
      <x:c r="R113" s="1"/>
      <x:c r="S113" s="1"/>
      <x:c r="T113" s="1"/>
    </x:row>
    <x:row r="114" ht="18" customHeight="1">
      <x:c r="A114" s="1"/>
      <x:c r="B114" s="1"/>
      <x:c r="C114" s="1"/>
      <x:c r="D114" s="1"/>
      <x:c r="E114" s="1"/>
      <x:c r="F114" s="1"/>
      <x:c r="G114" s="1"/>
      <x:c r="H114" s="1"/>
      <x:c r="I114" s="1"/>
      <x:c r="J114" s="1"/>
      <x:c r="K114" s="1"/>
      <x:c r="L114" s="1"/>
      <x:c r="M114" s="1"/>
      <x:c r="N114" s="1"/>
      <x:c r="O114" s="1"/>
      <x:c r="P114" s="1"/>
      <x:c r="Q114" s="1"/>
      <x:c r="R114" s="1"/>
      <x:c r="S114" s="1"/>
      <x:c r="T114" s="1"/>
    </x:row>
    <x:row r="115" ht="18" customHeight="1">
      <x:c r="A115" s="1"/>
      <x:c r="B115" s="1"/>
      <x:c r="C115" s="1"/>
      <x:c r="D115" s="1"/>
      <x:c r="E115" s="1"/>
      <x:c r="F115" s="1"/>
      <x:c r="G115" s="1"/>
      <x:c r="H115" s="1"/>
      <x:c r="I115" s="1"/>
      <x:c r="J115" s="1"/>
      <x:c r="K115" s="1"/>
      <x:c r="L115" s="1"/>
      <x:c r="M115" s="1"/>
      <x:c r="N115" s="1"/>
      <x:c r="O115" s="1"/>
      <x:c r="P115" s="1"/>
      <x:c r="Q115" s="1"/>
      <x:c r="R115" s="1"/>
      <x:c r="S115" s="1"/>
      <x:c r="T115" s="1"/>
    </x:row>
    <x:row r="116" ht="18" customHeight="1">
      <x:c r="A116" s="1"/>
      <x:c r="B116" s="1"/>
      <x:c r="C116" s="1"/>
      <x:c r="D116" s="1"/>
      <x:c r="E116" s="1"/>
      <x:c r="F116" s="1"/>
      <x:c r="G116" s="1"/>
      <x:c r="H116" s="1"/>
      <x:c r="I116" s="1"/>
      <x:c r="J116" s="1"/>
      <x:c r="K116" s="1"/>
      <x:c r="L116" s="1"/>
      <x:c r="M116" s="1"/>
      <x:c r="N116" s="1"/>
      <x:c r="O116" s="1"/>
      <x:c r="P116" s="1"/>
      <x:c r="Q116" s="1"/>
      <x:c r="R116" s="1"/>
      <x:c r="S116" s="1"/>
      <x:c r="T116" s="1"/>
    </x:row>
    <x:row r="117" ht="18" customHeight="1">
      <x:c r="A117" s="1"/>
      <x:c r="B117" s="1"/>
      <x:c r="C117" s="1"/>
      <x:c r="D117" s="1"/>
      <x:c r="E117" s="1"/>
      <x:c r="F117" s="1"/>
      <x:c r="G117" s="1"/>
      <x:c r="H117" s="1"/>
      <x:c r="I117" s="1"/>
      <x:c r="J117" s="1"/>
      <x:c r="K117" s="1"/>
      <x:c r="L117" s="1"/>
      <x:c r="M117" s="1"/>
      <x:c r="N117" s="1"/>
      <x:c r="O117" s="1"/>
      <x:c r="P117" s="1"/>
      <x:c r="Q117" s="1"/>
      <x:c r="R117" s="1"/>
      <x:c r="S117" s="1"/>
      <x:c r="T117" s="1"/>
    </x:row>
    <x:row r="118" ht="18" customHeight="1">
      <x:c r="A118" s="1"/>
      <x:c r="B118" s="1"/>
      <x:c r="C118" s="1"/>
      <x:c r="D118" s="1"/>
      <x:c r="E118" s="1"/>
      <x:c r="F118" s="1"/>
      <x:c r="G118" s="1"/>
      <x:c r="H118" s="1"/>
      <x:c r="I118" s="1"/>
      <x:c r="J118" s="1"/>
      <x:c r="K118" s="1"/>
      <x:c r="L118" s="1"/>
      <x:c r="M118" s="1"/>
      <x:c r="N118" s="1"/>
      <x:c r="O118" s="1"/>
      <x:c r="P118" s="1"/>
      <x:c r="Q118" s="1"/>
      <x:c r="R118" s="1"/>
      <x:c r="S118" s="1"/>
      <x:c r="T118" s="1"/>
    </x:row>
    <x:row r="119" ht="18" customHeight="1">
      <x:c r="A119" s="1"/>
      <x:c r="B119" s="1"/>
      <x:c r="C119" s="1"/>
      <x:c r="D119" s="1"/>
      <x:c r="E119" s="1"/>
      <x:c r="F119" s="1"/>
      <x:c r="G119" s="1"/>
      <x:c r="H119" s="1"/>
      <x:c r="I119" s="1"/>
      <x:c r="J119" s="1"/>
      <x:c r="K119" s="1"/>
      <x:c r="L119" s="1"/>
      <x:c r="M119" s="1"/>
      <x:c r="N119" s="1"/>
      <x:c r="O119" s="1"/>
      <x:c r="P119" s="1"/>
      <x:c r="Q119" s="1"/>
      <x:c r="R119" s="1"/>
      <x:c r="S119" s="1"/>
      <x:c r="T119" s="1"/>
    </x:row>
    <x:row r="120" ht="18" customHeight="1">
      <x:c r="A120" s="1"/>
      <x:c r="B120" s="1"/>
      <x:c r="C120" s="1"/>
      <x:c r="D120" s="1"/>
      <x:c r="E120" s="1"/>
      <x:c r="F120" s="1"/>
      <x:c r="G120" s="1"/>
      <x:c r="H120" s="1"/>
      <x:c r="I120" s="1"/>
      <x:c r="J120" s="1"/>
      <x:c r="K120" s="1"/>
      <x:c r="L120" s="1"/>
      <x:c r="M120" s="1"/>
      <x:c r="N120" s="1"/>
      <x:c r="O120" s="1"/>
      <x:c r="P120" s="1"/>
      <x:c r="Q120" s="1"/>
      <x:c r="R120" s="1"/>
      <x:c r="S120" s="1"/>
      <x:c r="T120" s="1"/>
    </x:row>
    <x:row r="121" ht="18" customHeight="1">
      <x:c r="A121" s="1"/>
      <x:c r="B121" s="1"/>
      <x:c r="C121" s="1"/>
      <x:c r="D121" s="1"/>
      <x:c r="E121" s="1"/>
      <x:c r="F121" s="1"/>
      <x:c r="G121" s="1"/>
      <x:c r="H121" s="1"/>
      <x:c r="I121" s="1"/>
      <x:c r="J121" s="1"/>
      <x:c r="K121" s="1"/>
      <x:c r="L121" s="1"/>
      <x:c r="M121" s="1"/>
      <x:c r="N121" s="1"/>
      <x:c r="O121" s="1"/>
      <x:c r="P121" s="1"/>
      <x:c r="Q121" s="1"/>
      <x:c r="R121" s="1"/>
      <x:c r="S121" s="1"/>
      <x:c r="T121" s="1"/>
    </x:row>
    <x:row r="122" ht="18" customHeight="1">
      <x:c r="A122" s="1"/>
      <x:c r="B122" s="1"/>
      <x:c r="C122" s="1"/>
      <x:c r="D122" s="1"/>
      <x:c r="E122" s="1"/>
      <x:c r="F122" s="1"/>
      <x:c r="G122" s="1"/>
      <x:c r="H122" s="1"/>
      <x:c r="I122" s="1"/>
      <x:c r="J122" s="1"/>
      <x:c r="K122" s="1"/>
      <x:c r="L122" s="1"/>
      <x:c r="M122" s="1"/>
      <x:c r="N122" s="1"/>
      <x:c r="O122" s="1"/>
      <x:c r="P122" s="1"/>
      <x:c r="Q122" s="1"/>
      <x:c r="R122" s="1"/>
      <x:c r="S122" s="1"/>
      <x:c r="T122" s="1"/>
    </x:row>
    <x:row r="123" ht="18" customHeight="1">
      <x:c r="A123" s="1"/>
      <x:c r="B123" s="1"/>
      <x:c r="C123" s="1"/>
      <x:c r="D123" s="1"/>
      <x:c r="E123" s="1"/>
      <x:c r="F123" s="1"/>
      <x:c r="G123" s="1"/>
      <x:c r="H123" s="1"/>
      <x:c r="I123" s="1"/>
      <x:c r="J123" s="1"/>
      <x:c r="K123" s="1"/>
      <x:c r="L123" s="1"/>
      <x:c r="M123" s="1"/>
      <x:c r="N123" s="1"/>
      <x:c r="O123" s="1"/>
      <x:c r="P123" s="1"/>
      <x:c r="Q123" s="1"/>
      <x:c r="R123" s="1"/>
      <x:c r="S123" s="1"/>
      <x:c r="T123" s="1"/>
    </x:row>
    <x:row r="124" ht="18" customHeight="1">
      <x:c r="A124" s="1"/>
      <x:c r="B124" s="1"/>
      <x:c r="C124" s="1"/>
      <x:c r="D124" s="1"/>
      <x:c r="E124" s="1"/>
      <x:c r="F124" s="1"/>
      <x:c r="G124" s="1"/>
      <x:c r="H124" s="1"/>
      <x:c r="I124" s="1"/>
      <x:c r="J124" s="1"/>
      <x:c r="K124" s="1"/>
      <x:c r="L124" s="1"/>
      <x:c r="M124" s="1"/>
      <x:c r="N124" s="1"/>
      <x:c r="O124" s="1"/>
      <x:c r="P124" s="1"/>
      <x:c r="Q124" s="1"/>
      <x:c r="R124" s="1"/>
      <x:c r="S124" s="1"/>
      <x:c r="T124" s="1"/>
    </x:row>
    <x:row r="125" ht="18" customHeight="1">
      <x:c r="A125" s="1"/>
      <x:c r="B125" s="1"/>
      <x:c r="C125" s="1"/>
      <x:c r="D125" s="1"/>
      <x:c r="E125" s="1"/>
      <x:c r="F125" s="1"/>
      <x:c r="G125" s="1"/>
      <x:c r="H125" s="1"/>
      <x:c r="I125" s="1"/>
      <x:c r="J125" s="1"/>
      <x:c r="K125" s="1"/>
      <x:c r="L125" s="1"/>
      <x:c r="M125" s="1"/>
      <x:c r="N125" s="1"/>
      <x:c r="O125" s="1"/>
      <x:c r="P125" s="1"/>
      <x:c r="Q125" s="1"/>
      <x:c r="R125" s="1"/>
      <x:c r="S125" s="1"/>
      <x:c r="T125" s="1"/>
    </x:row>
    <x:row r="126" ht="18" customHeight="1">
      <x:c r="A126" s="1"/>
      <x:c r="B126" s="1"/>
      <x:c r="C126" s="1"/>
      <x:c r="D126" s="1"/>
      <x:c r="E126" s="1"/>
      <x:c r="F126" s="1"/>
      <x:c r="G126" s="1"/>
      <x:c r="H126" s="1"/>
      <x:c r="I126" s="1"/>
      <x:c r="J126" s="1"/>
      <x:c r="K126" s="1"/>
      <x:c r="L126" s="1"/>
      <x:c r="M126" s="1"/>
      <x:c r="N126" s="1"/>
      <x:c r="O126" s="1"/>
      <x:c r="P126" s="1"/>
      <x:c r="Q126" s="1"/>
      <x:c r="R126" s="1"/>
      <x:c r="S126" s="1"/>
      <x:c r="T126" s="1"/>
    </x:row>
    <x:row r="127" ht="18" customHeight="1">
      <x:c r="A127" s="1"/>
      <x:c r="B127" s="1"/>
      <x:c r="C127" s="1"/>
      <x:c r="D127" s="1"/>
      <x:c r="E127" s="1"/>
      <x:c r="F127" s="1"/>
      <x:c r="G127" s="1"/>
      <x:c r="H127" s="1"/>
      <x:c r="I127" s="1"/>
      <x:c r="J127" s="1"/>
      <x:c r="K127" s="1"/>
      <x:c r="L127" s="1"/>
      <x:c r="M127" s="1"/>
      <x:c r="N127" s="1"/>
      <x:c r="O127" s="1"/>
      <x:c r="P127" s="1"/>
      <x:c r="Q127" s="1"/>
      <x:c r="R127" s="1"/>
      <x:c r="S127" s="1"/>
      <x:c r="T127" s="1"/>
    </x:row>
    <x:row r="128" ht="18" customHeight="1">
      <x:c r="A128" s="1"/>
      <x:c r="B128" s="1"/>
      <x:c r="C128" s="1"/>
      <x:c r="D128" s="1"/>
      <x:c r="E128" s="1"/>
      <x:c r="F128" s="1"/>
      <x:c r="G128" s="1"/>
      <x:c r="H128" s="1"/>
      <x:c r="I128" s="1"/>
      <x:c r="J128" s="1"/>
      <x:c r="K128" s="1"/>
      <x:c r="L128" s="1"/>
      <x:c r="M128" s="1"/>
      <x:c r="N128" s="1"/>
      <x:c r="O128" s="1"/>
      <x:c r="P128" s="1"/>
      <x:c r="Q128" s="1"/>
      <x:c r="R128" s="1"/>
      <x:c r="S128" s="1"/>
      <x:c r="T128" s="1"/>
    </x:row>
    <x:row r="129" ht="18" customHeight="1">
      <x:c r="A129" s="1"/>
      <x:c r="B129" s="1"/>
      <x:c r="C129" s="1"/>
      <x:c r="D129" s="1"/>
      <x:c r="E129" s="1"/>
      <x:c r="F129" s="1"/>
      <x:c r="G129" s="1"/>
      <x:c r="H129" s="1"/>
      <x:c r="I129" s="1"/>
      <x:c r="J129" s="1"/>
      <x:c r="K129" s="1"/>
      <x:c r="L129" s="1"/>
      <x:c r="M129" s="1"/>
      <x:c r="N129" s="1"/>
      <x:c r="O129" s="1"/>
      <x:c r="P129" s="1"/>
      <x:c r="Q129" s="1"/>
      <x:c r="R129" s="1"/>
      <x:c r="S129" s="1"/>
      <x:c r="T129" s="1"/>
    </x:row>
    <x:row r="130" ht="18" customHeight="1">
      <x:c r="A130" s="1"/>
      <x:c r="B130" s="1"/>
      <x:c r="C130" s="1"/>
      <x:c r="D130" s="1"/>
      <x:c r="E130" s="1"/>
      <x:c r="F130" s="1"/>
      <x:c r="G130" s="1"/>
      <x:c r="H130" s="1"/>
      <x:c r="I130" s="1"/>
      <x:c r="J130" s="1"/>
      <x:c r="K130" s="1"/>
      <x:c r="L130" s="1"/>
      <x:c r="M130" s="1"/>
      <x:c r="N130" s="1"/>
      <x:c r="O130" s="1"/>
      <x:c r="P130" s="1"/>
      <x:c r="Q130" s="1"/>
      <x:c r="R130" s="1"/>
      <x:c r="S130" s="1"/>
      <x:c r="T130" s="1"/>
    </x:row>
    <x:row r="131" ht="18" customHeight="1">
      <x:c r="A131" s="1"/>
      <x:c r="B131" s="1"/>
      <x:c r="C131" s="1"/>
      <x:c r="D131" s="1"/>
      <x:c r="E131" s="1"/>
      <x:c r="F131" s="1"/>
      <x:c r="G131" s="1"/>
      <x:c r="H131" s="1"/>
      <x:c r="I131" s="1"/>
      <x:c r="J131" s="1"/>
      <x:c r="K131" s="1"/>
      <x:c r="L131" s="1"/>
      <x:c r="M131" s="1"/>
      <x:c r="N131" s="1"/>
      <x:c r="O131" s="1"/>
      <x:c r="P131" s="1"/>
      <x:c r="Q131" s="1"/>
      <x:c r="R131" s="1"/>
      <x:c r="S131" s="1"/>
      <x:c r="T131" s="1"/>
    </x:row>
    <x:row r="132" ht="18" customHeight="1">
      <x:c r="A132" s="1"/>
      <x:c r="B132" s="1"/>
      <x:c r="C132" s="1"/>
      <x:c r="D132" s="1"/>
      <x:c r="E132" s="1"/>
      <x:c r="F132" s="1"/>
      <x:c r="G132" s="1"/>
      <x:c r="H132" s="1"/>
      <x:c r="I132" s="1"/>
      <x:c r="J132" s="1"/>
      <x:c r="K132" s="1"/>
      <x:c r="L132" s="1"/>
      <x:c r="M132" s="1"/>
      <x:c r="N132" s="1"/>
      <x:c r="O132" s="1"/>
      <x:c r="P132" s="1"/>
      <x:c r="Q132" s="1"/>
      <x:c r="R132" s="1"/>
      <x:c r="S132" s="1"/>
      <x:c r="T132" s="1"/>
    </x:row>
    <x:row r="133" ht="18" customHeight="1">
      <x:c r="A133" s="1"/>
      <x:c r="B133" s="1"/>
      <x:c r="C133" s="1"/>
      <x:c r="D133" s="1"/>
      <x:c r="E133" s="1"/>
      <x:c r="F133" s="1"/>
      <x:c r="G133" s="1"/>
      <x:c r="H133" s="1"/>
      <x:c r="I133" s="1"/>
      <x:c r="J133" s="1"/>
      <x:c r="K133" s="1"/>
      <x:c r="L133" s="1"/>
      <x:c r="M133" s="1"/>
      <x:c r="N133" s="1"/>
      <x:c r="O133" s="1"/>
      <x:c r="P133" s="1"/>
      <x:c r="Q133" s="1"/>
      <x:c r="R133" s="1"/>
      <x:c r="S133" s="1"/>
      <x:c r="T133" s="1"/>
    </x:row>
    <x:row r="134" ht="18" customHeight="1">
      <x:c r="A134" s="1"/>
      <x:c r="B134" s="1"/>
      <x:c r="C134" s="1"/>
      <x:c r="D134" s="1"/>
      <x:c r="E134" s="1"/>
      <x:c r="F134" s="1"/>
      <x:c r="G134" s="1"/>
      <x:c r="H134" s="1"/>
      <x:c r="I134" s="1"/>
      <x:c r="J134" s="1"/>
      <x:c r="K134" s="1"/>
      <x:c r="L134" s="1"/>
      <x:c r="M134" s="1"/>
      <x:c r="N134" s="1"/>
      <x:c r="O134" s="1"/>
      <x:c r="P134" s="1"/>
      <x:c r="Q134" s="1"/>
      <x:c r="R134" s="1"/>
      <x:c r="S134" s="1"/>
      <x:c r="T134" s="1"/>
    </x:row>
    <x:row r="135" ht="18" customHeight="1">
      <x:c r="A135" s="1"/>
      <x:c r="B135" s="1"/>
      <x:c r="C135" s="1"/>
      <x:c r="D135" s="1"/>
      <x:c r="E135" s="1"/>
      <x:c r="F135" s="1"/>
      <x:c r="G135" s="1"/>
      <x:c r="H135" s="1"/>
      <x:c r="I135" s="1"/>
      <x:c r="J135" s="1"/>
      <x:c r="K135" s="1"/>
      <x:c r="L135" s="1"/>
      <x:c r="M135" s="1"/>
      <x:c r="N135" s="1"/>
      <x:c r="O135" s="1"/>
      <x:c r="P135" s="1"/>
      <x:c r="Q135" s="1"/>
      <x:c r="R135" s="1"/>
      <x:c r="S135" s="1"/>
      <x:c r="T135" s="1"/>
    </x:row>
    <x:row r="136" ht="18" customHeight="1">
      <x:c r="A136" s="1"/>
      <x:c r="B136" s="1"/>
      <x:c r="C136" s="1"/>
      <x:c r="D136" s="1"/>
      <x:c r="E136" s="1"/>
      <x:c r="F136" s="1"/>
      <x:c r="G136" s="1"/>
      <x:c r="H136" s="1"/>
      <x:c r="I136" s="1"/>
      <x:c r="J136" s="1"/>
      <x:c r="K136" s="1"/>
      <x:c r="L136" s="1"/>
      <x:c r="M136" s="1"/>
      <x:c r="N136" s="1"/>
      <x:c r="O136" s="1"/>
      <x:c r="P136" s="1"/>
      <x:c r="Q136" s="1"/>
      <x:c r="R136" s="1"/>
      <x:c r="S136" s="1"/>
      <x:c r="T136" s="1"/>
    </x:row>
    <x:row r="137" ht="18" customHeight="1">
      <x:c r="A137" s="1"/>
      <x:c r="B137" s="1"/>
      <x:c r="C137" s="1"/>
      <x:c r="D137" s="1"/>
      <x:c r="E137" s="1"/>
      <x:c r="F137" s="1"/>
      <x:c r="G137" s="1"/>
      <x:c r="H137" s="1"/>
      <x:c r="I137" s="1"/>
      <x:c r="J137" s="1"/>
      <x:c r="K137" s="1"/>
      <x:c r="L137" s="1"/>
      <x:c r="M137" s="1"/>
      <x:c r="N137" s="1"/>
      <x:c r="O137" s="1"/>
      <x:c r="P137" s="1"/>
      <x:c r="Q137" s="1"/>
      <x:c r="R137" s="1"/>
      <x:c r="S137" s="1"/>
      <x:c r="T137" s="1"/>
    </x:row>
    <x:row r="138" ht="18" customHeight="1">
      <x:c r="A138" s="1"/>
      <x:c r="B138" s="1"/>
      <x:c r="C138" s="1"/>
      <x:c r="D138" s="1"/>
      <x:c r="E138" s="1"/>
      <x:c r="F138" s="1"/>
      <x:c r="G138" s="1"/>
      <x:c r="H138" s="1"/>
      <x:c r="I138" s="1"/>
      <x:c r="J138" s="1"/>
      <x:c r="K138" s="1"/>
      <x:c r="L138" s="1"/>
      <x:c r="M138" s="1"/>
      <x:c r="N138" s="1"/>
      <x:c r="O138" s="1"/>
      <x:c r="P138" s="1"/>
      <x:c r="Q138" s="1"/>
      <x:c r="R138" s="1"/>
      <x:c r="S138" s="1"/>
      <x:c r="T138" s="1"/>
    </x:row>
    <x:row r="139" ht="18" customHeight="1">
      <x:c r="A139" s="1"/>
      <x:c r="B139" s="1"/>
      <x:c r="C139" s="1"/>
      <x:c r="D139" s="1"/>
      <x:c r="E139" s="1"/>
      <x:c r="F139" s="1"/>
      <x:c r="G139" s="1"/>
      <x:c r="H139" s="1"/>
      <x:c r="I139" s="1"/>
      <x:c r="J139" s="1"/>
      <x:c r="K139" s="1"/>
      <x:c r="L139" s="1"/>
      <x:c r="M139" s="1"/>
      <x:c r="N139" s="1"/>
      <x:c r="O139" s="1"/>
      <x:c r="P139" s="1"/>
      <x:c r="Q139" s="1"/>
      <x:c r="R139" s="1"/>
      <x:c r="S139" s="1"/>
      <x:c r="T139" s="1"/>
    </x:row>
    <x:row r="140" ht="18" customHeight="1">
      <x:c r="A140" s="1"/>
      <x:c r="B140" s="1"/>
      <x:c r="C140" s="1"/>
      <x:c r="D140" s="1"/>
      <x:c r="E140" s="1"/>
      <x:c r="F140" s="1"/>
      <x:c r="G140" s="1"/>
      <x:c r="H140" s="1"/>
      <x:c r="I140" s="1"/>
      <x:c r="J140" s="1"/>
      <x:c r="K140" s="1"/>
      <x:c r="L140" s="1"/>
      <x:c r="M140" s="1"/>
      <x:c r="N140" s="1"/>
      <x:c r="O140" s="1"/>
      <x:c r="P140" s="1"/>
      <x:c r="Q140" s="1"/>
      <x:c r="R140" s="1"/>
      <x:c r="S140" s="1"/>
      <x:c r="T140" s="1"/>
    </x:row>
    <x:row r="141" ht="18" customHeight="1">
      <x:c r="A141" s="1"/>
      <x:c r="B141" s="1"/>
      <x:c r="C141" s="1"/>
      <x:c r="D141" s="1"/>
      <x:c r="E141" s="1"/>
      <x:c r="F141" s="1"/>
      <x:c r="G141" s="1"/>
      <x:c r="H141" s="1"/>
      <x:c r="I141" s="1"/>
      <x:c r="J141" s="1"/>
      <x:c r="K141" s="1"/>
      <x:c r="L141" s="1"/>
      <x:c r="M141" s="1"/>
      <x:c r="N141" s="1"/>
      <x:c r="O141" s="1"/>
      <x:c r="P141" s="1"/>
      <x:c r="Q141" s="1"/>
      <x:c r="R141" s="1"/>
      <x:c r="S141" s="1"/>
      <x:c r="T141" s="1"/>
    </x:row>
    <x:row r="142" ht="18" customHeight="1">
      <x:c r="A142" s="1"/>
      <x:c r="B142" s="1"/>
      <x:c r="C142" s="1"/>
      <x:c r="D142" s="1"/>
      <x:c r="E142" s="1"/>
      <x:c r="F142" s="1"/>
      <x:c r="G142" s="1"/>
      <x:c r="H142" s="1"/>
      <x:c r="I142" s="1"/>
      <x:c r="J142" s="1"/>
      <x:c r="K142" s="1"/>
      <x:c r="L142" s="1"/>
      <x:c r="M142" s="1"/>
      <x:c r="N142" s="1"/>
      <x:c r="O142" s="1"/>
      <x:c r="P142" s="1"/>
      <x:c r="Q142" s="1"/>
      <x:c r="R142" s="1"/>
      <x:c r="S142" s="1"/>
      <x:c r="T142" s="1"/>
    </x:row>
    <x:row r="143" ht="18" customHeight="1">
      <x:c r="A143" s="1"/>
      <x:c r="B143" s="1"/>
      <x:c r="C143" s="1"/>
      <x:c r="D143" s="1"/>
      <x:c r="E143" s="1"/>
      <x:c r="F143" s="1"/>
      <x:c r="G143" s="1"/>
      <x:c r="H143" s="1"/>
      <x:c r="I143" s="1"/>
      <x:c r="J143" s="1"/>
      <x:c r="K143" s="1"/>
      <x:c r="L143" s="1"/>
      <x:c r="M143" s="1"/>
      <x:c r="N143" s="1"/>
      <x:c r="O143" s="1"/>
      <x:c r="P143" s="1"/>
      <x:c r="Q143" s="1"/>
      <x:c r="R143" s="1"/>
      <x:c r="S143" s="1"/>
      <x:c r="T143" s="1"/>
    </x:row>
    <x:row r="144" ht="18" customHeight="1">
      <x:c r="A144" s="1"/>
      <x:c r="B144" s="1"/>
      <x:c r="C144" s="1"/>
      <x:c r="D144" s="1"/>
      <x:c r="E144" s="1"/>
      <x:c r="F144" s="1"/>
      <x:c r="G144" s="1"/>
      <x:c r="H144" s="1"/>
      <x:c r="I144" s="1"/>
      <x:c r="J144" s="1"/>
      <x:c r="K144" s="1"/>
      <x:c r="L144" s="1"/>
      <x:c r="M144" s="1"/>
      <x:c r="N144" s="1"/>
      <x:c r="O144" s="1"/>
      <x:c r="P144" s="1"/>
      <x:c r="Q144" s="1"/>
      <x:c r="R144" s="1"/>
      <x:c r="S144" s="1"/>
      <x:c r="T144" s="1"/>
    </x:row>
    <x:row r="145" ht="18" customHeight="1">
      <x:c r="A145" s="1"/>
      <x:c r="B145" s="1"/>
      <x:c r="C145" s="1"/>
      <x:c r="D145" s="1"/>
      <x:c r="E145" s="1"/>
      <x:c r="F145" s="1"/>
      <x:c r="G145" s="1"/>
      <x:c r="H145" s="1"/>
      <x:c r="I145" s="1"/>
      <x:c r="J145" s="1"/>
      <x:c r="K145" s="1"/>
      <x:c r="L145" s="1"/>
      <x:c r="M145" s="1"/>
      <x:c r="N145" s="1"/>
      <x:c r="O145" s="1"/>
      <x:c r="P145" s="1"/>
      <x:c r="Q145" s="1"/>
      <x:c r="R145" s="1"/>
      <x:c r="S145" s="1"/>
      <x:c r="T145" s="1"/>
    </x:row>
    <x:row r="146" ht="18" customHeight="1">
      <x:c r="A146" s="1"/>
      <x:c r="B146" s="1"/>
      <x:c r="C146" s="1"/>
      <x:c r="D146" s="1"/>
      <x:c r="E146" s="1"/>
      <x:c r="F146" s="1"/>
      <x:c r="G146" s="1"/>
      <x:c r="H146" s="1"/>
      <x:c r="I146" s="1"/>
      <x:c r="J146" s="1"/>
      <x:c r="K146" s="1"/>
      <x:c r="L146" s="1"/>
      <x:c r="M146" s="1"/>
      <x:c r="N146" s="1"/>
      <x:c r="O146" s="1"/>
      <x:c r="P146" s="1"/>
      <x:c r="Q146" s="1"/>
      <x:c r="R146" s="1"/>
      <x:c r="S146" s="1"/>
      <x:c r="T146" s="1"/>
    </x:row>
    <x:row r="147" ht="18" customHeight="1">
      <x:c r="A147" s="1"/>
      <x:c r="B147" s="1"/>
      <x:c r="C147" s="1"/>
      <x:c r="D147" s="1"/>
      <x:c r="E147" s="1"/>
      <x:c r="F147" s="1"/>
      <x:c r="G147" s="1"/>
      <x:c r="H147" s="1"/>
      <x:c r="I147" s="1"/>
      <x:c r="J147" s="1"/>
      <x:c r="K147" s="1"/>
      <x:c r="L147" s="1"/>
      <x:c r="M147" s="1"/>
      <x:c r="N147" s="1"/>
      <x:c r="O147" s="1"/>
      <x:c r="P147" s="1"/>
      <x:c r="Q147" s="1"/>
      <x:c r="R147" s="1"/>
      <x:c r="S147" s="1"/>
      <x:c r="T147" s="1"/>
    </x:row>
    <x:row r="148" ht="18" customHeight="1">
      <x:c r="A148" s="1"/>
      <x:c r="B148" s="1"/>
      <x:c r="C148" s="1"/>
      <x:c r="D148" s="1"/>
      <x:c r="E148" s="1"/>
      <x:c r="F148" s="1"/>
      <x:c r="G148" s="1"/>
      <x:c r="H148" s="1"/>
      <x:c r="I148" s="1"/>
      <x:c r="J148" s="1"/>
      <x:c r="K148" s="1"/>
      <x:c r="L148" s="1"/>
      <x:c r="M148" s="1"/>
      <x:c r="N148" s="1"/>
      <x:c r="O148" s="1"/>
      <x:c r="P148" s="1"/>
      <x:c r="Q148" s="1"/>
      <x:c r="R148" s="1"/>
      <x:c r="S148" s="1"/>
      <x:c r="T148" s="1"/>
    </x:row>
    <x:row r="149" ht="18" customHeight="1">
      <x:c r="A149" s="1"/>
      <x:c r="B149" s="1"/>
      <x:c r="C149" s="1"/>
      <x:c r="D149" s="1"/>
      <x:c r="E149" s="1"/>
      <x:c r="F149" s="1"/>
      <x:c r="G149" s="1"/>
      <x:c r="H149" s="1"/>
      <x:c r="I149" s="1"/>
      <x:c r="J149" s="1"/>
      <x:c r="K149" s="1"/>
      <x:c r="L149" s="1"/>
      <x:c r="M149" s="1"/>
      <x:c r="N149" s="1"/>
      <x:c r="O149" s="1"/>
      <x:c r="P149" s="1"/>
      <x:c r="Q149" s="1"/>
      <x:c r="R149" s="1"/>
      <x:c r="S149" s="1"/>
      <x:c r="T149" s="1"/>
    </x:row>
    <x:row r="150" ht="18" customHeight="1">
      <x:c r="A150" s="1"/>
      <x:c r="B150" s="1"/>
      <x:c r="C150" s="1"/>
      <x:c r="D150" s="1"/>
      <x:c r="E150" s="1"/>
      <x:c r="F150" s="1"/>
      <x:c r="G150" s="1"/>
      <x:c r="H150" s="1"/>
      <x:c r="I150" s="1"/>
      <x:c r="J150" s="1"/>
      <x:c r="K150" s="1"/>
      <x:c r="L150" s="1"/>
      <x:c r="M150" s="1"/>
      <x:c r="N150" s="1"/>
      <x:c r="O150" s="1"/>
      <x:c r="P150" s="1"/>
      <x:c r="Q150" s="1"/>
      <x:c r="R150" s="1"/>
      <x:c r="S150" s="1"/>
      <x:c r="T150" s="1"/>
    </x:row>
    <x:row r="151" ht="18" customHeight="1">
      <x:c r="A151" s="1"/>
      <x:c r="B151" s="1"/>
      <x:c r="C151" s="1"/>
      <x:c r="D151" s="1"/>
      <x:c r="E151" s="1"/>
      <x:c r="F151" s="1"/>
      <x:c r="G151" s="1"/>
      <x:c r="H151" s="1"/>
      <x:c r="I151" s="1"/>
      <x:c r="J151" s="1"/>
      <x:c r="K151" s="1"/>
      <x:c r="L151" s="1"/>
      <x:c r="M151" s="1"/>
      <x:c r="N151" s="1"/>
      <x:c r="O151" s="1"/>
      <x:c r="P151" s="1"/>
      <x:c r="Q151" s="1"/>
      <x:c r="R151" s="1"/>
      <x:c r="S151" s="1"/>
      <x:c r="T151" s="1"/>
    </x:row>
    <x:row r="152" ht="18" customHeight="1">
      <x:c r="A152" s="1"/>
      <x:c r="B152" s="1"/>
      <x:c r="C152" s="1"/>
      <x:c r="D152" s="1"/>
      <x:c r="E152" s="1"/>
      <x:c r="F152" s="1"/>
      <x:c r="G152" s="1"/>
      <x:c r="H152" s="1"/>
      <x:c r="I152" s="1"/>
      <x:c r="J152" s="1"/>
      <x:c r="K152" s="1"/>
      <x:c r="L152" s="1"/>
      <x:c r="M152" s="1"/>
      <x:c r="N152" s="1"/>
      <x:c r="O152" s="1"/>
      <x:c r="P152" s="1"/>
      <x:c r="Q152" s="1"/>
      <x:c r="R152" s="1"/>
      <x:c r="S152" s="1"/>
      <x:c r="T152" s="1"/>
    </x:row>
    <x:row r="153" ht="18" customHeight="1">
      <x:c r="A153" s="1"/>
      <x:c r="B153" s="1"/>
      <x:c r="C153" s="1"/>
      <x:c r="D153" s="1"/>
      <x:c r="E153" s="1"/>
      <x:c r="F153" s="1"/>
      <x:c r="G153" s="1"/>
      <x:c r="H153" s="1"/>
      <x:c r="I153" s="1"/>
      <x:c r="J153" s="1"/>
      <x:c r="K153" s="1"/>
      <x:c r="L153" s="1"/>
      <x:c r="M153" s="1"/>
      <x:c r="N153" s="1"/>
      <x:c r="O153" s="1"/>
      <x:c r="P153" s="1"/>
      <x:c r="Q153" s="1"/>
      <x:c r="R153" s="1"/>
      <x:c r="S153" s="1"/>
      <x:c r="T153" s="1"/>
    </x:row>
    <x:row r="154" ht="18" customHeight="1">
      <x:c r="A154" s="1"/>
      <x:c r="B154" s="1"/>
      <x:c r="C154" s="1"/>
      <x:c r="D154" s="1"/>
      <x:c r="E154" s="1"/>
      <x:c r="F154" s="1"/>
      <x:c r="G154" s="1"/>
      <x:c r="H154" s="1"/>
      <x:c r="I154" s="1"/>
      <x:c r="J154" s="1"/>
      <x:c r="K154" s="1"/>
      <x:c r="L154" s="1"/>
      <x:c r="M154" s="1"/>
      <x:c r="N154" s="1"/>
      <x:c r="O154" s="1"/>
      <x:c r="P154" s="1"/>
      <x:c r="Q154" s="1"/>
      <x:c r="R154" s="1"/>
      <x:c r="S154" s="1"/>
      <x:c r="T154" s="1"/>
    </x:row>
    <x:row r="155" ht="18" customHeight="1">
      <x:c r="A155" s="1"/>
      <x:c r="B155" s="1"/>
      <x:c r="C155" s="1"/>
      <x:c r="D155" s="1"/>
      <x:c r="E155" s="1"/>
      <x:c r="F155" s="1"/>
      <x:c r="G155" s="1"/>
      <x:c r="H155" s="1"/>
      <x:c r="I155" s="1"/>
      <x:c r="J155" s="1"/>
      <x:c r="K155" s="1"/>
      <x:c r="L155" s="1"/>
      <x:c r="M155" s="1"/>
      <x:c r="N155" s="1"/>
      <x:c r="O155" s="1"/>
      <x:c r="P155" s="1"/>
      <x:c r="Q155" s="1"/>
      <x:c r="R155" s="1"/>
      <x:c r="S155" s="1"/>
      <x:c r="T155" s="1"/>
    </x:row>
    <x:row r="156" ht="18" customHeight="1">
      <x:c r="A156" s="1"/>
      <x:c r="B156" s="1"/>
      <x:c r="C156" s="1"/>
      <x:c r="D156" s="1"/>
      <x:c r="E156" s="1"/>
      <x:c r="F156" s="1"/>
      <x:c r="G156" s="1"/>
      <x:c r="H156" s="1"/>
      <x:c r="I156" s="1"/>
      <x:c r="J156" s="1"/>
      <x:c r="K156" s="1"/>
      <x:c r="L156" s="1"/>
      <x:c r="M156" s="1"/>
      <x:c r="N156" s="1"/>
      <x:c r="O156" s="1"/>
      <x:c r="P156" s="1"/>
      <x:c r="Q156" s="1"/>
      <x:c r="R156" s="1"/>
      <x:c r="S156" s="1"/>
      <x:c r="T156" s="1"/>
    </x:row>
    <x:row r="157" ht="18" customHeight="1">
      <x:c r="A157" s="1"/>
      <x:c r="B157" s="1"/>
      <x:c r="C157" s="1"/>
      <x:c r="D157" s="1"/>
      <x:c r="E157" s="1"/>
      <x:c r="F157" s="1"/>
      <x:c r="G157" s="1"/>
      <x:c r="H157" s="1"/>
      <x:c r="I157" s="1"/>
      <x:c r="J157" s="1"/>
      <x:c r="K157" s="1"/>
      <x:c r="L157" s="1"/>
      <x:c r="M157" s="1"/>
      <x:c r="N157" s="1"/>
      <x:c r="O157" s="1"/>
      <x:c r="P157" s="1"/>
      <x:c r="Q157" s="1"/>
      <x:c r="R157" s="1"/>
      <x:c r="S157" s="1"/>
      <x:c r="T157" s="1"/>
    </x:row>
    <x:row r="158" ht="18" customHeight="1">
      <x:c r="A158" s="1"/>
      <x:c r="B158" s="1"/>
      <x:c r="C158" s="1"/>
      <x:c r="D158" s="1"/>
      <x:c r="E158" s="1"/>
      <x:c r="F158" s="1"/>
      <x:c r="G158" s="1"/>
      <x:c r="H158" s="1"/>
      <x:c r="I158" s="1"/>
      <x:c r="J158" s="1"/>
      <x:c r="K158" s="1"/>
      <x:c r="L158" s="1"/>
      <x:c r="M158" s="1"/>
      <x:c r="N158" s="1"/>
      <x:c r="O158" s="1"/>
      <x:c r="P158" s="1"/>
      <x:c r="Q158" s="1"/>
      <x:c r="R158" s="1"/>
      <x:c r="S158" s="1"/>
      <x:c r="T158" s="1"/>
    </x:row>
    <x:row r="159" ht="18" customHeight="1">
      <x:c r="A159" s="1"/>
      <x:c r="B159" s="1"/>
      <x:c r="C159" s="1"/>
      <x:c r="D159" s="1"/>
      <x:c r="E159" s="1"/>
      <x:c r="F159" s="1"/>
      <x:c r="G159" s="1"/>
      <x:c r="H159" s="1"/>
      <x:c r="I159" s="1"/>
      <x:c r="J159" s="1"/>
      <x:c r="K159" s="1"/>
      <x:c r="L159" s="1"/>
      <x:c r="M159" s="1"/>
      <x:c r="N159" s="1"/>
      <x:c r="O159" s="1"/>
      <x:c r="P159" s="1"/>
      <x:c r="Q159" s="1"/>
      <x:c r="R159" s="1"/>
      <x:c r="S159" s="1"/>
      <x:c r="T159" s="1"/>
    </x:row>
    <x:row r="160" ht="18" customHeight="1">
      <x:c r="A160" s="1"/>
      <x:c r="B160" s="1"/>
      <x:c r="C160" s="1"/>
      <x:c r="D160" s="1"/>
      <x:c r="E160" s="1"/>
      <x:c r="F160" s="1"/>
      <x:c r="G160" s="1"/>
      <x:c r="H160" s="1"/>
      <x:c r="I160" s="1"/>
      <x:c r="J160" s="1"/>
      <x:c r="K160" s="1"/>
      <x:c r="L160" s="1"/>
      <x:c r="M160" s="1"/>
      <x:c r="N160" s="1"/>
      <x:c r="O160" s="1"/>
      <x:c r="P160" s="1"/>
      <x:c r="Q160" s="1"/>
      <x:c r="R160" s="1"/>
      <x:c r="S160" s="1"/>
      <x:c r="T160" s="1"/>
    </x:row>
    <x:row r="161" ht="18" customHeight="1">
      <x:c r="A161" s="1"/>
      <x:c r="B161" s="1"/>
      <x:c r="C161" s="1"/>
      <x:c r="D161" s="1"/>
      <x:c r="E161" s="1"/>
      <x:c r="F161" s="1"/>
      <x:c r="G161" s="1"/>
      <x:c r="H161" s="1"/>
      <x:c r="I161" s="1"/>
      <x:c r="J161" s="1"/>
      <x:c r="K161" s="1"/>
      <x:c r="L161" s="1"/>
      <x:c r="M161" s="1"/>
      <x:c r="N161" s="1"/>
      <x:c r="O161" s="1"/>
      <x:c r="P161" s="1"/>
      <x:c r="Q161" s="1"/>
      <x:c r="R161" s="1"/>
      <x:c r="S161" s="1"/>
      <x:c r="T161" s="1"/>
    </x:row>
    <x:row r="162" ht="18" customHeight="1">
      <x:c r="A162" s="1"/>
      <x:c r="B162" s="1"/>
      <x:c r="C162" s="1"/>
      <x:c r="D162" s="1"/>
      <x:c r="E162" s="1"/>
      <x:c r="F162" s="1"/>
      <x:c r="G162" s="1"/>
      <x:c r="H162" s="1"/>
      <x:c r="I162" s="1"/>
      <x:c r="J162" s="1"/>
      <x:c r="K162" s="1"/>
      <x:c r="L162" s="1"/>
      <x:c r="M162" s="1"/>
      <x:c r="N162" s="1"/>
      <x:c r="O162" s="1"/>
      <x:c r="P162" s="1"/>
      <x:c r="Q162" s="1"/>
      <x:c r="R162" s="1"/>
      <x:c r="S162" s="1"/>
      <x:c r="T162" s="1"/>
    </x:row>
    <x:row r="163" ht="18" customHeight="1">
      <x:c r="A163" s="1"/>
      <x:c r="B163" s="1"/>
      <x:c r="C163" s="1"/>
      <x:c r="D163" s="1"/>
      <x:c r="E163" s="1"/>
      <x:c r="F163" s="1"/>
      <x:c r="G163" s="1"/>
      <x:c r="H163" s="1"/>
      <x:c r="I163" s="1"/>
      <x:c r="J163" s="1"/>
      <x:c r="K163" s="1"/>
      <x:c r="L163" s="1"/>
      <x:c r="M163" s="1"/>
      <x:c r="N163" s="1"/>
      <x:c r="O163" s="1"/>
      <x:c r="P163" s="1"/>
      <x:c r="Q163" s="1"/>
      <x:c r="R163" s="1"/>
      <x:c r="S163" s="1"/>
      <x:c r="T163" s="1"/>
    </x:row>
    <x:row r="164" ht="18" customHeight="1">
      <x:c r="A164" s="1"/>
      <x:c r="B164" s="1"/>
      <x:c r="C164" s="1"/>
      <x:c r="D164" s="1"/>
      <x:c r="E164" s="1"/>
      <x:c r="F164" s="1"/>
      <x:c r="G164" s="1"/>
      <x:c r="H164" s="1"/>
      <x:c r="I164" s="1"/>
      <x:c r="J164" s="1"/>
      <x:c r="K164" s="1"/>
      <x:c r="L164" s="1"/>
      <x:c r="M164" s="1"/>
      <x:c r="N164" s="1"/>
      <x:c r="O164" s="1"/>
      <x:c r="P164" s="1"/>
      <x:c r="Q164" s="1"/>
      <x:c r="R164" s="1"/>
      <x:c r="S164" s="1"/>
      <x:c r="T164" s="1"/>
    </x:row>
    <x:row r="165" ht="18" customHeight="1">
      <x:c r="A165" s="1"/>
      <x:c r="B165" s="1"/>
      <x:c r="C165" s="1"/>
      <x:c r="D165" s="1"/>
      <x:c r="E165" s="1"/>
      <x:c r="F165" s="1"/>
      <x:c r="G165" s="1"/>
      <x:c r="H165" s="1"/>
      <x:c r="I165" s="1"/>
      <x:c r="J165" s="1"/>
      <x:c r="K165" s="1"/>
      <x:c r="L165" s="1"/>
      <x:c r="M165" s="1"/>
      <x:c r="N165" s="1"/>
      <x:c r="O165" s="1"/>
      <x:c r="P165" s="1"/>
      <x:c r="Q165" s="1"/>
      <x:c r="R165" s="1"/>
      <x:c r="S165" s="1"/>
      <x:c r="T165" s="1"/>
    </x:row>
    <x:row r="166" ht="18" customHeight="1">
      <x:c r="A166" s="1"/>
      <x:c r="B166" s="1"/>
      <x:c r="C166" s="1"/>
      <x:c r="D166" s="1"/>
      <x:c r="E166" s="1"/>
      <x:c r="F166" s="1"/>
      <x:c r="G166" s="1"/>
      <x:c r="H166" s="1"/>
      <x:c r="I166" s="1"/>
      <x:c r="J166" s="1"/>
      <x:c r="K166" s="1"/>
      <x:c r="L166" s="1"/>
      <x:c r="M166" s="1"/>
      <x:c r="N166" s="1"/>
      <x:c r="O166" s="1"/>
      <x:c r="P166" s="1"/>
      <x:c r="Q166" s="1"/>
      <x:c r="R166" s="1"/>
      <x:c r="S166" s="1"/>
      <x:c r="T166" s="1"/>
    </x:row>
    <x:row r="167" ht="18" customHeight="1">
      <x:c r="A167" s="1"/>
      <x:c r="B167" s="1"/>
      <x:c r="C167" s="1"/>
      <x:c r="D167" s="1"/>
      <x:c r="E167" s="1"/>
      <x:c r="F167" s="1"/>
      <x:c r="G167" s="1"/>
      <x:c r="H167" s="1"/>
      <x:c r="I167" s="1"/>
      <x:c r="J167" s="1"/>
      <x:c r="K167" s="1"/>
      <x:c r="L167" s="1"/>
      <x:c r="M167" s="1"/>
      <x:c r="N167" s="1"/>
      <x:c r="O167" s="1"/>
      <x:c r="P167" s="1"/>
      <x:c r="Q167" s="1"/>
      <x:c r="R167" s="1"/>
      <x:c r="S167" s="1"/>
      <x:c r="T167" s="1"/>
    </x:row>
    <x:row r="168" ht="18" customHeight="1">
      <x:c r="A168" s="1"/>
      <x:c r="B168" s="1"/>
      <x:c r="C168" s="1"/>
      <x:c r="D168" s="1"/>
      <x:c r="E168" s="1"/>
      <x:c r="F168" s="1"/>
      <x:c r="G168" s="1"/>
      <x:c r="H168" s="1"/>
      <x:c r="I168" s="1"/>
      <x:c r="J168" s="1"/>
      <x:c r="K168" s="1"/>
      <x:c r="L168" s="1"/>
      <x:c r="M168" s="1"/>
      <x:c r="N168" s="1"/>
      <x:c r="O168" s="1"/>
      <x:c r="P168" s="1"/>
      <x:c r="Q168" s="1"/>
      <x:c r="R168" s="1"/>
      <x:c r="S168" s="1"/>
      <x:c r="T168" s="1"/>
    </x:row>
    <x:row r="169" ht="18" customHeight="1">
      <x:c r="A169" s="1"/>
      <x:c r="B169" s="1"/>
      <x:c r="C169" s="1"/>
      <x:c r="D169" s="1"/>
      <x:c r="E169" s="1"/>
      <x:c r="F169" s="1"/>
      <x:c r="G169" s="1"/>
      <x:c r="H169" s="1"/>
      <x:c r="I169" s="1"/>
      <x:c r="J169" s="1"/>
      <x:c r="K169" s="1"/>
      <x:c r="L169" s="1"/>
      <x:c r="M169" s="1"/>
      <x:c r="N169" s="1"/>
      <x:c r="O169" s="1"/>
      <x:c r="P169" s="1"/>
      <x:c r="Q169" s="1"/>
      <x:c r="R169" s="1"/>
      <x:c r="S169" s="1"/>
      <x:c r="T169" s="1"/>
    </x:row>
    <x:row r="170" ht="18" customHeight="1">
      <x:c r="A170" s="1"/>
      <x:c r="B170" s="1"/>
      <x:c r="C170" s="1"/>
      <x:c r="D170" s="1"/>
      <x:c r="E170" s="1"/>
      <x:c r="F170" s="1"/>
      <x:c r="G170" s="1"/>
      <x:c r="H170" s="1"/>
      <x:c r="I170" s="1"/>
      <x:c r="J170" s="1"/>
      <x:c r="K170" s="1"/>
      <x:c r="L170" s="1"/>
      <x:c r="M170" s="1"/>
      <x:c r="N170" s="1"/>
      <x:c r="O170" s="1"/>
      <x:c r="P170" s="1"/>
      <x:c r="Q170" s="1"/>
      <x:c r="R170" s="1"/>
      <x:c r="S170" s="1"/>
      <x:c r="T170" s="1"/>
    </x:row>
    <x:row r="171" ht="18" customHeight="1">
      <x:c r="A171" s="1"/>
      <x:c r="B171" s="1"/>
      <x:c r="C171" s="1"/>
      <x:c r="D171" s="1"/>
      <x:c r="E171" s="1"/>
      <x:c r="F171" s="1"/>
      <x:c r="G171" s="1"/>
      <x:c r="H171" s="1"/>
      <x:c r="I171" s="1"/>
      <x:c r="J171" s="1"/>
      <x:c r="K171" s="1"/>
      <x:c r="L171" s="1"/>
      <x:c r="M171" s="1"/>
      <x:c r="N171" s="1"/>
      <x:c r="O171" s="1"/>
      <x:c r="P171" s="1"/>
      <x:c r="Q171" s="1"/>
      <x:c r="R171" s="1"/>
      <x:c r="S171" s="1"/>
      <x:c r="T171" s="1"/>
    </x:row>
    <x:row r="172" ht="18" customHeight="1">
      <x:c r="A172" s="1"/>
      <x:c r="B172" s="1"/>
      <x:c r="C172" s="1"/>
      <x:c r="D172" s="1"/>
      <x:c r="E172" s="1"/>
      <x:c r="F172" s="1"/>
      <x:c r="G172" s="1"/>
      <x:c r="H172" s="1"/>
      <x:c r="I172" s="1"/>
      <x:c r="J172" s="1"/>
      <x:c r="K172" s="1"/>
      <x:c r="L172" s="1"/>
      <x:c r="M172" s="1"/>
      <x:c r="N172" s="1"/>
      <x:c r="O172" s="1"/>
      <x:c r="P172" s="1"/>
      <x:c r="Q172" s="1"/>
      <x:c r="R172" s="1"/>
      <x:c r="S172" s="1"/>
      <x:c r="T172" s="1"/>
    </x:row>
    <x:row r="173" ht="18" customHeight="1">
      <x:c r="A173" s="1"/>
      <x:c r="B173" s="1"/>
      <x:c r="C173" s="1"/>
      <x:c r="D173" s="1"/>
      <x:c r="E173" s="1"/>
      <x:c r="F173" s="1"/>
      <x:c r="G173" s="1"/>
      <x:c r="H173" s="1"/>
      <x:c r="I173" s="1"/>
      <x:c r="J173" s="1"/>
      <x:c r="K173" s="1"/>
      <x:c r="L173" s="1"/>
      <x:c r="M173" s="1"/>
      <x:c r="N173" s="1"/>
      <x:c r="O173" s="1"/>
      <x:c r="P173" s="1"/>
      <x:c r="Q173" s="1"/>
      <x:c r="R173" s="1"/>
      <x:c r="S173" s="1"/>
      <x:c r="T173" s="1"/>
    </x:row>
    <x:row r="174" ht="18" customHeight="1">
      <x:c r="A174" s="1"/>
      <x:c r="B174" s="1"/>
      <x:c r="C174" s="1"/>
      <x:c r="D174" s="1"/>
      <x:c r="E174" s="1"/>
      <x:c r="F174" s="1"/>
      <x:c r="G174" s="1"/>
      <x:c r="H174" s="1"/>
      <x:c r="I174" s="1"/>
      <x:c r="J174" s="1"/>
      <x:c r="K174" s="1"/>
      <x:c r="L174" s="1"/>
      <x:c r="M174" s="1"/>
      <x:c r="N174" s="1"/>
      <x:c r="O174" s="1"/>
      <x:c r="P174" s="1"/>
      <x:c r="Q174" s="1"/>
      <x:c r="R174" s="1"/>
      <x:c r="S174" s="1"/>
      <x:c r="T174" s="1"/>
    </x:row>
    <x:row r="175" ht="18" customHeight="1">
      <x:c r="A175" s="1"/>
      <x:c r="B175" s="1"/>
      <x:c r="C175" s="1"/>
      <x:c r="D175" s="1"/>
      <x:c r="E175" s="1"/>
      <x:c r="F175" s="1"/>
      <x:c r="G175" s="1"/>
      <x:c r="H175" s="1"/>
      <x:c r="I175" s="1"/>
      <x:c r="J175" s="1"/>
      <x:c r="K175" s="1"/>
      <x:c r="L175" s="1"/>
      <x:c r="M175" s="1"/>
      <x:c r="N175" s="1"/>
      <x:c r="O175" s="1"/>
      <x:c r="P175" s="1"/>
      <x:c r="Q175" s="1"/>
      <x:c r="R175" s="1"/>
      <x:c r="S175" s="1"/>
      <x:c r="T175" s="1"/>
    </x:row>
    <x:row r="176" ht="18" customHeight="1">
      <x:c r="A176" s="1"/>
      <x:c r="B176" s="1"/>
      <x:c r="C176" s="1"/>
      <x:c r="D176" s="1"/>
      <x:c r="E176" s="1"/>
      <x:c r="F176" s="1"/>
      <x:c r="G176" s="1"/>
      <x:c r="H176" s="1"/>
      <x:c r="I176" s="1"/>
      <x:c r="J176" s="1"/>
      <x:c r="K176" s="1"/>
      <x:c r="L176" s="1"/>
      <x:c r="M176" s="1"/>
      <x:c r="N176" s="1"/>
      <x:c r="O176" s="1"/>
      <x:c r="P176" s="1"/>
      <x:c r="Q176" s="1"/>
      <x:c r="R176" s="1"/>
      <x:c r="S176" s="1"/>
      <x:c r="T176" s="1"/>
    </x:row>
    <x:row r="177" ht="18" customHeight="1">
      <x:c r="A177" s="1"/>
      <x:c r="B177" s="1"/>
      <x:c r="C177" s="1"/>
      <x:c r="D177" s="1"/>
      <x:c r="E177" s="1"/>
      <x:c r="F177" s="1"/>
      <x:c r="G177" s="1"/>
      <x:c r="H177" s="1"/>
      <x:c r="I177" s="1"/>
      <x:c r="J177" s="1"/>
      <x:c r="K177" s="1"/>
      <x:c r="L177" s="1"/>
      <x:c r="M177" s="1"/>
      <x:c r="N177" s="1"/>
      <x:c r="O177" s="1"/>
      <x:c r="P177" s="1"/>
      <x:c r="Q177" s="1"/>
      <x:c r="R177" s="1"/>
      <x:c r="S177" s="1"/>
      <x:c r="T177" s="1"/>
    </x:row>
    <x:row r="178" ht="18" customHeight="1">
      <x:c r="A178" s="1"/>
      <x:c r="B178" s="1"/>
      <x:c r="C178" s="1"/>
      <x:c r="D178" s="1"/>
      <x:c r="E178" s="1"/>
      <x:c r="F178" s="1"/>
      <x:c r="G178" s="1"/>
      <x:c r="H178" s="1"/>
      <x:c r="I178" s="1"/>
      <x:c r="J178" s="1"/>
      <x:c r="K178" s="1"/>
      <x:c r="L178" s="1"/>
      <x:c r="M178" s="1"/>
      <x:c r="N178" s="1"/>
      <x:c r="O178" s="1"/>
      <x:c r="P178" s="1"/>
      <x:c r="Q178" s="1"/>
      <x:c r="R178" s="1"/>
      <x:c r="S178" s="1"/>
      <x:c r="T178" s="1"/>
    </x:row>
    <x:row r="179" ht="18" customHeight="1">
      <x:c r="A179" s="1"/>
      <x:c r="B179" s="1"/>
      <x:c r="C179" s="1"/>
      <x:c r="D179" s="1"/>
      <x:c r="E179" s="1"/>
      <x:c r="F179" s="1"/>
      <x:c r="G179" s="1"/>
      <x:c r="H179" s="1"/>
      <x:c r="I179" s="1"/>
      <x:c r="J179" s="1"/>
      <x:c r="K179" s="1"/>
      <x:c r="L179" s="1"/>
      <x:c r="M179" s="1"/>
      <x:c r="N179" s="1"/>
      <x:c r="O179" s="1"/>
      <x:c r="P179" s="1"/>
      <x:c r="Q179" s="1"/>
      <x:c r="R179" s="1"/>
      <x:c r="S179" s="1"/>
      <x:c r="T179" s="1"/>
    </x:row>
    <x:row r="180" ht="18" customHeight="1">
      <x:c r="A180" s="1"/>
      <x:c r="B180" s="1"/>
      <x:c r="C180" s="1"/>
      <x:c r="D180" s="1"/>
      <x:c r="E180" s="1"/>
      <x:c r="F180" s="1"/>
      <x:c r="G180" s="1"/>
      <x:c r="H180" s="1"/>
      <x:c r="I180" s="1"/>
      <x:c r="J180" s="1"/>
      <x:c r="K180" s="1"/>
      <x:c r="L180" s="1"/>
      <x:c r="M180" s="1"/>
      <x:c r="N180" s="1"/>
      <x:c r="O180" s="1"/>
      <x:c r="P180" s="1"/>
      <x:c r="Q180" s="1"/>
      <x:c r="R180" s="1"/>
      <x:c r="S180" s="1"/>
      <x:c r="T180" s="1"/>
    </x:row>
    <x:row r="181" ht="18" customHeight="1">
      <x:c r="A181" s="1"/>
      <x:c r="B181" s="1"/>
      <x:c r="C181" s="1"/>
      <x:c r="D181" s="1"/>
      <x:c r="E181" s="1"/>
      <x:c r="F181" s="1"/>
      <x:c r="G181" s="1"/>
      <x:c r="H181" s="1"/>
      <x:c r="I181" s="1"/>
      <x:c r="J181" s="1"/>
      <x:c r="K181" s="1"/>
      <x:c r="L181" s="1"/>
      <x:c r="M181" s="1"/>
      <x:c r="N181" s="1"/>
      <x:c r="O181" s="1"/>
      <x:c r="P181" s="1"/>
      <x:c r="Q181" s="1"/>
      <x:c r="R181" s="1"/>
      <x:c r="S181" s="1"/>
      <x:c r="T181" s="1"/>
    </x:row>
    <x:row r="182" ht="18" customHeight="1">
      <x:c r="A182" s="1"/>
      <x:c r="B182" s="1"/>
      <x:c r="C182" s="1"/>
      <x:c r="D182" s="1"/>
      <x:c r="E182" s="1"/>
      <x:c r="F182" s="1"/>
      <x:c r="G182" s="1"/>
      <x:c r="H182" s="1"/>
      <x:c r="I182" s="1"/>
      <x:c r="J182" s="1"/>
      <x:c r="K182" s="1"/>
      <x:c r="L182" s="1"/>
      <x:c r="M182" s="1"/>
      <x:c r="N182" s="1"/>
      <x:c r="O182" s="1"/>
      <x:c r="P182" s="1"/>
      <x:c r="Q182" s="1"/>
      <x:c r="R182" s="1"/>
      <x:c r="S182" s="1"/>
      <x:c r="T182" s="1"/>
    </x:row>
    <x:row r="183" ht="18" customHeight="1">
      <x:c r="A183" s="1"/>
      <x:c r="B183" s="1"/>
      <x:c r="C183" s="1"/>
      <x:c r="D183" s="1"/>
      <x:c r="E183" s="1"/>
      <x:c r="F183" s="1"/>
      <x:c r="G183" s="1"/>
      <x:c r="H183" s="1"/>
      <x:c r="I183" s="1"/>
      <x:c r="J183" s="1"/>
      <x:c r="K183" s="1"/>
      <x:c r="L183" s="1"/>
      <x:c r="M183" s="1"/>
      <x:c r="N183" s="1"/>
      <x:c r="O183" s="1"/>
      <x:c r="P183" s="1"/>
      <x:c r="Q183" s="1"/>
      <x:c r="R183" s="1"/>
      <x:c r="S183" s="1"/>
      <x:c r="T183" s="1"/>
    </x:row>
    <x:row r="184" ht="18" customHeight="1">
      <x:c r="A184" s="1"/>
      <x:c r="B184" s="1"/>
      <x:c r="C184" s="1"/>
      <x:c r="D184" s="1"/>
      <x:c r="E184" s="1"/>
      <x:c r="F184" s="1"/>
      <x:c r="G184" s="1"/>
      <x:c r="H184" s="1"/>
      <x:c r="I184" s="1"/>
      <x:c r="J184" s="1"/>
      <x:c r="K184" s="1"/>
      <x:c r="L184" s="1"/>
      <x:c r="M184" s="1"/>
      <x:c r="N184" s="1"/>
      <x:c r="O184" s="1"/>
      <x:c r="P184" s="1"/>
      <x:c r="Q184" s="1"/>
      <x:c r="R184" s="1"/>
      <x:c r="S184" s="1"/>
      <x:c r="T184" s="1"/>
    </x:row>
    <x:row r="185" ht="18" customHeight="1">
      <x:c r="A185" s="1"/>
      <x:c r="B185" s="1"/>
      <x:c r="C185" s="1"/>
      <x:c r="D185" s="1"/>
      <x:c r="E185" s="1"/>
      <x:c r="F185" s="1"/>
      <x:c r="G185" s="1"/>
      <x:c r="H185" s="1"/>
      <x:c r="I185" s="1"/>
      <x:c r="J185" s="1"/>
      <x:c r="K185" s="1"/>
      <x:c r="L185" s="1"/>
      <x:c r="M185" s="1"/>
      <x:c r="N185" s="1"/>
      <x:c r="O185" s="1"/>
      <x:c r="P185" s="1"/>
      <x:c r="Q185" s="1"/>
      <x:c r="R185" s="1"/>
      <x:c r="S185" s="1"/>
      <x:c r="T185" s="1"/>
    </x:row>
    <x:row r="186" ht="18" customHeight="1">
      <x:c r="A186" s="1"/>
      <x:c r="B186" s="1"/>
      <x:c r="C186" s="1"/>
      <x:c r="D186" s="1"/>
      <x:c r="E186" s="1"/>
      <x:c r="F186" s="1"/>
      <x:c r="G186" s="1"/>
      <x:c r="H186" s="1"/>
      <x:c r="I186" s="1"/>
      <x:c r="J186" s="1"/>
      <x:c r="K186" s="1"/>
      <x:c r="L186" s="1"/>
      <x:c r="M186" s="1"/>
      <x:c r="N186" s="1"/>
      <x:c r="O186" s="1"/>
      <x:c r="P186" s="1"/>
      <x:c r="Q186" s="1"/>
      <x:c r="R186" s="1"/>
      <x:c r="S186" s="1"/>
      <x:c r="T186" s="1"/>
    </x:row>
    <x:row r="187" ht="18" customHeight="1">
      <x:c r="A187" s="1"/>
      <x:c r="B187" s="1"/>
      <x:c r="C187" s="1"/>
      <x:c r="D187" s="1"/>
      <x:c r="E187" s="1"/>
      <x:c r="F187" s="1"/>
      <x:c r="G187" s="1"/>
      <x:c r="H187" s="1"/>
      <x:c r="I187" s="1"/>
      <x:c r="J187" s="1"/>
      <x:c r="K187" s="1"/>
      <x:c r="L187" s="1"/>
      <x:c r="M187" s="1"/>
      <x:c r="N187" s="1"/>
      <x:c r="O187" s="1"/>
      <x:c r="P187" s="1"/>
      <x:c r="Q187" s="1"/>
      <x:c r="R187" s="1"/>
      <x:c r="S187" s="1"/>
      <x:c r="T187" s="1"/>
    </x:row>
    <x:row r="188" ht="18" customHeight="1">
      <x:c r="A188" s="1"/>
      <x:c r="B188" s="1"/>
      <x:c r="C188" s="1"/>
      <x:c r="D188" s="1"/>
      <x:c r="E188" s="1"/>
      <x:c r="F188" s="1"/>
      <x:c r="G188" s="1"/>
      <x:c r="H188" s="1"/>
      <x:c r="I188" s="1"/>
      <x:c r="J188" s="1"/>
      <x:c r="K188" s="1"/>
      <x:c r="L188" s="1"/>
      <x:c r="M188" s="1"/>
      <x:c r="N188" s="1"/>
      <x:c r="O188" s="1"/>
      <x:c r="P188" s="1"/>
      <x:c r="Q188" s="1"/>
      <x:c r="R188" s="1"/>
      <x:c r="S188" s="1"/>
      <x:c r="T188" s="1"/>
    </x:row>
    <x:row r="189" ht="18" customHeight="1">
      <x:c r="A189" s="1"/>
      <x:c r="B189" s="1"/>
      <x:c r="C189" s="1"/>
      <x:c r="D189" s="1"/>
      <x:c r="E189" s="1"/>
      <x:c r="F189" s="1"/>
      <x:c r="G189" s="1"/>
      <x:c r="H189" s="1"/>
      <x:c r="I189" s="1"/>
      <x:c r="J189" s="1"/>
      <x:c r="K189" s="1"/>
      <x:c r="L189" s="1"/>
      <x:c r="M189" s="1"/>
      <x:c r="N189" s="1"/>
      <x:c r="O189" s="1"/>
      <x:c r="P189" s="1"/>
      <x:c r="Q189" s="1"/>
      <x:c r="R189" s="1"/>
      <x:c r="S189" s="1"/>
      <x:c r="T189" s="1"/>
    </x:row>
    <x:row r="190" ht="18" customHeight="1">
      <x:c r="A190" s="1"/>
      <x:c r="B190" s="1"/>
      <x:c r="C190" s="1"/>
      <x:c r="D190" s="1"/>
      <x:c r="E190" s="1"/>
      <x:c r="F190" s="1"/>
      <x:c r="G190" s="1"/>
      <x:c r="H190" s="1"/>
      <x:c r="I190" s="1"/>
      <x:c r="J190" s="1"/>
      <x:c r="K190" s="1"/>
      <x:c r="L190" s="1"/>
      <x:c r="M190" s="1"/>
      <x:c r="N190" s="1"/>
      <x:c r="O190" s="1"/>
      <x:c r="P190" s="1"/>
      <x:c r="Q190" s="1"/>
      <x:c r="R190" s="1"/>
      <x:c r="S190" s="1"/>
      <x:c r="T190" s="1"/>
    </x:row>
    <x:row r="191" ht="18" customHeight="1">
      <x:c r="A191" s="1"/>
      <x:c r="B191" s="1"/>
      <x:c r="C191" s="1"/>
      <x:c r="D191" s="1"/>
      <x:c r="E191" s="1"/>
      <x:c r="F191" s="1"/>
      <x:c r="G191" s="1"/>
      <x:c r="H191" s="1"/>
      <x:c r="I191" s="1"/>
      <x:c r="J191" s="1"/>
      <x:c r="K191" s="1"/>
      <x:c r="L191" s="1"/>
      <x:c r="M191" s="1"/>
      <x:c r="N191" s="1"/>
      <x:c r="O191" s="1"/>
      <x:c r="P191" s="1"/>
      <x:c r="Q191" s="1"/>
      <x:c r="R191" s="1"/>
      <x:c r="S191" s="1"/>
      <x:c r="T191" s="1"/>
    </x:row>
    <x:row r="192" ht="18" customHeight="1">
      <x:c r="A192" s="1"/>
      <x:c r="B192" s="1"/>
      <x:c r="C192" s="1"/>
      <x:c r="D192" s="1"/>
      <x:c r="E192" s="1"/>
      <x:c r="F192" s="1"/>
      <x:c r="G192" s="1"/>
      <x:c r="H192" s="1"/>
      <x:c r="I192" s="1"/>
      <x:c r="J192" s="1"/>
      <x:c r="K192" s="1"/>
      <x:c r="L192" s="1"/>
      <x:c r="M192" s="1"/>
      <x:c r="N192" s="1"/>
      <x:c r="O192" s="1"/>
      <x:c r="P192" s="1"/>
      <x:c r="Q192" s="1"/>
      <x:c r="R192" s="1"/>
      <x:c r="S192" s="1"/>
      <x:c r="T192" s="1"/>
    </x:row>
    <x:row r="193" ht="18" customHeight="1">
      <x:c r="A193" s="1"/>
      <x:c r="B193" s="1"/>
      <x:c r="C193" s="1"/>
      <x:c r="D193" s="1"/>
      <x:c r="E193" s="1"/>
      <x:c r="F193" s="1"/>
      <x:c r="G193" s="1"/>
      <x:c r="H193" s="1"/>
      <x:c r="I193" s="1"/>
      <x:c r="J193" s="1"/>
      <x:c r="K193" s="1"/>
      <x:c r="L193" s="1"/>
      <x:c r="M193" s="1"/>
      <x:c r="N193" s="1"/>
      <x:c r="O193" s="1"/>
      <x:c r="P193" s="1"/>
      <x:c r="Q193" s="1"/>
      <x:c r="R193" s="1"/>
      <x:c r="S193" s="1"/>
      <x:c r="T193" s="1"/>
    </x:row>
    <x:row r="194" ht="18" customHeight="1">
      <x:c r="A194" s="1"/>
      <x:c r="B194" s="1"/>
      <x:c r="C194" s="1"/>
      <x:c r="D194" s="1"/>
      <x:c r="E194" s="1"/>
      <x:c r="F194" s="1"/>
      <x:c r="G194" s="1"/>
      <x:c r="H194" s="1"/>
      <x:c r="I194" s="1"/>
      <x:c r="J194" s="1"/>
      <x:c r="K194" s="1"/>
      <x:c r="L194" s="1"/>
      <x:c r="M194" s="1"/>
      <x:c r="N194" s="1"/>
      <x:c r="O194" s="1"/>
      <x:c r="P194" s="1"/>
      <x:c r="Q194" s="1"/>
      <x:c r="R194" s="1"/>
      <x:c r="S194" s="1"/>
      <x:c r="T194" s="1"/>
    </x:row>
    <x:row r="195" ht="18" customHeight="1">
      <x:c r="A195" s="1"/>
      <x:c r="B195" s="1"/>
      <x:c r="C195" s="1"/>
      <x:c r="D195" s="1"/>
      <x:c r="E195" s="1"/>
      <x:c r="F195" s="1"/>
      <x:c r="G195" s="1"/>
      <x:c r="H195" s="1"/>
      <x:c r="I195" s="1"/>
      <x:c r="J195" s="1"/>
      <x:c r="K195" s="1"/>
      <x:c r="L195" s="1"/>
      <x:c r="M195" s="1"/>
      <x:c r="N195" s="1"/>
      <x:c r="O195" s="1"/>
      <x:c r="P195" s="1"/>
      <x:c r="Q195" s="1"/>
      <x:c r="R195" s="1"/>
      <x:c r="S195" s="1"/>
      <x:c r="T195" s="1"/>
    </x:row>
    <x:row r="196" ht="18" customHeight="1">
      <x:c r="A196" s="1"/>
      <x:c r="B196" s="1"/>
      <x:c r="C196" s="1"/>
      <x:c r="D196" s="1"/>
      <x:c r="E196" s="1"/>
      <x:c r="F196" s="1"/>
      <x:c r="G196" s="1"/>
      <x:c r="H196" s="1"/>
      <x:c r="I196" s="1"/>
      <x:c r="J196" s="1"/>
      <x:c r="K196" s="1"/>
      <x:c r="L196" s="1"/>
      <x:c r="M196" s="1"/>
      <x:c r="N196" s="1"/>
      <x:c r="O196" s="1"/>
      <x:c r="P196" s="1"/>
      <x:c r="Q196" s="1"/>
      <x:c r="R196" s="1"/>
      <x:c r="S196" s="1"/>
      <x:c r="T196" s="1"/>
    </x:row>
    <x:row r="197" ht="18" customHeight="1">
      <x:c r="A197" s="1"/>
      <x:c r="B197" s="1"/>
      <x:c r="C197" s="1"/>
      <x:c r="D197" s="1"/>
      <x:c r="E197" s="1"/>
      <x:c r="F197" s="1"/>
      <x:c r="G197" s="1"/>
      <x:c r="H197" s="1"/>
      <x:c r="I197" s="1"/>
      <x:c r="J197" s="1"/>
      <x:c r="K197" s="1"/>
      <x:c r="L197" s="1"/>
      <x:c r="M197" s="1"/>
      <x:c r="N197" s="1"/>
      <x:c r="O197" s="1"/>
      <x:c r="P197" s="1"/>
      <x:c r="Q197" s="1"/>
      <x:c r="R197" s="1"/>
      <x:c r="S197" s="1"/>
      <x:c r="T197" s="1"/>
    </x:row>
    <x:row r="198" ht="18" customHeight="1">
      <x:c r="A198" s="1"/>
      <x:c r="B198" s="1"/>
      <x:c r="C198" s="1"/>
      <x:c r="D198" s="1"/>
      <x:c r="E198" s="1"/>
      <x:c r="F198" s="1"/>
      <x:c r="G198" s="1"/>
      <x:c r="H198" s="1"/>
      <x:c r="I198" s="1"/>
      <x:c r="J198" s="1"/>
      <x:c r="K198" s="1"/>
      <x:c r="L198" s="1"/>
      <x:c r="M198" s="1"/>
      <x:c r="N198" s="1"/>
      <x:c r="O198" s="1"/>
      <x:c r="P198" s="1"/>
      <x:c r="Q198" s="1"/>
      <x:c r="R198" s="1"/>
      <x:c r="S198" s="1"/>
      <x:c r="T198" s="1"/>
    </x:row>
    <x:row r="199" ht="18" customHeight="1">
      <x:c r="A199" s="1"/>
      <x:c r="B199" s="1"/>
      <x:c r="C199" s="1"/>
      <x:c r="D199" s="1"/>
      <x:c r="E199" s="1"/>
      <x:c r="F199" s="1"/>
      <x:c r="G199" s="1"/>
      <x:c r="H199" s="1"/>
      <x:c r="I199" s="1"/>
      <x:c r="J199" s="1"/>
      <x:c r="K199" s="1"/>
      <x:c r="L199" s="1"/>
      <x:c r="M199" s="1"/>
      <x:c r="N199" s="1"/>
      <x:c r="O199" s="1"/>
      <x:c r="P199" s="1"/>
      <x:c r="Q199" s="1"/>
      <x:c r="R199" s="1"/>
      <x:c r="S199" s="1"/>
      <x:c r="T199" s="1"/>
    </x:row>
    <x:row r="200" ht="18" customHeight="1">
      <x:c r="A200" s="1"/>
      <x:c r="B200" s="1"/>
      <x:c r="C200" s="1"/>
      <x:c r="D200" s="1"/>
      <x:c r="E200" s="1"/>
      <x:c r="F200" s="1"/>
      <x:c r="G200" s="1"/>
      <x:c r="H200" s="1"/>
      <x:c r="I200" s="1"/>
      <x:c r="J200" s="1"/>
      <x:c r="K200" s="1"/>
      <x:c r="L200" s="1"/>
      <x:c r="M200" s="1"/>
      <x:c r="N200" s="1"/>
      <x:c r="O200" s="1"/>
      <x:c r="P200" s="1"/>
      <x:c r="Q200" s="1"/>
      <x:c r="R200" s="1"/>
      <x:c r="S200" s="1"/>
      <x:c r="T200" s="1"/>
    </x:row>
    <x:row r="201" ht="18" customHeight="1">
      <x:c r="A201" s="1"/>
      <x:c r="B201" s="1"/>
      <x:c r="C201" s="1"/>
      <x:c r="D201" s="1"/>
      <x:c r="E201" s="1"/>
      <x:c r="F201" s="1"/>
      <x:c r="G201" s="1"/>
      <x:c r="H201" s="1"/>
      <x:c r="I201" s="1"/>
      <x:c r="J201" s="1"/>
      <x:c r="K201" s="1"/>
      <x:c r="L201" s="1"/>
      <x:c r="M201" s="1"/>
      <x:c r="N201" s="1"/>
      <x:c r="O201" s="1"/>
      <x:c r="P201" s="1"/>
      <x:c r="Q201" s="1"/>
      <x:c r="R201" s="1"/>
      <x:c r="S201" s="1"/>
      <x:c r="T201" s="1"/>
    </x:row>
    <x:row r="202" ht="18" customHeight="1">
      <x:c r="A202" s="1"/>
      <x:c r="B202" s="1"/>
      <x:c r="C202" s="1"/>
      <x:c r="D202" s="1"/>
      <x:c r="E202" s="1"/>
      <x:c r="F202" s="1"/>
      <x:c r="G202" s="1"/>
      <x:c r="H202" s="1"/>
      <x:c r="I202" s="1"/>
      <x:c r="J202" s="1"/>
      <x:c r="K202" s="1"/>
      <x:c r="L202" s="1"/>
      <x:c r="M202" s="1"/>
      <x:c r="N202" s="1"/>
      <x:c r="O202" s="1"/>
      <x:c r="P202" s="1"/>
      <x:c r="Q202" s="1"/>
      <x:c r="R202" s="1"/>
      <x:c r="S202" s="1"/>
      <x:c r="T202" s="1"/>
    </x:row>
    <x:row r="203" ht="18" customHeight="1">
      <x:c r="A203" s="1"/>
      <x:c r="B203" s="1"/>
      <x:c r="C203" s="1"/>
      <x:c r="D203" s="1"/>
      <x:c r="E203" s="1"/>
      <x:c r="F203" s="1"/>
      <x:c r="G203" s="1"/>
      <x:c r="H203" s="1"/>
      <x:c r="I203" s="1"/>
      <x:c r="J203" s="1"/>
      <x:c r="K203" s="1"/>
      <x:c r="L203" s="1"/>
      <x:c r="M203" s="1"/>
      <x:c r="N203" s="1"/>
      <x:c r="O203" s="1"/>
      <x:c r="P203" s="1"/>
      <x:c r="Q203" s="1"/>
      <x:c r="R203" s="1"/>
      <x:c r="S203" s="1"/>
      <x:c r="T203" s="1"/>
    </x:row>
    <x:row r="204" ht="18" customHeight="1">
      <x:c r="A204" s="1"/>
      <x:c r="B204" s="1"/>
      <x:c r="C204" s="1"/>
      <x:c r="D204" s="1"/>
      <x:c r="E204" s="1"/>
      <x:c r="F204" s="1"/>
      <x:c r="G204" s="1"/>
      <x:c r="H204" s="1"/>
      <x:c r="I204" s="1"/>
      <x:c r="J204" s="1"/>
      <x:c r="K204" s="1"/>
      <x:c r="L204" s="1"/>
      <x:c r="M204" s="1"/>
      <x:c r="N204" s="1"/>
      <x:c r="O204" s="1"/>
      <x:c r="P204" s="1"/>
      <x:c r="Q204" s="1"/>
      <x:c r="R204" s="1"/>
      <x:c r="S204" s="1"/>
      <x:c r="T204" s="1"/>
    </x:row>
    <x:row r="205" ht="18" customHeight="1">
      <x:c r="A205" s="1"/>
      <x:c r="B205" s="1"/>
      <x:c r="C205" s="1"/>
      <x:c r="D205" s="1"/>
      <x:c r="E205" s="1"/>
      <x:c r="F205" s="1"/>
      <x:c r="G205" s="1"/>
      <x:c r="H205" s="1"/>
      <x:c r="I205" s="1"/>
      <x:c r="J205" s="1"/>
      <x:c r="K205" s="1"/>
      <x:c r="L205" s="1"/>
      <x:c r="M205" s="1"/>
      <x:c r="N205" s="1"/>
      <x:c r="O205" s="1"/>
      <x:c r="P205" s="1"/>
      <x:c r="Q205" s="1"/>
      <x:c r="R205" s="1"/>
      <x:c r="S205" s="1"/>
      <x:c r="T205" s="1"/>
    </x:row>
    <x:row r="206" ht="18" customHeight="1">
      <x:c r="A206" s="1"/>
      <x:c r="B206" s="1"/>
      <x:c r="C206" s="1"/>
      <x:c r="D206" s="1"/>
      <x:c r="E206" s="1"/>
      <x:c r="F206" s="1"/>
      <x:c r="G206" s="1"/>
      <x:c r="H206" s="1"/>
      <x:c r="I206" s="1"/>
      <x:c r="J206" s="1"/>
      <x:c r="K206" s="1"/>
      <x:c r="L206" s="1"/>
      <x:c r="M206" s="1"/>
      <x:c r="N206" s="1"/>
      <x:c r="O206" s="1"/>
      <x:c r="P206" s="1"/>
      <x:c r="Q206" s="1"/>
      <x:c r="R206" s="1"/>
      <x:c r="S206" s="1"/>
      <x:c r="T206" s="1"/>
    </x:row>
    <x:row r="207" ht="18" customHeight="1">
      <x:c r="A207" s="1"/>
      <x:c r="B207" s="1"/>
      <x:c r="C207" s="1"/>
      <x:c r="D207" s="1"/>
      <x:c r="E207" s="1"/>
      <x:c r="F207" s="1"/>
      <x:c r="G207" s="1"/>
      <x:c r="H207" s="1"/>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sheetData>
  <x:mergeCells>
    <x:mergeCell ref="B3:H3"/>
    <x:mergeCell ref="B4:H4"/>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6" hidden="0" customWidth="1"/>
    <x:col min="3" max="3" width="13" hidden="0" customWidth="1"/>
    <x:col min="4" max="4" width="23" hidden="0" customWidth="1"/>
    <x:col min="5" max="5" width="43.0099983215332" hidden="0" customWidth="1"/>
    <x:col min="6" max="6" width="15" hidden="0" customWidth="1"/>
    <x:col min="7" max="7" width="22" hidden="0" customWidth="1"/>
    <x:col min="8" max="8" width="35.0099983215332"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Klassenrat</x:v>
      </x:c>
      <x:c r="C3" s="5"/>
      <x:c r="D3" s="5"/>
      <x:c r="E3" s="5"/>
      <x:c r="F3" s="5"/>
      <x:c r="G3" s="5"/>
      <x:c r="H3" s="5"/>
      <x:c r="I3" s="1"/>
      <x:c r="J3" s="1"/>
      <x:c r="K3" s="1"/>
      <x:c r="L3" s="1"/>
      <x:c r="M3" s="1"/>
      <x:c r="N3" s="1"/>
      <x:c r="O3" s="1"/>
      <x:c r="P3" s="1"/>
      <x:c r="Q3" s="1"/>
      <x:c r="R3" s="1"/>
      <x:c r="S3" s="1"/>
      <x:c r="T3" s="1"/>
    </x:row>
    <x:row r="4" ht="20.017499923706055" customHeight="1">
      <x:c r="A4" s="1"/>
      <x:c r="B4" s="8" t="str">
        <x:v>Termine, Themen und Ergebnisse · Aufgaben anschließend in „Offene Vorgänge“</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14" t="str">
        <x:v>Nr.</x:v>
      </x:c>
      <x:c r="C7" s="14" t="str">
        <x:v>Datum</x:v>
      </x:c>
      <x:c r="D7" s="14" t="str">
        <x:v>Thema</x:v>
      </x:c>
      <x:c r="E7" s="14" t="str">
        <x:v>Ergebnis / Beschluss</x:v>
      </x:c>
      <x:c r="F7" s="14" t="str">
        <x:v>Zuständigkeit</x:v>
      </x:c>
      <x:c r="G7" s="14" t="str">
        <x:v>Ablage</x:v>
      </x:c>
      <x:c r="H7" s="14" t="str">
        <x:v>Notiz</x:v>
      </x:c>
      <x:c r="I7" s="1"/>
      <x:c r="J7" s="1"/>
      <x:c r="K7" s="1"/>
      <x:c r="L7" s="1"/>
      <x:c r="M7" s="1"/>
      <x:c r="N7" s="1"/>
      <x:c r="O7" s="1"/>
      <x:c r="P7" s="1"/>
      <x:c r="Q7" s="1"/>
      <x:c r="R7" s="1"/>
      <x:c r="S7" s="1"/>
      <x:c r="T7" s="1"/>
    </x:row>
    <x:row r="8" ht="18" customHeight="1">
      <x:c r="A8" s="1"/>
      <x:c r="B8" s="19" t="n">
        <x:v>1</x:v>
      </x:c>
      <x:c r="C8" s="56"/>
      <x:c r="D8" s="27"/>
      <x:c r="E8" s="27"/>
      <x:c r="F8" s="27"/>
      <x:c r="G8" s="27"/>
      <x:c r="H8" s="27"/>
      <x:c r="I8" s="1"/>
      <x:c r="J8" s="1"/>
      <x:c r="K8" s="1"/>
      <x:c r="L8" s="1"/>
      <x:c r="M8" s="1"/>
      <x:c r="N8" s="1"/>
      <x:c r="O8" s="1"/>
      <x:c r="P8" s="1"/>
      <x:c r="Q8" s="1"/>
      <x:c r="R8" s="1"/>
      <x:c r="S8" s="1"/>
      <x:c r="T8" s="1"/>
    </x:row>
    <x:row r="9" ht="18" customHeight="1">
      <x:c r="A9" s="1"/>
      <x:c r="B9" s="19" t="n">
        <x:v>2</x:v>
      </x:c>
      <x:c r="C9" s="56"/>
      <x:c r="D9" s="27"/>
      <x:c r="E9" s="27"/>
      <x:c r="F9" s="27"/>
      <x:c r="G9" s="27"/>
      <x:c r="H9" s="27"/>
      <x:c r="I9" s="1"/>
      <x:c r="J9" s="1"/>
      <x:c r="K9" s="1"/>
      <x:c r="L9" s="1"/>
      <x:c r="M9" s="1"/>
      <x:c r="N9" s="1"/>
      <x:c r="O9" s="1"/>
      <x:c r="P9" s="1"/>
      <x:c r="Q9" s="1"/>
      <x:c r="R9" s="1"/>
      <x:c r="S9" s="1"/>
      <x:c r="T9" s="1"/>
    </x:row>
    <x:row r="10" ht="18" customHeight="1">
      <x:c r="A10" s="1"/>
      <x:c r="B10" s="19" t="n">
        <x:v>3</x:v>
      </x:c>
      <x:c r="C10" s="56"/>
      <x:c r="D10" s="27"/>
      <x:c r="E10" s="27"/>
      <x:c r="F10" s="27"/>
      <x:c r="G10" s="27"/>
      <x:c r="H10" s="27"/>
      <x:c r="I10" s="1"/>
      <x:c r="J10" s="1"/>
      <x:c r="K10" s="1"/>
      <x:c r="L10" s="1"/>
      <x:c r="M10" s="1"/>
      <x:c r="N10" s="1"/>
      <x:c r="O10" s="1"/>
      <x:c r="P10" s="1"/>
      <x:c r="Q10" s="1"/>
      <x:c r="R10" s="1"/>
      <x:c r="S10" s="1"/>
      <x:c r="T10" s="1"/>
    </x:row>
    <x:row r="11" ht="18" customHeight="1">
      <x:c r="A11" s="1"/>
      <x:c r="B11" s="19" t="n">
        <x:v>4</x:v>
      </x:c>
      <x:c r="C11" s="56"/>
      <x:c r="D11" s="27"/>
      <x:c r="E11" s="27"/>
      <x:c r="F11" s="27"/>
      <x:c r="G11" s="27"/>
      <x:c r="H11" s="27"/>
      <x:c r="I11" s="1"/>
      <x:c r="J11" s="1"/>
      <x:c r="K11" s="1"/>
      <x:c r="L11" s="1"/>
      <x:c r="M11" s="1"/>
      <x:c r="N11" s="1"/>
      <x:c r="O11" s="1"/>
      <x:c r="P11" s="1"/>
      <x:c r="Q11" s="1"/>
      <x:c r="R11" s="1"/>
      <x:c r="S11" s="1"/>
      <x:c r="T11" s="1"/>
    </x:row>
    <x:row r="12" ht="18" customHeight="1">
      <x:c r="A12" s="1"/>
      <x:c r="B12" s="19" t="n">
        <x:v>5</x:v>
      </x:c>
      <x:c r="C12" s="56"/>
      <x:c r="D12" s="27"/>
      <x:c r="E12" s="27"/>
      <x:c r="F12" s="27"/>
      <x:c r="G12" s="27"/>
      <x:c r="H12" s="27"/>
      <x:c r="I12" s="1"/>
      <x:c r="J12" s="1"/>
      <x:c r="K12" s="1"/>
      <x:c r="L12" s="1"/>
      <x:c r="M12" s="1"/>
      <x:c r="N12" s="1"/>
      <x:c r="O12" s="1"/>
      <x:c r="P12" s="1"/>
      <x:c r="Q12" s="1"/>
      <x:c r="R12" s="1"/>
      <x:c r="S12" s="1"/>
      <x:c r="T12" s="1"/>
    </x:row>
    <x:row r="13" ht="18" customHeight="1">
      <x:c r="A13" s="1"/>
      <x:c r="B13" s="19" t="n">
        <x:v>6</x:v>
      </x:c>
      <x:c r="C13" s="56"/>
      <x:c r="D13" s="27"/>
      <x:c r="E13" s="27"/>
      <x:c r="F13" s="27"/>
      <x:c r="G13" s="27"/>
      <x:c r="H13" s="27"/>
      <x:c r="I13" s="1"/>
      <x:c r="J13" s="1"/>
      <x:c r="K13" s="1"/>
      <x:c r="L13" s="1"/>
      <x:c r="M13" s="1"/>
      <x:c r="N13" s="1"/>
      <x:c r="O13" s="1"/>
      <x:c r="P13" s="1"/>
      <x:c r="Q13" s="1"/>
      <x:c r="R13" s="1"/>
      <x:c r="S13" s="1"/>
      <x:c r="T13" s="1"/>
    </x:row>
    <x:row r="14" ht="18" customHeight="1">
      <x:c r="A14" s="1"/>
      <x:c r="B14" s="19" t="n">
        <x:v>7</x:v>
      </x:c>
      <x:c r="C14" s="56"/>
      <x:c r="D14" s="27"/>
      <x:c r="E14" s="27"/>
      <x:c r="F14" s="27"/>
      <x:c r="G14" s="27"/>
      <x:c r="H14" s="27"/>
      <x:c r="I14" s="1"/>
      <x:c r="J14" s="1"/>
      <x:c r="K14" s="1"/>
      <x:c r="L14" s="1"/>
      <x:c r="M14" s="1"/>
      <x:c r="N14" s="1"/>
      <x:c r="O14" s="1"/>
      <x:c r="P14" s="1"/>
      <x:c r="Q14" s="1"/>
      <x:c r="R14" s="1"/>
      <x:c r="S14" s="1"/>
      <x:c r="T14" s="1"/>
    </x:row>
    <x:row r="15" ht="18" customHeight="1">
      <x:c r="A15" s="1"/>
      <x:c r="B15" s="19" t="n">
        <x:v>8</x:v>
      </x:c>
      <x:c r="C15" s="56"/>
      <x:c r="D15" s="27"/>
      <x:c r="E15" s="27"/>
      <x:c r="F15" s="27"/>
      <x:c r="G15" s="27"/>
      <x:c r="H15" s="27"/>
      <x:c r="I15" s="1"/>
      <x:c r="J15" s="1"/>
      <x:c r="K15" s="1"/>
      <x:c r="L15" s="1"/>
      <x:c r="M15" s="1"/>
      <x:c r="N15" s="1"/>
      <x:c r="O15" s="1"/>
      <x:c r="P15" s="1"/>
      <x:c r="Q15" s="1"/>
      <x:c r="R15" s="1"/>
      <x:c r="S15" s="1"/>
      <x:c r="T15" s="1"/>
    </x:row>
    <x:row r="16" ht="18" customHeight="1">
      <x:c r="A16" s="1"/>
      <x:c r="B16" s="19" t="n">
        <x:v>9</x:v>
      </x:c>
      <x:c r="C16" s="56"/>
      <x:c r="D16" s="27"/>
      <x:c r="E16" s="27"/>
      <x:c r="F16" s="27"/>
      <x:c r="G16" s="27"/>
      <x:c r="H16" s="27"/>
      <x:c r="I16" s="1"/>
      <x:c r="J16" s="1"/>
      <x:c r="K16" s="1"/>
      <x:c r="L16" s="1"/>
      <x:c r="M16" s="1"/>
      <x:c r="N16" s="1"/>
      <x:c r="O16" s="1"/>
      <x:c r="P16" s="1"/>
      <x:c r="Q16" s="1"/>
      <x:c r="R16" s="1"/>
      <x:c r="S16" s="1"/>
      <x:c r="T16" s="1"/>
    </x:row>
    <x:row r="17" ht="18" customHeight="1">
      <x:c r="A17" s="1"/>
      <x:c r="B17" s="19" t="n">
        <x:v>10</x:v>
      </x:c>
      <x:c r="C17" s="56"/>
      <x:c r="D17" s="27"/>
      <x:c r="E17" s="27"/>
      <x:c r="F17" s="27"/>
      <x:c r="G17" s="27"/>
      <x:c r="H17" s="27"/>
      <x:c r="I17" s="1"/>
      <x:c r="J17" s="1"/>
      <x:c r="K17" s="1"/>
      <x:c r="L17" s="1"/>
      <x:c r="M17" s="1"/>
      <x:c r="N17" s="1"/>
      <x:c r="O17" s="1"/>
      <x:c r="P17" s="1"/>
      <x:c r="Q17" s="1"/>
      <x:c r="R17" s="1"/>
      <x:c r="S17" s="1"/>
      <x:c r="T17" s="1"/>
    </x:row>
    <x:row r="18" ht="18" customHeight="1">
      <x:c r="A18" s="1"/>
      <x:c r="B18" s="19" t="n">
        <x:v>11</x:v>
      </x:c>
      <x:c r="C18" s="56"/>
      <x:c r="D18" s="27"/>
      <x:c r="E18" s="27"/>
      <x:c r="F18" s="27"/>
      <x:c r="G18" s="27"/>
      <x:c r="H18" s="27"/>
      <x:c r="I18" s="1"/>
      <x:c r="J18" s="1"/>
      <x:c r="K18" s="1"/>
      <x:c r="L18" s="1"/>
      <x:c r="M18" s="1"/>
      <x:c r="N18" s="1"/>
      <x:c r="O18" s="1"/>
      <x:c r="P18" s="1"/>
      <x:c r="Q18" s="1"/>
      <x:c r="R18" s="1"/>
      <x:c r="S18" s="1"/>
      <x:c r="T18" s="1"/>
    </x:row>
    <x:row r="19" ht="18" customHeight="1">
      <x:c r="A19" s="1"/>
      <x:c r="B19" s="19" t="n">
        <x:v>12</x:v>
      </x:c>
      <x:c r="C19" s="56"/>
      <x:c r="D19" s="27"/>
      <x:c r="E19" s="27"/>
      <x:c r="F19" s="27"/>
      <x:c r="G19" s="27"/>
      <x:c r="H19" s="27"/>
      <x:c r="I19" s="1"/>
      <x:c r="J19" s="1"/>
      <x:c r="K19" s="1"/>
      <x:c r="L19" s="1"/>
      <x:c r="M19" s="1"/>
      <x:c r="N19" s="1"/>
      <x:c r="O19" s="1"/>
      <x:c r="P19" s="1"/>
      <x:c r="Q19" s="1"/>
      <x:c r="R19" s="1"/>
      <x:c r="S19" s="1"/>
      <x:c r="T19" s="1"/>
    </x:row>
    <x:row r="20" ht="18" customHeight="1">
      <x:c r="A20" s="1"/>
      <x:c r="B20" s="19" t="n">
        <x:v>13</x:v>
      </x:c>
      <x:c r="C20" s="56"/>
      <x:c r="D20" s="27"/>
      <x:c r="E20" s="27"/>
      <x:c r="F20" s="27"/>
      <x:c r="G20" s="27"/>
      <x:c r="H20" s="27"/>
      <x:c r="I20" s="1"/>
      <x:c r="J20" s="1"/>
      <x:c r="K20" s="1"/>
      <x:c r="L20" s="1"/>
      <x:c r="M20" s="1"/>
      <x:c r="N20" s="1"/>
      <x:c r="O20" s="1"/>
      <x:c r="P20" s="1"/>
      <x:c r="Q20" s="1"/>
      <x:c r="R20" s="1"/>
      <x:c r="S20" s="1"/>
      <x:c r="T20" s="1"/>
    </x:row>
    <x:row r="21" ht="18" customHeight="1">
      <x:c r="A21" s="1"/>
      <x:c r="B21" s="19" t="n">
        <x:v>14</x:v>
      </x:c>
      <x:c r="C21" s="56"/>
      <x:c r="D21" s="27"/>
      <x:c r="E21" s="27"/>
      <x:c r="F21" s="27"/>
      <x:c r="G21" s="27"/>
      <x:c r="H21" s="27"/>
      <x:c r="I21" s="1"/>
      <x:c r="J21" s="1"/>
      <x:c r="K21" s="1"/>
      <x:c r="L21" s="1"/>
      <x:c r="M21" s="1"/>
      <x:c r="N21" s="1"/>
      <x:c r="O21" s="1"/>
      <x:c r="P21" s="1"/>
      <x:c r="Q21" s="1"/>
      <x:c r="R21" s="1"/>
      <x:c r="S21" s="1"/>
      <x:c r="T21" s="1"/>
    </x:row>
    <x:row r="22" ht="18" customHeight="1">
      <x:c r="A22" s="1"/>
      <x:c r="B22" s="19" t="n">
        <x:v>15</x:v>
      </x:c>
      <x:c r="C22" s="56"/>
      <x:c r="D22" s="27"/>
      <x:c r="E22" s="27"/>
      <x:c r="F22" s="27"/>
      <x:c r="G22" s="27"/>
      <x:c r="H22" s="27"/>
      <x:c r="I22" s="1"/>
      <x:c r="J22" s="1"/>
      <x:c r="K22" s="1"/>
      <x:c r="L22" s="1"/>
      <x:c r="M22" s="1"/>
      <x:c r="N22" s="1"/>
      <x:c r="O22" s="1"/>
      <x:c r="P22" s="1"/>
      <x:c r="Q22" s="1"/>
      <x:c r="R22" s="1"/>
      <x:c r="S22" s="1"/>
      <x:c r="T22" s="1"/>
    </x:row>
    <x:row r="23" ht="18" customHeight="1">
      <x:c r="A23" s="1"/>
      <x:c r="B23" s="19" t="n">
        <x:v>16</x:v>
      </x:c>
      <x:c r="C23" s="56"/>
      <x:c r="D23" s="27"/>
      <x:c r="E23" s="27"/>
      <x:c r="F23" s="27"/>
      <x:c r="G23" s="27"/>
      <x:c r="H23" s="27"/>
      <x:c r="I23" s="1"/>
      <x:c r="J23" s="1"/>
      <x:c r="K23" s="1"/>
      <x:c r="L23" s="1"/>
      <x:c r="M23" s="1"/>
      <x:c r="N23" s="1"/>
      <x:c r="O23" s="1"/>
      <x:c r="P23" s="1"/>
      <x:c r="Q23" s="1"/>
      <x:c r="R23" s="1"/>
      <x:c r="S23" s="1"/>
      <x:c r="T23" s="1"/>
    </x:row>
    <x:row r="24" ht="18" customHeight="1">
      <x:c r="A24" s="1"/>
      <x:c r="B24" s="19" t="n">
        <x:v>17</x:v>
      </x:c>
      <x:c r="C24" s="56"/>
      <x:c r="D24" s="27"/>
      <x:c r="E24" s="27"/>
      <x:c r="F24" s="27"/>
      <x:c r="G24" s="27"/>
      <x:c r="H24" s="27"/>
      <x:c r="I24" s="1"/>
      <x:c r="J24" s="1"/>
      <x:c r="K24" s="1"/>
      <x:c r="L24" s="1"/>
      <x:c r="M24" s="1"/>
      <x:c r="N24" s="1"/>
      <x:c r="O24" s="1"/>
      <x:c r="P24" s="1"/>
      <x:c r="Q24" s="1"/>
      <x:c r="R24" s="1"/>
      <x:c r="S24" s="1"/>
      <x:c r="T24" s="1"/>
    </x:row>
    <x:row r="25" ht="18" customHeight="1">
      <x:c r="A25" s="1"/>
      <x:c r="B25" s="19" t="n">
        <x:v>18</x:v>
      </x:c>
      <x:c r="C25" s="56"/>
      <x:c r="D25" s="27"/>
      <x:c r="E25" s="27"/>
      <x:c r="F25" s="27"/>
      <x:c r="G25" s="27"/>
      <x:c r="H25" s="27"/>
      <x:c r="I25" s="1"/>
      <x:c r="J25" s="1"/>
      <x:c r="K25" s="1"/>
      <x:c r="L25" s="1"/>
      <x:c r="M25" s="1"/>
      <x:c r="N25" s="1"/>
      <x:c r="O25" s="1"/>
      <x:c r="P25" s="1"/>
      <x:c r="Q25" s="1"/>
      <x:c r="R25" s="1"/>
      <x:c r="S25" s="1"/>
      <x:c r="T25" s="1"/>
    </x:row>
    <x:row r="26" ht="18" customHeight="1">
      <x:c r="A26" s="1"/>
      <x:c r="B26" s="19" t="n">
        <x:v>19</x:v>
      </x:c>
      <x:c r="C26" s="56"/>
      <x:c r="D26" s="27"/>
      <x:c r="E26" s="27"/>
      <x:c r="F26" s="27"/>
      <x:c r="G26" s="27"/>
      <x:c r="H26" s="27"/>
      <x:c r="I26" s="1"/>
      <x:c r="J26" s="1"/>
      <x:c r="K26" s="1"/>
      <x:c r="L26" s="1"/>
      <x:c r="M26" s="1"/>
      <x:c r="N26" s="1"/>
      <x:c r="O26" s="1"/>
      <x:c r="P26" s="1"/>
      <x:c r="Q26" s="1"/>
      <x:c r="R26" s="1"/>
      <x:c r="S26" s="1"/>
      <x:c r="T26" s="1"/>
    </x:row>
    <x:row r="27" ht="18" customHeight="1">
      <x:c r="A27" s="1"/>
      <x:c r="B27" s="19" t="n">
        <x:v>20</x:v>
      </x:c>
      <x:c r="C27" s="56"/>
      <x:c r="D27" s="27"/>
      <x:c r="E27" s="27"/>
      <x:c r="F27" s="27"/>
      <x:c r="G27" s="27"/>
      <x:c r="H27" s="27"/>
      <x:c r="I27" s="1"/>
      <x:c r="J27" s="1"/>
      <x:c r="K27" s="1"/>
      <x:c r="L27" s="1"/>
      <x:c r="M27" s="1"/>
      <x:c r="N27" s="1"/>
      <x:c r="O27" s="1"/>
      <x:c r="P27" s="1"/>
      <x:c r="Q27" s="1"/>
      <x:c r="R27" s="1"/>
      <x:c r="S27" s="1"/>
      <x:c r="T27" s="1"/>
    </x:row>
    <x:row r="28" ht="18" customHeight="1">
      <x:c r="A28" s="1"/>
      <x:c r="B28" s="19" t="n">
        <x:v>21</x:v>
      </x:c>
      <x:c r="C28" s="56"/>
      <x:c r="D28" s="27"/>
      <x:c r="E28" s="27"/>
      <x:c r="F28" s="27"/>
      <x:c r="G28" s="27"/>
      <x:c r="H28" s="27"/>
      <x:c r="I28" s="1"/>
      <x:c r="J28" s="1"/>
      <x:c r="K28" s="1"/>
      <x:c r="L28" s="1"/>
      <x:c r="M28" s="1"/>
      <x:c r="N28" s="1"/>
      <x:c r="O28" s="1"/>
      <x:c r="P28" s="1"/>
      <x:c r="Q28" s="1"/>
      <x:c r="R28" s="1"/>
      <x:c r="S28" s="1"/>
      <x:c r="T28" s="1"/>
    </x:row>
    <x:row r="29" ht="18" customHeight="1">
      <x:c r="A29" s="1"/>
      <x:c r="B29" s="19" t="n">
        <x:v>22</x:v>
      </x:c>
      <x:c r="C29" s="56"/>
      <x:c r="D29" s="27"/>
      <x:c r="E29" s="27"/>
      <x:c r="F29" s="27"/>
      <x:c r="G29" s="27"/>
      <x:c r="H29" s="27"/>
      <x:c r="I29" s="1"/>
      <x:c r="J29" s="1"/>
      <x:c r="K29" s="1"/>
      <x:c r="L29" s="1"/>
      <x:c r="M29" s="1"/>
      <x:c r="N29" s="1"/>
      <x:c r="O29" s="1"/>
      <x:c r="P29" s="1"/>
      <x:c r="Q29" s="1"/>
      <x:c r="R29" s="1"/>
      <x:c r="S29" s="1"/>
      <x:c r="T29" s="1"/>
    </x:row>
    <x:row r="30" ht="18" customHeight="1">
      <x:c r="A30" s="1"/>
      <x:c r="B30" s="19" t="n">
        <x:v>23</x:v>
      </x:c>
      <x:c r="C30" s="56"/>
      <x:c r="D30" s="27"/>
      <x:c r="E30" s="27"/>
      <x:c r="F30" s="27"/>
      <x:c r="G30" s="27"/>
      <x:c r="H30" s="27"/>
      <x:c r="I30" s="1"/>
      <x:c r="J30" s="1"/>
      <x:c r="K30" s="1"/>
      <x:c r="L30" s="1"/>
      <x:c r="M30" s="1"/>
      <x:c r="N30" s="1"/>
      <x:c r="O30" s="1"/>
      <x:c r="P30" s="1"/>
      <x:c r="Q30" s="1"/>
      <x:c r="R30" s="1"/>
      <x:c r="S30" s="1"/>
      <x:c r="T30" s="1"/>
    </x:row>
    <x:row r="31" ht="18" customHeight="1">
      <x:c r="A31" s="1"/>
      <x:c r="B31" s="19" t="n">
        <x:v>24</x:v>
      </x:c>
      <x:c r="C31" s="56"/>
      <x:c r="D31" s="27"/>
      <x:c r="E31" s="27"/>
      <x:c r="F31" s="27"/>
      <x:c r="G31" s="27"/>
      <x:c r="H31" s="27"/>
      <x:c r="I31" s="1"/>
      <x:c r="J31" s="1"/>
      <x:c r="K31" s="1"/>
      <x:c r="L31" s="1"/>
      <x:c r="M31" s="1"/>
      <x:c r="N31" s="1"/>
      <x:c r="O31" s="1"/>
      <x:c r="P31" s="1"/>
      <x:c r="Q31" s="1"/>
      <x:c r="R31" s="1"/>
      <x:c r="S31" s="1"/>
      <x:c r="T31" s="1"/>
    </x:row>
    <x:row r="32" ht="18" customHeight="1">
      <x:c r="A32" s="1"/>
      <x:c r="B32" s="19" t="n">
        <x:v>25</x:v>
      </x:c>
      <x:c r="C32" s="56"/>
      <x:c r="D32" s="27"/>
      <x:c r="E32" s="27"/>
      <x:c r="F32" s="27"/>
      <x:c r="G32" s="27"/>
      <x:c r="H32" s="27"/>
      <x:c r="I32" s="1"/>
      <x:c r="J32" s="1"/>
      <x:c r="K32" s="1"/>
      <x:c r="L32" s="1"/>
      <x:c r="M32" s="1"/>
      <x:c r="N32" s="1"/>
      <x:c r="O32" s="1"/>
      <x:c r="P32" s="1"/>
      <x:c r="Q32" s="1"/>
      <x:c r="R32" s="1"/>
      <x:c r="S32" s="1"/>
      <x:c r="T32" s="1"/>
    </x:row>
    <x:row r="33" ht="18" customHeight="1">
      <x:c r="A33" s="1"/>
      <x:c r="B33" s="19" t="n">
        <x:v>26</x:v>
      </x:c>
      <x:c r="C33" s="56"/>
      <x:c r="D33" s="27"/>
      <x:c r="E33" s="27"/>
      <x:c r="F33" s="27"/>
      <x:c r="G33" s="27"/>
      <x:c r="H33" s="27"/>
      <x:c r="I33" s="1"/>
      <x:c r="J33" s="1"/>
      <x:c r="K33" s="1"/>
      <x:c r="L33" s="1"/>
      <x:c r="M33" s="1"/>
      <x:c r="N33" s="1"/>
      <x:c r="O33" s="1"/>
      <x:c r="P33" s="1"/>
      <x:c r="Q33" s="1"/>
      <x:c r="R33" s="1"/>
      <x:c r="S33" s="1"/>
      <x:c r="T33" s="1"/>
    </x:row>
    <x:row r="34" ht="18" customHeight="1">
      <x:c r="A34" s="1"/>
      <x:c r="B34" s="19" t="n">
        <x:v>27</x:v>
      </x:c>
      <x:c r="C34" s="56"/>
      <x:c r="D34" s="27"/>
      <x:c r="E34" s="27"/>
      <x:c r="F34" s="27"/>
      <x:c r="G34" s="27"/>
      <x:c r="H34" s="27"/>
      <x:c r="I34" s="1"/>
      <x:c r="J34" s="1"/>
      <x:c r="K34" s="1"/>
      <x:c r="L34" s="1"/>
      <x:c r="M34" s="1"/>
      <x:c r="N34" s="1"/>
      <x:c r="O34" s="1"/>
      <x:c r="P34" s="1"/>
      <x:c r="Q34" s="1"/>
      <x:c r="R34" s="1"/>
      <x:c r="S34" s="1"/>
      <x:c r="T34" s="1"/>
    </x:row>
    <x:row r="35" ht="18" customHeight="1">
      <x:c r="A35" s="1"/>
      <x:c r="B35" s="19" t="n">
        <x:v>28</x:v>
      </x:c>
      <x:c r="C35" s="56"/>
      <x:c r="D35" s="27"/>
      <x:c r="E35" s="27"/>
      <x:c r="F35" s="27"/>
      <x:c r="G35" s="27"/>
      <x:c r="H35" s="27"/>
      <x:c r="I35" s="1"/>
      <x:c r="J35" s="1"/>
      <x:c r="K35" s="1"/>
      <x:c r="L35" s="1"/>
      <x:c r="M35" s="1"/>
      <x:c r="N35" s="1"/>
      <x:c r="O35" s="1"/>
      <x:c r="P35" s="1"/>
      <x:c r="Q35" s="1"/>
      <x:c r="R35" s="1"/>
      <x:c r="S35" s="1"/>
      <x:c r="T35" s="1"/>
    </x:row>
    <x:row r="36" ht="18" customHeight="1">
      <x:c r="A36" s="1"/>
      <x:c r="B36" s="19" t="n">
        <x:v>29</x:v>
      </x:c>
      <x:c r="C36" s="56"/>
      <x:c r="D36" s="27"/>
      <x:c r="E36" s="27"/>
      <x:c r="F36" s="27"/>
      <x:c r="G36" s="27"/>
      <x:c r="H36" s="27"/>
      <x:c r="I36" s="1"/>
      <x:c r="J36" s="1"/>
      <x:c r="K36" s="1"/>
      <x:c r="L36" s="1"/>
      <x:c r="M36" s="1"/>
      <x:c r="N36" s="1"/>
      <x:c r="O36" s="1"/>
      <x:c r="P36" s="1"/>
      <x:c r="Q36" s="1"/>
      <x:c r="R36" s="1"/>
      <x:c r="S36" s="1"/>
      <x:c r="T36" s="1"/>
    </x:row>
    <x:row r="37" ht="18" customHeight="1">
      <x:c r="A37" s="1"/>
      <x:c r="B37" s="19" t="n">
        <x:v>30</x:v>
      </x:c>
      <x:c r="C37" s="56"/>
      <x:c r="D37" s="27"/>
      <x:c r="E37" s="27"/>
      <x:c r="F37" s="27"/>
      <x:c r="G37" s="27"/>
      <x:c r="H37" s="27"/>
      <x:c r="I37" s="1"/>
      <x:c r="J37" s="1"/>
      <x:c r="K37" s="1"/>
      <x:c r="L37" s="1"/>
      <x:c r="M37" s="1"/>
      <x:c r="N37" s="1"/>
      <x:c r="O37" s="1"/>
      <x:c r="P37" s="1"/>
      <x:c r="Q37" s="1"/>
      <x:c r="R37" s="1"/>
      <x:c r="S37" s="1"/>
      <x:c r="T37" s="1"/>
    </x:row>
    <x:row r="38" ht="18" customHeight="1">
      <x:c r="A38" s="1"/>
      <x:c r="B38" s="19" t="n">
        <x:v>31</x:v>
      </x:c>
      <x:c r="C38" s="56"/>
      <x:c r="D38" s="27"/>
      <x:c r="E38" s="27"/>
      <x:c r="F38" s="27"/>
      <x:c r="G38" s="27"/>
      <x:c r="H38" s="27"/>
      <x:c r="I38" s="1"/>
      <x:c r="J38" s="1"/>
      <x:c r="K38" s="1"/>
      <x:c r="L38" s="1"/>
      <x:c r="M38" s="1"/>
      <x:c r="N38" s="1"/>
      <x:c r="O38" s="1"/>
      <x:c r="P38" s="1"/>
      <x:c r="Q38" s="1"/>
      <x:c r="R38" s="1"/>
      <x:c r="S38" s="1"/>
      <x:c r="T38" s="1"/>
    </x:row>
    <x:row r="39" ht="18" customHeight="1">
      <x:c r="A39" s="1"/>
      <x:c r="B39" s="19" t="n">
        <x:v>32</x:v>
      </x:c>
      <x:c r="C39" s="56"/>
      <x:c r="D39" s="27"/>
      <x:c r="E39" s="27"/>
      <x:c r="F39" s="27"/>
      <x:c r="G39" s="27"/>
      <x:c r="H39" s="27"/>
      <x:c r="I39" s="1"/>
      <x:c r="J39" s="1"/>
      <x:c r="K39" s="1"/>
      <x:c r="L39" s="1"/>
      <x:c r="M39" s="1"/>
      <x:c r="N39" s="1"/>
      <x:c r="O39" s="1"/>
      <x:c r="P39" s="1"/>
      <x:c r="Q39" s="1"/>
      <x:c r="R39" s="1"/>
      <x:c r="S39" s="1"/>
      <x:c r="T39" s="1"/>
    </x:row>
    <x:row r="40" ht="18" customHeight="1">
      <x:c r="A40" s="1"/>
      <x:c r="B40" s="19" t="n">
        <x:v>33</x:v>
      </x:c>
      <x:c r="C40" s="56"/>
      <x:c r="D40" s="27"/>
      <x:c r="E40" s="27"/>
      <x:c r="F40" s="27"/>
      <x:c r="G40" s="27"/>
      <x:c r="H40" s="27"/>
      <x:c r="I40" s="1"/>
      <x:c r="J40" s="1"/>
      <x:c r="K40" s="1"/>
      <x:c r="L40" s="1"/>
      <x:c r="M40" s="1"/>
      <x:c r="N40" s="1"/>
      <x:c r="O40" s="1"/>
      <x:c r="P40" s="1"/>
      <x:c r="Q40" s="1"/>
      <x:c r="R40" s="1"/>
      <x:c r="S40" s="1"/>
      <x:c r="T40" s="1"/>
    </x:row>
    <x:row r="41" ht="18" customHeight="1">
      <x:c r="A41" s="1"/>
      <x:c r="B41" s="19" t="n">
        <x:v>34</x:v>
      </x:c>
      <x:c r="C41" s="56"/>
      <x:c r="D41" s="27"/>
      <x:c r="E41" s="27"/>
      <x:c r="F41" s="27"/>
      <x:c r="G41" s="27"/>
      <x:c r="H41" s="27"/>
      <x:c r="I41" s="1"/>
      <x:c r="J41" s="1"/>
      <x:c r="K41" s="1"/>
      <x:c r="L41" s="1"/>
      <x:c r="M41" s="1"/>
      <x:c r="N41" s="1"/>
      <x:c r="O41" s="1"/>
      <x:c r="P41" s="1"/>
      <x:c r="Q41" s="1"/>
      <x:c r="R41" s="1"/>
      <x:c r="S41" s="1"/>
      <x:c r="T41" s="1"/>
    </x:row>
    <x:row r="42" ht="18" customHeight="1">
      <x:c r="A42" s="1"/>
      <x:c r="B42" s="19" t="n">
        <x:v>35</x:v>
      </x:c>
      <x:c r="C42" s="56"/>
      <x:c r="D42" s="27"/>
      <x:c r="E42" s="27"/>
      <x:c r="F42" s="27"/>
      <x:c r="G42" s="27"/>
      <x:c r="H42" s="27"/>
      <x:c r="I42" s="1"/>
      <x:c r="J42" s="1"/>
      <x:c r="K42" s="1"/>
      <x:c r="L42" s="1"/>
      <x:c r="M42" s="1"/>
      <x:c r="N42" s="1"/>
      <x:c r="O42" s="1"/>
      <x:c r="P42" s="1"/>
      <x:c r="Q42" s="1"/>
      <x:c r="R42" s="1"/>
      <x:c r="S42" s="1"/>
      <x:c r="T42" s="1"/>
    </x:row>
    <x:row r="43" ht="18" customHeight="1">
      <x:c r="A43" s="1"/>
      <x:c r="B43" s="19" t="n">
        <x:v>36</x:v>
      </x:c>
      <x:c r="C43" s="56"/>
      <x:c r="D43" s="27"/>
      <x:c r="E43" s="27"/>
      <x:c r="F43" s="27"/>
      <x:c r="G43" s="27"/>
      <x:c r="H43" s="27"/>
      <x:c r="I43" s="1"/>
      <x:c r="J43" s="1"/>
      <x:c r="K43" s="1"/>
      <x:c r="L43" s="1"/>
      <x:c r="M43" s="1"/>
      <x:c r="N43" s="1"/>
      <x:c r="O43" s="1"/>
      <x:c r="P43" s="1"/>
      <x:c r="Q43" s="1"/>
      <x:c r="R43" s="1"/>
      <x:c r="S43" s="1"/>
      <x:c r="T43" s="1"/>
    </x:row>
    <x:row r="44" ht="18" customHeight="1">
      <x:c r="A44" s="1"/>
      <x:c r="B44" s="19" t="n">
        <x:v>37</x:v>
      </x:c>
      <x:c r="C44" s="56"/>
      <x:c r="D44" s="27"/>
      <x:c r="E44" s="27"/>
      <x:c r="F44" s="27"/>
      <x:c r="G44" s="27"/>
      <x:c r="H44" s="27"/>
      <x:c r="I44" s="1"/>
      <x:c r="J44" s="1"/>
      <x:c r="K44" s="1"/>
      <x:c r="L44" s="1"/>
      <x:c r="M44" s="1"/>
      <x:c r="N44" s="1"/>
      <x:c r="O44" s="1"/>
      <x:c r="P44" s="1"/>
      <x:c r="Q44" s="1"/>
      <x:c r="R44" s="1"/>
      <x:c r="S44" s="1"/>
      <x:c r="T44" s="1"/>
    </x:row>
    <x:row r="45" ht="18" customHeight="1">
      <x:c r="A45" s="1"/>
      <x:c r="B45" s="19" t="n">
        <x:v>38</x:v>
      </x:c>
      <x:c r="C45" s="56"/>
      <x:c r="D45" s="27"/>
      <x:c r="E45" s="27"/>
      <x:c r="F45" s="27"/>
      <x:c r="G45" s="27"/>
      <x:c r="H45" s="27"/>
      <x:c r="I45" s="1"/>
      <x:c r="J45" s="1"/>
      <x:c r="K45" s="1"/>
      <x:c r="L45" s="1"/>
      <x:c r="M45" s="1"/>
      <x:c r="N45" s="1"/>
      <x:c r="O45" s="1"/>
      <x:c r="P45" s="1"/>
      <x:c r="Q45" s="1"/>
      <x:c r="R45" s="1"/>
      <x:c r="S45" s="1"/>
      <x:c r="T45" s="1"/>
    </x:row>
    <x:row r="46" ht="18" customHeight="1">
      <x:c r="A46" s="1"/>
      <x:c r="B46" s="19" t="n">
        <x:v>39</x:v>
      </x:c>
      <x:c r="C46" s="56"/>
      <x:c r="D46" s="27"/>
      <x:c r="E46" s="27"/>
      <x:c r="F46" s="27"/>
      <x:c r="G46" s="27"/>
      <x:c r="H46" s="27"/>
      <x:c r="I46" s="1"/>
      <x:c r="J46" s="1"/>
      <x:c r="K46" s="1"/>
      <x:c r="L46" s="1"/>
      <x:c r="M46" s="1"/>
      <x:c r="N46" s="1"/>
      <x:c r="O46" s="1"/>
      <x:c r="P46" s="1"/>
      <x:c r="Q46" s="1"/>
      <x:c r="R46" s="1"/>
      <x:c r="S46" s="1"/>
      <x:c r="T46" s="1"/>
    </x:row>
    <x:row r="47" ht="18" customHeight="1">
      <x:c r="A47" s="1"/>
      <x:c r="B47" s="19" t="n">
        <x:v>40</x:v>
      </x:c>
      <x:c r="C47" s="56"/>
      <x:c r="D47" s="27"/>
      <x:c r="E47" s="27"/>
      <x:c r="F47" s="27"/>
      <x:c r="G47" s="27"/>
      <x:c r="H47" s="27"/>
      <x:c r="I47" s="1"/>
      <x:c r="J47" s="1"/>
      <x:c r="K47" s="1"/>
      <x:c r="L47" s="1"/>
      <x:c r="M47" s="1"/>
      <x:c r="N47" s="1"/>
      <x:c r="O47" s="1"/>
      <x:c r="P47" s="1"/>
      <x:c r="Q47" s="1"/>
      <x:c r="R47" s="1"/>
      <x:c r="S47" s="1"/>
      <x:c r="T47" s="1"/>
    </x:row>
    <x:row r="48" ht="18" customHeight="1">
      <x:c r="A48" s="1"/>
      <x:c r="B48" s="19" t="n">
        <x:v>41</x:v>
      </x:c>
      <x:c r="C48" s="56"/>
      <x:c r="D48" s="27"/>
      <x:c r="E48" s="27"/>
      <x:c r="F48" s="27"/>
      <x:c r="G48" s="27"/>
      <x:c r="H48" s="27"/>
      <x:c r="I48" s="1"/>
      <x:c r="J48" s="1"/>
      <x:c r="K48" s="1"/>
      <x:c r="L48" s="1"/>
      <x:c r="M48" s="1"/>
      <x:c r="N48" s="1"/>
      <x:c r="O48" s="1"/>
      <x:c r="P48" s="1"/>
      <x:c r="Q48" s="1"/>
      <x:c r="R48" s="1"/>
      <x:c r="S48" s="1"/>
      <x:c r="T48" s="1"/>
    </x:row>
    <x:row r="49" ht="18" customHeight="1">
      <x:c r="A49" s="1"/>
      <x:c r="B49" s="19" t="n">
        <x:v>42</x:v>
      </x:c>
      <x:c r="C49" s="56"/>
      <x:c r="D49" s="27"/>
      <x:c r="E49" s="27"/>
      <x:c r="F49" s="27"/>
      <x:c r="G49" s="27"/>
      <x:c r="H49" s="27"/>
      <x:c r="I49" s="1"/>
      <x:c r="J49" s="1"/>
      <x:c r="K49" s="1"/>
      <x:c r="L49" s="1"/>
      <x:c r="M49" s="1"/>
      <x:c r="N49" s="1"/>
      <x:c r="O49" s="1"/>
      <x:c r="P49" s="1"/>
      <x:c r="Q49" s="1"/>
      <x:c r="R49" s="1"/>
      <x:c r="S49" s="1"/>
      <x:c r="T49" s="1"/>
    </x:row>
    <x:row r="50" ht="18" customHeight="1">
      <x:c r="A50" s="1"/>
      <x:c r="B50" s="19" t="n">
        <x:v>43</x:v>
      </x:c>
      <x:c r="C50" s="56"/>
      <x:c r="D50" s="27"/>
      <x:c r="E50" s="27"/>
      <x:c r="F50" s="27"/>
      <x:c r="G50" s="27"/>
      <x:c r="H50" s="27"/>
      <x:c r="I50" s="1"/>
      <x:c r="J50" s="1"/>
      <x:c r="K50" s="1"/>
      <x:c r="L50" s="1"/>
      <x:c r="M50" s="1"/>
      <x:c r="N50" s="1"/>
      <x:c r="O50" s="1"/>
      <x:c r="P50" s="1"/>
      <x:c r="Q50" s="1"/>
      <x:c r="R50" s="1"/>
      <x:c r="S50" s="1"/>
      <x:c r="T50" s="1"/>
    </x:row>
    <x:row r="51" ht="18" customHeight="1">
      <x:c r="A51" s="1"/>
      <x:c r="B51" s="19" t="n">
        <x:v>44</x:v>
      </x:c>
      <x:c r="C51" s="56"/>
      <x:c r="D51" s="27"/>
      <x:c r="E51" s="27"/>
      <x:c r="F51" s="27"/>
      <x:c r="G51" s="27"/>
      <x:c r="H51" s="27"/>
      <x:c r="I51" s="1"/>
      <x:c r="J51" s="1"/>
      <x:c r="K51" s="1"/>
      <x:c r="L51" s="1"/>
      <x:c r="M51" s="1"/>
      <x:c r="N51" s="1"/>
      <x:c r="O51" s="1"/>
      <x:c r="P51" s="1"/>
      <x:c r="Q51" s="1"/>
      <x:c r="R51" s="1"/>
      <x:c r="S51" s="1"/>
      <x:c r="T51" s="1"/>
    </x:row>
    <x:row r="52" ht="18" customHeight="1">
      <x:c r="A52" s="1"/>
      <x:c r="B52" s="19" t="n">
        <x:v>45</x:v>
      </x:c>
      <x:c r="C52" s="56"/>
      <x:c r="D52" s="27"/>
      <x:c r="E52" s="27"/>
      <x:c r="F52" s="27"/>
      <x:c r="G52" s="27"/>
      <x:c r="H52" s="27"/>
      <x:c r="I52" s="1"/>
      <x:c r="J52" s="1"/>
      <x:c r="K52" s="1"/>
      <x:c r="L52" s="1"/>
      <x:c r="M52" s="1"/>
      <x:c r="N52" s="1"/>
      <x:c r="O52" s="1"/>
      <x:c r="P52" s="1"/>
      <x:c r="Q52" s="1"/>
      <x:c r="R52" s="1"/>
      <x:c r="S52" s="1"/>
      <x:c r="T52" s="1"/>
    </x:row>
    <x:row r="53" ht="18" customHeight="1">
      <x:c r="A53" s="1"/>
      <x:c r="B53" s="19" t="n">
        <x:v>46</x:v>
      </x:c>
      <x:c r="C53" s="56"/>
      <x:c r="D53" s="27"/>
      <x:c r="E53" s="27"/>
      <x:c r="F53" s="27"/>
      <x:c r="G53" s="27"/>
      <x:c r="H53" s="27"/>
      <x:c r="I53" s="1"/>
      <x:c r="J53" s="1"/>
      <x:c r="K53" s="1"/>
      <x:c r="L53" s="1"/>
      <x:c r="M53" s="1"/>
      <x:c r="N53" s="1"/>
      <x:c r="O53" s="1"/>
      <x:c r="P53" s="1"/>
      <x:c r="Q53" s="1"/>
      <x:c r="R53" s="1"/>
      <x:c r="S53" s="1"/>
      <x:c r="T53" s="1"/>
    </x:row>
    <x:row r="54" ht="18" customHeight="1">
      <x:c r="A54" s="1"/>
      <x:c r="B54" s="19" t="n">
        <x:v>47</x:v>
      </x:c>
      <x:c r="C54" s="56"/>
      <x:c r="D54" s="27"/>
      <x:c r="E54" s="27"/>
      <x:c r="F54" s="27"/>
      <x:c r="G54" s="27"/>
      <x:c r="H54" s="27"/>
      <x:c r="I54" s="1"/>
      <x:c r="J54" s="1"/>
      <x:c r="K54" s="1"/>
      <x:c r="L54" s="1"/>
      <x:c r="M54" s="1"/>
      <x:c r="N54" s="1"/>
      <x:c r="O54" s="1"/>
      <x:c r="P54" s="1"/>
      <x:c r="Q54" s="1"/>
      <x:c r="R54" s="1"/>
      <x:c r="S54" s="1"/>
      <x:c r="T54" s="1"/>
    </x:row>
    <x:row r="55" ht="18" customHeight="1">
      <x:c r="A55" s="1"/>
      <x:c r="B55" s="19" t="n">
        <x:v>48</x:v>
      </x:c>
      <x:c r="C55" s="56"/>
      <x:c r="D55" s="27"/>
      <x:c r="E55" s="27"/>
      <x:c r="F55" s="27"/>
      <x:c r="G55" s="27"/>
      <x:c r="H55" s="27"/>
      <x:c r="I55" s="1"/>
      <x:c r="J55" s="1"/>
      <x:c r="K55" s="1"/>
      <x:c r="L55" s="1"/>
      <x:c r="M55" s="1"/>
      <x:c r="N55" s="1"/>
      <x:c r="O55" s="1"/>
      <x:c r="P55" s="1"/>
      <x:c r="Q55" s="1"/>
      <x:c r="R55" s="1"/>
      <x:c r="S55" s="1"/>
      <x:c r="T55" s="1"/>
    </x:row>
    <x:row r="56" ht="18" customHeight="1">
      <x:c r="A56" s="1"/>
      <x:c r="B56" s="19" t="n">
        <x:v>49</x:v>
      </x:c>
      <x:c r="C56" s="56"/>
      <x:c r="D56" s="27"/>
      <x:c r="E56" s="27"/>
      <x:c r="F56" s="27"/>
      <x:c r="G56" s="27"/>
      <x:c r="H56" s="27"/>
      <x:c r="I56" s="1"/>
      <x:c r="J56" s="1"/>
      <x:c r="K56" s="1"/>
      <x:c r="L56" s="1"/>
      <x:c r="M56" s="1"/>
      <x:c r="N56" s="1"/>
      <x:c r="O56" s="1"/>
      <x:c r="P56" s="1"/>
      <x:c r="Q56" s="1"/>
      <x:c r="R56" s="1"/>
      <x:c r="S56" s="1"/>
      <x:c r="T56" s="1"/>
    </x:row>
    <x:row r="57" ht="18" customHeight="1">
      <x:c r="A57" s="1"/>
      <x:c r="B57" s="19" t="n">
        <x:v>50</x:v>
      </x:c>
      <x:c r="C57" s="56"/>
      <x:c r="D57" s="27"/>
      <x:c r="E57" s="27"/>
      <x:c r="F57" s="27"/>
      <x:c r="G57" s="27"/>
      <x:c r="H57" s="27"/>
      <x:c r="I57" s="1"/>
      <x:c r="J57" s="1"/>
      <x:c r="K57" s="1"/>
      <x:c r="L57" s="1"/>
      <x:c r="M57" s="1"/>
      <x:c r="N57" s="1"/>
      <x:c r="O57" s="1"/>
      <x:c r="P57" s="1"/>
      <x:c r="Q57" s="1"/>
      <x:c r="R57" s="1"/>
      <x:c r="S57" s="1"/>
      <x:c r="T57" s="1"/>
    </x:row>
    <x:row r="58" ht="18" customHeight="1">
      <x:c r="A58" s="1"/>
      <x:c r="B58" s="19" t="n">
        <x:v>51</x:v>
      </x:c>
      <x:c r="C58" s="56"/>
      <x:c r="D58" s="27"/>
      <x:c r="E58" s="27"/>
      <x:c r="F58" s="27"/>
      <x:c r="G58" s="27"/>
      <x:c r="H58" s="27"/>
      <x:c r="I58" s="1"/>
      <x:c r="J58" s="1"/>
      <x:c r="K58" s="1"/>
      <x:c r="L58" s="1"/>
      <x:c r="M58" s="1"/>
      <x:c r="N58" s="1"/>
      <x:c r="O58" s="1"/>
      <x:c r="P58" s="1"/>
      <x:c r="Q58" s="1"/>
      <x:c r="R58" s="1"/>
      <x:c r="S58" s="1"/>
      <x:c r="T58" s="1"/>
    </x:row>
    <x:row r="59" ht="18" customHeight="1">
      <x:c r="A59" s="1"/>
      <x:c r="B59" s="19" t="n">
        <x:v>52</x:v>
      </x:c>
      <x:c r="C59" s="56"/>
      <x:c r="D59" s="27"/>
      <x:c r="E59" s="27"/>
      <x:c r="F59" s="27"/>
      <x:c r="G59" s="27"/>
      <x:c r="H59" s="27"/>
      <x:c r="I59" s="1"/>
      <x:c r="J59" s="1"/>
      <x:c r="K59" s="1"/>
      <x:c r="L59" s="1"/>
      <x:c r="M59" s="1"/>
      <x:c r="N59" s="1"/>
      <x:c r="O59" s="1"/>
      <x:c r="P59" s="1"/>
      <x:c r="Q59" s="1"/>
      <x:c r="R59" s="1"/>
      <x:c r="S59" s="1"/>
      <x:c r="T59" s="1"/>
    </x:row>
    <x:row r="60" ht="18" customHeight="1">
      <x:c r="A60" s="1"/>
      <x:c r="B60" s="19" t="n">
        <x:v>53</x:v>
      </x:c>
      <x:c r="C60" s="56"/>
      <x:c r="D60" s="27"/>
      <x:c r="E60" s="27"/>
      <x:c r="F60" s="27"/>
      <x:c r="G60" s="27"/>
      <x:c r="H60" s="27"/>
      <x:c r="I60" s="1"/>
      <x:c r="J60" s="1"/>
      <x:c r="K60" s="1"/>
      <x:c r="L60" s="1"/>
      <x:c r="M60" s="1"/>
      <x:c r="N60" s="1"/>
      <x:c r="O60" s="1"/>
      <x:c r="P60" s="1"/>
      <x:c r="Q60" s="1"/>
      <x:c r="R60" s="1"/>
      <x:c r="S60" s="1"/>
      <x:c r="T60" s="1"/>
    </x:row>
    <x:row r="61" ht="18" customHeight="1">
      <x:c r="A61" s="1"/>
      <x:c r="B61" s="19" t="n">
        <x:v>54</x:v>
      </x:c>
      <x:c r="C61" s="56"/>
      <x:c r="D61" s="27"/>
      <x:c r="E61" s="27"/>
      <x:c r="F61" s="27"/>
      <x:c r="G61" s="27"/>
      <x:c r="H61" s="27"/>
      <x:c r="I61" s="1"/>
      <x:c r="J61" s="1"/>
      <x:c r="K61" s="1"/>
      <x:c r="L61" s="1"/>
      <x:c r="M61" s="1"/>
      <x:c r="N61" s="1"/>
      <x:c r="O61" s="1"/>
      <x:c r="P61" s="1"/>
      <x:c r="Q61" s="1"/>
      <x:c r="R61" s="1"/>
      <x:c r="S61" s="1"/>
      <x:c r="T61" s="1"/>
    </x:row>
    <x:row r="62" ht="18" customHeight="1">
      <x:c r="A62" s="1"/>
      <x:c r="B62" s="19" t="n">
        <x:v>55</x:v>
      </x:c>
      <x:c r="C62" s="56"/>
      <x:c r="D62" s="27"/>
      <x:c r="E62" s="27"/>
      <x:c r="F62" s="27"/>
      <x:c r="G62" s="27"/>
      <x:c r="H62" s="27"/>
      <x:c r="I62" s="1"/>
      <x:c r="J62" s="1"/>
      <x:c r="K62" s="1"/>
      <x:c r="L62" s="1"/>
      <x:c r="M62" s="1"/>
      <x:c r="N62" s="1"/>
      <x:c r="O62" s="1"/>
      <x:c r="P62" s="1"/>
      <x:c r="Q62" s="1"/>
      <x:c r="R62" s="1"/>
      <x:c r="S62" s="1"/>
      <x:c r="T62" s="1"/>
    </x:row>
    <x:row r="63" ht="18" customHeight="1">
      <x:c r="A63" s="1"/>
      <x:c r="B63" s="19" t="n">
        <x:v>56</x:v>
      </x:c>
      <x:c r="C63" s="56"/>
      <x:c r="D63" s="27"/>
      <x:c r="E63" s="27"/>
      <x:c r="F63" s="27"/>
      <x:c r="G63" s="27"/>
      <x:c r="H63" s="27"/>
      <x:c r="I63" s="1"/>
      <x:c r="J63" s="1"/>
      <x:c r="K63" s="1"/>
      <x:c r="L63" s="1"/>
      <x:c r="M63" s="1"/>
      <x:c r="N63" s="1"/>
      <x:c r="O63" s="1"/>
      <x:c r="P63" s="1"/>
      <x:c r="Q63" s="1"/>
      <x:c r="R63" s="1"/>
      <x:c r="S63" s="1"/>
      <x:c r="T63" s="1"/>
    </x:row>
    <x:row r="64" ht="18" customHeight="1">
      <x:c r="A64" s="1"/>
      <x:c r="B64" s="19" t="n">
        <x:v>57</x:v>
      </x:c>
      <x:c r="C64" s="56"/>
      <x:c r="D64" s="27"/>
      <x:c r="E64" s="27"/>
      <x:c r="F64" s="27"/>
      <x:c r="G64" s="27"/>
      <x:c r="H64" s="27"/>
      <x:c r="I64" s="1"/>
      <x:c r="J64" s="1"/>
      <x:c r="K64" s="1"/>
      <x:c r="L64" s="1"/>
      <x:c r="M64" s="1"/>
      <x:c r="N64" s="1"/>
      <x:c r="O64" s="1"/>
      <x:c r="P64" s="1"/>
      <x:c r="Q64" s="1"/>
      <x:c r="R64" s="1"/>
      <x:c r="S64" s="1"/>
      <x:c r="T64" s="1"/>
    </x:row>
    <x:row r="65" ht="18" customHeight="1">
      <x:c r="A65" s="1"/>
      <x:c r="B65" s="19" t="n">
        <x:v>58</x:v>
      </x:c>
      <x:c r="C65" s="56"/>
      <x:c r="D65" s="27"/>
      <x:c r="E65" s="27"/>
      <x:c r="F65" s="27"/>
      <x:c r="G65" s="27"/>
      <x:c r="H65" s="27"/>
      <x:c r="I65" s="1"/>
      <x:c r="J65" s="1"/>
      <x:c r="K65" s="1"/>
      <x:c r="L65" s="1"/>
      <x:c r="M65" s="1"/>
      <x:c r="N65" s="1"/>
      <x:c r="O65" s="1"/>
      <x:c r="P65" s="1"/>
      <x:c r="Q65" s="1"/>
      <x:c r="R65" s="1"/>
      <x:c r="S65" s="1"/>
      <x:c r="T65" s="1"/>
    </x:row>
    <x:row r="66" ht="18" customHeight="1">
      <x:c r="A66" s="1"/>
      <x:c r="B66" s="19" t="n">
        <x:v>59</x:v>
      </x:c>
      <x:c r="C66" s="56"/>
      <x:c r="D66" s="27"/>
      <x:c r="E66" s="27"/>
      <x:c r="F66" s="27"/>
      <x:c r="G66" s="27"/>
      <x:c r="H66" s="27"/>
      <x:c r="I66" s="1"/>
      <x:c r="J66" s="1"/>
      <x:c r="K66" s="1"/>
      <x:c r="L66" s="1"/>
      <x:c r="M66" s="1"/>
      <x:c r="N66" s="1"/>
      <x:c r="O66" s="1"/>
      <x:c r="P66" s="1"/>
      <x:c r="Q66" s="1"/>
      <x:c r="R66" s="1"/>
      <x:c r="S66" s="1"/>
      <x:c r="T66" s="1"/>
    </x:row>
    <x:row r="67" ht="18" customHeight="1">
      <x:c r="A67" s="1"/>
      <x:c r="B67" s="19" t="n">
        <x:v>60</x:v>
      </x:c>
      <x:c r="C67" s="56"/>
      <x:c r="D67" s="27"/>
      <x:c r="E67" s="27"/>
      <x:c r="F67" s="27"/>
      <x:c r="G67" s="27"/>
      <x:c r="H67" s="27"/>
      <x:c r="I67" s="1"/>
      <x:c r="J67" s="1"/>
      <x:c r="K67" s="1"/>
      <x:c r="L67" s="1"/>
      <x:c r="M67" s="1"/>
      <x:c r="N67" s="1"/>
      <x:c r="O67" s="1"/>
      <x:c r="P67" s="1"/>
      <x:c r="Q67" s="1"/>
      <x:c r="R67" s="1"/>
      <x:c r="S67" s="1"/>
      <x:c r="T67" s="1"/>
    </x:row>
    <x:row r="68" ht="18" customHeight="1">
      <x:c r="A68" s="1"/>
      <x:c r="B68" s="19" t="n">
        <x:v>61</x:v>
      </x:c>
      <x:c r="C68" s="56"/>
      <x:c r="D68" s="27"/>
      <x:c r="E68" s="27"/>
      <x:c r="F68" s="27"/>
      <x:c r="G68" s="27"/>
      <x:c r="H68" s="27"/>
      <x:c r="I68" s="1"/>
      <x:c r="J68" s="1"/>
      <x:c r="K68" s="1"/>
      <x:c r="L68" s="1"/>
      <x:c r="M68" s="1"/>
      <x:c r="N68" s="1"/>
      <x:c r="O68" s="1"/>
      <x:c r="P68" s="1"/>
      <x:c r="Q68" s="1"/>
      <x:c r="R68" s="1"/>
      <x:c r="S68" s="1"/>
      <x:c r="T68" s="1"/>
    </x:row>
    <x:row r="69" ht="18" customHeight="1">
      <x:c r="A69" s="1"/>
      <x:c r="B69" s="19" t="n">
        <x:v>62</x:v>
      </x:c>
      <x:c r="C69" s="56"/>
      <x:c r="D69" s="27"/>
      <x:c r="E69" s="27"/>
      <x:c r="F69" s="27"/>
      <x:c r="G69" s="27"/>
      <x:c r="H69" s="27"/>
      <x:c r="I69" s="1"/>
      <x:c r="J69" s="1"/>
      <x:c r="K69" s="1"/>
      <x:c r="L69" s="1"/>
      <x:c r="M69" s="1"/>
      <x:c r="N69" s="1"/>
      <x:c r="O69" s="1"/>
      <x:c r="P69" s="1"/>
      <x:c r="Q69" s="1"/>
      <x:c r="R69" s="1"/>
      <x:c r="S69" s="1"/>
      <x:c r="T69" s="1"/>
    </x:row>
    <x:row r="70" ht="18" customHeight="1">
      <x:c r="A70" s="1"/>
      <x:c r="B70" s="19" t="n">
        <x:v>63</x:v>
      </x:c>
      <x:c r="C70" s="56"/>
      <x:c r="D70" s="27"/>
      <x:c r="E70" s="27"/>
      <x:c r="F70" s="27"/>
      <x:c r="G70" s="27"/>
      <x:c r="H70" s="27"/>
      <x:c r="I70" s="1"/>
      <x:c r="J70" s="1"/>
      <x:c r="K70" s="1"/>
      <x:c r="L70" s="1"/>
      <x:c r="M70" s="1"/>
      <x:c r="N70" s="1"/>
      <x:c r="O70" s="1"/>
      <x:c r="P70" s="1"/>
      <x:c r="Q70" s="1"/>
      <x:c r="R70" s="1"/>
      <x:c r="S70" s="1"/>
      <x:c r="T70" s="1"/>
    </x:row>
    <x:row r="71" ht="18" customHeight="1">
      <x:c r="A71" s="1"/>
      <x:c r="B71" s="19" t="n">
        <x:v>64</x:v>
      </x:c>
      <x:c r="C71" s="56"/>
      <x:c r="D71" s="27"/>
      <x:c r="E71" s="27"/>
      <x:c r="F71" s="27"/>
      <x:c r="G71" s="27"/>
      <x:c r="H71" s="27"/>
      <x:c r="I71" s="1"/>
      <x:c r="J71" s="1"/>
      <x:c r="K71" s="1"/>
      <x:c r="L71" s="1"/>
      <x:c r="M71" s="1"/>
      <x:c r="N71" s="1"/>
      <x:c r="O71" s="1"/>
      <x:c r="P71" s="1"/>
      <x:c r="Q71" s="1"/>
      <x:c r="R71" s="1"/>
      <x:c r="S71" s="1"/>
      <x:c r="T71" s="1"/>
    </x:row>
    <x:row r="72" ht="18" customHeight="1">
      <x:c r="A72" s="1"/>
      <x:c r="B72" s="19" t="n">
        <x:v>65</x:v>
      </x:c>
      <x:c r="C72" s="56"/>
      <x:c r="D72" s="27"/>
      <x:c r="E72" s="27"/>
      <x:c r="F72" s="27"/>
      <x:c r="G72" s="27"/>
      <x:c r="H72" s="27"/>
      <x:c r="I72" s="1"/>
      <x:c r="J72" s="1"/>
      <x:c r="K72" s="1"/>
      <x:c r="L72" s="1"/>
      <x:c r="M72" s="1"/>
      <x:c r="N72" s="1"/>
      <x:c r="O72" s="1"/>
      <x:c r="P72" s="1"/>
      <x:c r="Q72" s="1"/>
      <x:c r="R72" s="1"/>
      <x:c r="S72" s="1"/>
      <x:c r="T72" s="1"/>
    </x:row>
    <x:row r="73" ht="18" customHeight="1">
      <x:c r="A73" s="1"/>
      <x:c r="B73" s="19" t="n">
        <x:v>66</x:v>
      </x:c>
      <x:c r="C73" s="56"/>
      <x:c r="D73" s="27"/>
      <x:c r="E73" s="27"/>
      <x:c r="F73" s="27"/>
      <x:c r="G73" s="27"/>
      <x:c r="H73" s="27"/>
      <x:c r="I73" s="1"/>
      <x:c r="J73" s="1"/>
      <x:c r="K73" s="1"/>
      <x:c r="L73" s="1"/>
      <x:c r="M73" s="1"/>
      <x:c r="N73" s="1"/>
      <x:c r="O73" s="1"/>
      <x:c r="P73" s="1"/>
      <x:c r="Q73" s="1"/>
      <x:c r="R73" s="1"/>
      <x:c r="S73" s="1"/>
      <x:c r="T73" s="1"/>
    </x:row>
    <x:row r="74" ht="18" customHeight="1">
      <x:c r="A74" s="1"/>
      <x:c r="B74" s="19" t="n">
        <x:v>67</x:v>
      </x:c>
      <x:c r="C74" s="56"/>
      <x:c r="D74" s="27"/>
      <x:c r="E74" s="27"/>
      <x:c r="F74" s="27"/>
      <x:c r="G74" s="27"/>
      <x:c r="H74" s="27"/>
      <x:c r="I74" s="1"/>
      <x:c r="J74" s="1"/>
      <x:c r="K74" s="1"/>
      <x:c r="L74" s="1"/>
      <x:c r="M74" s="1"/>
      <x:c r="N74" s="1"/>
      <x:c r="O74" s="1"/>
      <x:c r="P74" s="1"/>
      <x:c r="Q74" s="1"/>
      <x:c r="R74" s="1"/>
      <x:c r="S74" s="1"/>
      <x:c r="T74" s="1"/>
    </x:row>
    <x:row r="75" ht="18" customHeight="1">
      <x:c r="A75" s="1"/>
      <x:c r="B75" s="19" t="n">
        <x:v>68</x:v>
      </x:c>
      <x:c r="C75" s="56"/>
      <x:c r="D75" s="27"/>
      <x:c r="E75" s="27"/>
      <x:c r="F75" s="27"/>
      <x:c r="G75" s="27"/>
      <x:c r="H75" s="27"/>
      <x:c r="I75" s="1"/>
      <x:c r="J75" s="1"/>
      <x:c r="K75" s="1"/>
      <x:c r="L75" s="1"/>
      <x:c r="M75" s="1"/>
      <x:c r="N75" s="1"/>
      <x:c r="O75" s="1"/>
      <x:c r="P75" s="1"/>
      <x:c r="Q75" s="1"/>
      <x:c r="R75" s="1"/>
      <x:c r="S75" s="1"/>
      <x:c r="T75" s="1"/>
    </x:row>
    <x:row r="76" ht="18" customHeight="1">
      <x:c r="A76" s="1"/>
      <x:c r="B76" s="19" t="n">
        <x:v>69</x:v>
      </x:c>
      <x:c r="C76" s="56"/>
      <x:c r="D76" s="27"/>
      <x:c r="E76" s="27"/>
      <x:c r="F76" s="27"/>
      <x:c r="G76" s="27"/>
      <x:c r="H76" s="27"/>
      <x:c r="I76" s="1"/>
      <x:c r="J76" s="1"/>
      <x:c r="K76" s="1"/>
      <x:c r="L76" s="1"/>
      <x:c r="M76" s="1"/>
      <x:c r="N76" s="1"/>
      <x:c r="O76" s="1"/>
      <x:c r="P76" s="1"/>
      <x:c r="Q76" s="1"/>
      <x:c r="R76" s="1"/>
      <x:c r="S76" s="1"/>
      <x:c r="T76" s="1"/>
    </x:row>
    <x:row r="77" ht="18" customHeight="1">
      <x:c r="A77" s="1"/>
      <x:c r="B77" s="19" t="n">
        <x:v>70</x:v>
      </x:c>
      <x:c r="C77" s="56"/>
      <x:c r="D77" s="27"/>
      <x:c r="E77" s="27"/>
      <x:c r="F77" s="27"/>
      <x:c r="G77" s="27"/>
      <x:c r="H77" s="27"/>
      <x:c r="I77" s="1"/>
      <x:c r="J77" s="1"/>
      <x:c r="K77" s="1"/>
      <x:c r="L77" s="1"/>
      <x:c r="M77" s="1"/>
      <x:c r="N77" s="1"/>
      <x:c r="O77" s="1"/>
      <x:c r="P77" s="1"/>
      <x:c r="Q77" s="1"/>
      <x:c r="R77" s="1"/>
      <x:c r="S77" s="1"/>
      <x:c r="T77" s="1"/>
    </x:row>
    <x:row r="78" ht="18" customHeight="1">
      <x:c r="A78" s="1"/>
      <x:c r="B78" s="19" t="n">
        <x:v>71</x:v>
      </x:c>
      <x:c r="C78" s="56"/>
      <x:c r="D78" s="27"/>
      <x:c r="E78" s="27"/>
      <x:c r="F78" s="27"/>
      <x:c r="G78" s="27"/>
      <x:c r="H78" s="27"/>
      <x:c r="I78" s="1"/>
      <x:c r="J78" s="1"/>
      <x:c r="K78" s="1"/>
      <x:c r="L78" s="1"/>
      <x:c r="M78" s="1"/>
      <x:c r="N78" s="1"/>
      <x:c r="O78" s="1"/>
      <x:c r="P78" s="1"/>
      <x:c r="Q78" s="1"/>
      <x:c r="R78" s="1"/>
      <x:c r="S78" s="1"/>
      <x:c r="T78" s="1"/>
    </x:row>
    <x:row r="79" ht="18" customHeight="1">
      <x:c r="A79" s="1"/>
      <x:c r="B79" s="19" t="n">
        <x:v>72</x:v>
      </x:c>
      <x:c r="C79" s="56"/>
      <x:c r="D79" s="27"/>
      <x:c r="E79" s="27"/>
      <x:c r="F79" s="27"/>
      <x:c r="G79" s="27"/>
      <x:c r="H79" s="27"/>
      <x:c r="I79" s="1"/>
      <x:c r="J79" s="1"/>
      <x:c r="K79" s="1"/>
      <x:c r="L79" s="1"/>
      <x:c r="M79" s="1"/>
      <x:c r="N79" s="1"/>
      <x:c r="O79" s="1"/>
      <x:c r="P79" s="1"/>
      <x:c r="Q79" s="1"/>
      <x:c r="R79" s="1"/>
      <x:c r="S79" s="1"/>
      <x:c r="T79" s="1"/>
    </x:row>
    <x:row r="80" ht="18" customHeight="1">
      <x:c r="A80" s="1"/>
      <x:c r="B80" s="19" t="n">
        <x:v>73</x:v>
      </x:c>
      <x:c r="C80" s="56"/>
      <x:c r="D80" s="27"/>
      <x:c r="E80" s="27"/>
      <x:c r="F80" s="27"/>
      <x:c r="G80" s="27"/>
      <x:c r="H80" s="27"/>
      <x:c r="I80" s="1"/>
      <x:c r="J80" s="1"/>
      <x:c r="K80" s="1"/>
      <x:c r="L80" s="1"/>
      <x:c r="M80" s="1"/>
      <x:c r="N80" s="1"/>
      <x:c r="O80" s="1"/>
      <x:c r="P80" s="1"/>
      <x:c r="Q80" s="1"/>
      <x:c r="R80" s="1"/>
      <x:c r="S80" s="1"/>
      <x:c r="T80" s="1"/>
    </x:row>
    <x:row r="81" ht="18" customHeight="1">
      <x:c r="A81" s="1"/>
      <x:c r="B81" s="19" t="n">
        <x:v>74</x:v>
      </x:c>
      <x:c r="C81" s="56"/>
      <x:c r="D81" s="27"/>
      <x:c r="E81" s="27"/>
      <x:c r="F81" s="27"/>
      <x:c r="G81" s="27"/>
      <x:c r="H81" s="27"/>
      <x:c r="I81" s="1"/>
      <x:c r="J81" s="1"/>
      <x:c r="K81" s="1"/>
      <x:c r="L81" s="1"/>
      <x:c r="M81" s="1"/>
      <x:c r="N81" s="1"/>
      <x:c r="O81" s="1"/>
      <x:c r="P81" s="1"/>
      <x:c r="Q81" s="1"/>
      <x:c r="R81" s="1"/>
      <x:c r="S81" s="1"/>
      <x:c r="T81" s="1"/>
    </x:row>
    <x:row r="82" ht="18" customHeight="1">
      <x:c r="A82" s="1"/>
      <x:c r="B82" s="19" t="n">
        <x:v>75</x:v>
      </x:c>
      <x:c r="C82" s="56"/>
      <x:c r="D82" s="27"/>
      <x:c r="E82" s="27"/>
      <x:c r="F82" s="27"/>
      <x:c r="G82" s="27"/>
      <x:c r="H82" s="27"/>
      <x:c r="I82" s="1"/>
      <x:c r="J82" s="1"/>
      <x:c r="K82" s="1"/>
      <x:c r="L82" s="1"/>
      <x:c r="M82" s="1"/>
      <x:c r="N82" s="1"/>
      <x:c r="O82" s="1"/>
      <x:c r="P82" s="1"/>
      <x:c r="Q82" s="1"/>
      <x:c r="R82" s="1"/>
      <x:c r="S82" s="1"/>
      <x:c r="T82" s="1"/>
    </x:row>
    <x:row r="83" ht="18" customHeight="1">
      <x:c r="A83" s="1"/>
      <x:c r="B83" s="19" t="n">
        <x:v>76</x:v>
      </x:c>
      <x:c r="C83" s="56"/>
      <x:c r="D83" s="27"/>
      <x:c r="E83" s="27"/>
      <x:c r="F83" s="27"/>
      <x:c r="G83" s="27"/>
      <x:c r="H83" s="27"/>
      <x:c r="I83" s="1"/>
      <x:c r="J83" s="1"/>
      <x:c r="K83" s="1"/>
      <x:c r="L83" s="1"/>
      <x:c r="M83" s="1"/>
      <x:c r="N83" s="1"/>
      <x:c r="O83" s="1"/>
      <x:c r="P83" s="1"/>
      <x:c r="Q83" s="1"/>
      <x:c r="R83" s="1"/>
      <x:c r="S83" s="1"/>
      <x:c r="T83" s="1"/>
    </x:row>
    <x:row r="84" ht="18" customHeight="1">
      <x:c r="A84" s="1"/>
      <x:c r="B84" s="19" t="n">
        <x:v>77</x:v>
      </x:c>
      <x:c r="C84" s="56"/>
      <x:c r="D84" s="27"/>
      <x:c r="E84" s="27"/>
      <x:c r="F84" s="27"/>
      <x:c r="G84" s="27"/>
      <x:c r="H84" s="27"/>
      <x:c r="I84" s="1"/>
      <x:c r="J84" s="1"/>
      <x:c r="K84" s="1"/>
      <x:c r="L84" s="1"/>
      <x:c r="M84" s="1"/>
      <x:c r="N84" s="1"/>
      <x:c r="O84" s="1"/>
      <x:c r="P84" s="1"/>
      <x:c r="Q84" s="1"/>
      <x:c r="R84" s="1"/>
      <x:c r="S84" s="1"/>
      <x:c r="T84" s="1"/>
    </x:row>
    <x:row r="85" ht="18" customHeight="1">
      <x:c r="A85" s="1"/>
      <x:c r="B85" s="19" t="n">
        <x:v>78</x:v>
      </x:c>
      <x:c r="C85" s="56"/>
      <x:c r="D85" s="27"/>
      <x:c r="E85" s="27"/>
      <x:c r="F85" s="27"/>
      <x:c r="G85" s="27"/>
      <x:c r="H85" s="27"/>
      <x:c r="I85" s="1"/>
      <x:c r="J85" s="1"/>
      <x:c r="K85" s="1"/>
      <x:c r="L85" s="1"/>
      <x:c r="M85" s="1"/>
      <x:c r="N85" s="1"/>
      <x:c r="O85" s="1"/>
      <x:c r="P85" s="1"/>
      <x:c r="Q85" s="1"/>
      <x:c r="R85" s="1"/>
      <x:c r="S85" s="1"/>
      <x:c r="T85" s="1"/>
    </x:row>
    <x:row r="86" ht="18" customHeight="1">
      <x:c r="A86" s="1"/>
      <x:c r="B86" s="19" t="n">
        <x:v>79</x:v>
      </x:c>
      <x:c r="C86" s="56"/>
      <x:c r="D86" s="27"/>
      <x:c r="E86" s="27"/>
      <x:c r="F86" s="27"/>
      <x:c r="G86" s="27"/>
      <x:c r="H86" s="27"/>
      <x:c r="I86" s="1"/>
      <x:c r="J86" s="1"/>
      <x:c r="K86" s="1"/>
      <x:c r="L86" s="1"/>
      <x:c r="M86" s="1"/>
      <x:c r="N86" s="1"/>
      <x:c r="O86" s="1"/>
      <x:c r="P86" s="1"/>
      <x:c r="Q86" s="1"/>
      <x:c r="R86" s="1"/>
      <x:c r="S86" s="1"/>
      <x:c r="T86" s="1"/>
    </x:row>
    <x:row r="87" ht="18" customHeight="1">
      <x:c r="A87" s="1"/>
      <x:c r="B87" s="19" t="n">
        <x:v>80</x:v>
      </x:c>
      <x:c r="C87" s="56"/>
      <x:c r="D87" s="27"/>
      <x:c r="E87" s="27"/>
      <x:c r="F87" s="27"/>
      <x:c r="G87" s="27"/>
      <x:c r="H87" s="27"/>
      <x:c r="I87" s="1"/>
      <x:c r="J87" s="1"/>
      <x:c r="K87" s="1"/>
      <x:c r="L87" s="1"/>
      <x:c r="M87" s="1"/>
      <x:c r="N87" s="1"/>
      <x:c r="O87" s="1"/>
      <x:c r="P87" s="1"/>
      <x:c r="Q87" s="1"/>
      <x:c r="R87" s="1"/>
      <x:c r="S87" s="1"/>
      <x:c r="T87" s="1"/>
    </x:row>
    <x:row r="88" ht="18" customHeight="1">
      <x:c r="A88" s="1"/>
      <x:c r="B88" s="19" t="n">
        <x:v>81</x:v>
      </x:c>
      <x:c r="C88" s="56"/>
      <x:c r="D88" s="27"/>
      <x:c r="E88" s="27"/>
      <x:c r="F88" s="27"/>
      <x:c r="G88" s="27"/>
      <x:c r="H88" s="27"/>
      <x:c r="I88" s="1"/>
      <x:c r="J88" s="1"/>
      <x:c r="K88" s="1"/>
      <x:c r="L88" s="1"/>
      <x:c r="M88" s="1"/>
      <x:c r="N88" s="1"/>
      <x:c r="O88" s="1"/>
      <x:c r="P88" s="1"/>
      <x:c r="Q88" s="1"/>
      <x:c r="R88" s="1"/>
      <x:c r="S88" s="1"/>
      <x:c r="T88" s="1"/>
    </x:row>
    <x:row r="89" ht="18" customHeight="1">
      <x:c r="A89" s="1"/>
      <x:c r="B89" s="19" t="n">
        <x:v>82</x:v>
      </x:c>
      <x:c r="C89" s="56"/>
      <x:c r="D89" s="27"/>
      <x:c r="E89" s="27"/>
      <x:c r="F89" s="27"/>
      <x:c r="G89" s="27"/>
      <x:c r="H89" s="27"/>
      <x:c r="I89" s="1"/>
      <x:c r="J89" s="1"/>
      <x:c r="K89" s="1"/>
      <x:c r="L89" s="1"/>
      <x:c r="M89" s="1"/>
      <x:c r="N89" s="1"/>
      <x:c r="O89" s="1"/>
      <x:c r="P89" s="1"/>
      <x:c r="Q89" s="1"/>
      <x:c r="R89" s="1"/>
      <x:c r="S89" s="1"/>
      <x:c r="T89" s="1"/>
    </x:row>
    <x:row r="90" ht="18" customHeight="1">
      <x:c r="A90" s="1"/>
      <x:c r="B90" s="19" t="n">
        <x:v>83</x:v>
      </x:c>
      <x:c r="C90" s="56"/>
      <x:c r="D90" s="27"/>
      <x:c r="E90" s="27"/>
      <x:c r="F90" s="27"/>
      <x:c r="G90" s="27"/>
      <x:c r="H90" s="27"/>
      <x:c r="I90" s="1"/>
      <x:c r="J90" s="1"/>
      <x:c r="K90" s="1"/>
      <x:c r="L90" s="1"/>
      <x:c r="M90" s="1"/>
      <x:c r="N90" s="1"/>
      <x:c r="O90" s="1"/>
      <x:c r="P90" s="1"/>
      <x:c r="Q90" s="1"/>
      <x:c r="R90" s="1"/>
      <x:c r="S90" s="1"/>
      <x:c r="T90" s="1"/>
    </x:row>
    <x:row r="91" ht="18" customHeight="1">
      <x:c r="A91" s="1"/>
      <x:c r="B91" s="19" t="n">
        <x:v>84</x:v>
      </x:c>
      <x:c r="C91" s="56"/>
      <x:c r="D91" s="27"/>
      <x:c r="E91" s="27"/>
      <x:c r="F91" s="27"/>
      <x:c r="G91" s="27"/>
      <x:c r="H91" s="27"/>
      <x:c r="I91" s="1"/>
      <x:c r="J91" s="1"/>
      <x:c r="K91" s="1"/>
      <x:c r="L91" s="1"/>
      <x:c r="M91" s="1"/>
      <x:c r="N91" s="1"/>
      <x:c r="O91" s="1"/>
      <x:c r="P91" s="1"/>
      <x:c r="Q91" s="1"/>
      <x:c r="R91" s="1"/>
      <x:c r="S91" s="1"/>
      <x:c r="T91" s="1"/>
    </x:row>
    <x:row r="92" ht="18" customHeight="1">
      <x:c r="A92" s="1"/>
      <x:c r="B92" s="19" t="n">
        <x:v>85</x:v>
      </x:c>
      <x:c r="C92" s="56"/>
      <x:c r="D92" s="27"/>
      <x:c r="E92" s="27"/>
      <x:c r="F92" s="27"/>
      <x:c r="G92" s="27"/>
      <x:c r="H92" s="27"/>
      <x:c r="I92" s="1"/>
      <x:c r="J92" s="1"/>
      <x:c r="K92" s="1"/>
      <x:c r="L92" s="1"/>
      <x:c r="M92" s="1"/>
      <x:c r="N92" s="1"/>
      <x:c r="O92" s="1"/>
      <x:c r="P92" s="1"/>
      <x:c r="Q92" s="1"/>
      <x:c r="R92" s="1"/>
      <x:c r="S92" s="1"/>
      <x:c r="T92" s="1"/>
    </x:row>
    <x:row r="93" ht="18" customHeight="1">
      <x:c r="A93" s="1"/>
      <x:c r="B93" s="19" t="n">
        <x:v>86</x:v>
      </x:c>
      <x:c r="C93" s="56"/>
      <x:c r="D93" s="27"/>
      <x:c r="E93" s="27"/>
      <x:c r="F93" s="27"/>
      <x:c r="G93" s="27"/>
      <x:c r="H93" s="27"/>
      <x:c r="I93" s="1"/>
      <x:c r="J93" s="1"/>
      <x:c r="K93" s="1"/>
      <x:c r="L93" s="1"/>
      <x:c r="M93" s="1"/>
      <x:c r="N93" s="1"/>
      <x:c r="O93" s="1"/>
      <x:c r="P93" s="1"/>
      <x:c r="Q93" s="1"/>
      <x:c r="R93" s="1"/>
      <x:c r="S93" s="1"/>
      <x:c r="T93" s="1"/>
    </x:row>
    <x:row r="94" ht="18" customHeight="1">
      <x:c r="A94" s="1"/>
      <x:c r="B94" s="19" t="n">
        <x:v>87</x:v>
      </x:c>
      <x:c r="C94" s="56"/>
      <x:c r="D94" s="27"/>
      <x:c r="E94" s="27"/>
      <x:c r="F94" s="27"/>
      <x:c r="G94" s="27"/>
      <x:c r="H94" s="27"/>
      <x:c r="I94" s="1"/>
      <x:c r="J94" s="1"/>
      <x:c r="K94" s="1"/>
      <x:c r="L94" s="1"/>
      <x:c r="M94" s="1"/>
      <x:c r="N94" s="1"/>
      <x:c r="O94" s="1"/>
      <x:c r="P94" s="1"/>
      <x:c r="Q94" s="1"/>
      <x:c r="R94" s="1"/>
      <x:c r="S94" s="1"/>
      <x:c r="T94" s="1"/>
    </x:row>
    <x:row r="95" ht="18" customHeight="1">
      <x:c r="A95" s="1"/>
      <x:c r="B95" s="19" t="n">
        <x:v>88</x:v>
      </x:c>
      <x:c r="C95" s="56"/>
      <x:c r="D95" s="27"/>
      <x:c r="E95" s="27"/>
      <x:c r="F95" s="27"/>
      <x:c r="G95" s="27"/>
      <x:c r="H95" s="27"/>
      <x:c r="I95" s="1"/>
      <x:c r="J95" s="1"/>
      <x:c r="K95" s="1"/>
      <x:c r="L95" s="1"/>
      <x:c r="M95" s="1"/>
      <x:c r="N95" s="1"/>
      <x:c r="O95" s="1"/>
      <x:c r="P95" s="1"/>
      <x:c r="Q95" s="1"/>
      <x:c r="R95" s="1"/>
      <x:c r="S95" s="1"/>
      <x:c r="T95" s="1"/>
    </x:row>
    <x:row r="96" ht="18" customHeight="1">
      <x:c r="A96" s="1"/>
      <x:c r="B96" s="19" t="n">
        <x:v>89</x:v>
      </x:c>
      <x:c r="C96" s="56"/>
      <x:c r="D96" s="27"/>
      <x:c r="E96" s="27"/>
      <x:c r="F96" s="27"/>
      <x:c r="G96" s="27"/>
      <x:c r="H96" s="27"/>
      <x:c r="I96" s="1"/>
      <x:c r="J96" s="1"/>
      <x:c r="K96" s="1"/>
      <x:c r="L96" s="1"/>
      <x:c r="M96" s="1"/>
      <x:c r="N96" s="1"/>
      <x:c r="O96" s="1"/>
      <x:c r="P96" s="1"/>
      <x:c r="Q96" s="1"/>
      <x:c r="R96" s="1"/>
      <x:c r="S96" s="1"/>
      <x:c r="T96" s="1"/>
    </x:row>
    <x:row r="97" ht="18" customHeight="1">
      <x:c r="A97" s="1"/>
      <x:c r="B97" s="19" t="n">
        <x:v>90</x:v>
      </x:c>
      <x:c r="C97" s="56"/>
      <x:c r="D97" s="27"/>
      <x:c r="E97" s="27"/>
      <x:c r="F97" s="27"/>
      <x:c r="G97" s="27"/>
      <x:c r="H97" s="27"/>
      <x:c r="I97" s="1"/>
      <x:c r="J97" s="1"/>
      <x:c r="K97" s="1"/>
      <x:c r="L97" s="1"/>
      <x:c r="M97" s="1"/>
      <x:c r="N97" s="1"/>
      <x:c r="O97" s="1"/>
      <x:c r="P97" s="1"/>
      <x:c r="Q97" s="1"/>
      <x:c r="R97" s="1"/>
      <x:c r="S97" s="1"/>
      <x:c r="T97" s="1"/>
    </x:row>
    <x:row r="98" ht="18" customHeight="1">
      <x:c r="A98" s="1"/>
      <x:c r="B98" s="19" t="n">
        <x:v>91</x:v>
      </x:c>
      <x:c r="C98" s="56"/>
      <x:c r="D98" s="27"/>
      <x:c r="E98" s="27"/>
      <x:c r="F98" s="27"/>
      <x:c r="G98" s="27"/>
      <x:c r="H98" s="27"/>
      <x:c r="I98" s="1"/>
      <x:c r="J98" s="1"/>
      <x:c r="K98" s="1"/>
      <x:c r="L98" s="1"/>
      <x:c r="M98" s="1"/>
      <x:c r="N98" s="1"/>
      <x:c r="O98" s="1"/>
      <x:c r="P98" s="1"/>
      <x:c r="Q98" s="1"/>
      <x:c r="R98" s="1"/>
      <x:c r="S98" s="1"/>
      <x:c r="T98" s="1"/>
    </x:row>
    <x:row r="99" ht="18" customHeight="1">
      <x:c r="A99" s="1"/>
      <x:c r="B99" s="19" t="n">
        <x:v>92</x:v>
      </x:c>
      <x:c r="C99" s="56"/>
      <x:c r="D99" s="27"/>
      <x:c r="E99" s="27"/>
      <x:c r="F99" s="27"/>
      <x:c r="G99" s="27"/>
      <x:c r="H99" s="27"/>
      <x:c r="I99" s="1"/>
      <x:c r="J99" s="1"/>
      <x:c r="K99" s="1"/>
      <x:c r="L99" s="1"/>
      <x:c r="M99" s="1"/>
      <x:c r="N99" s="1"/>
      <x:c r="O99" s="1"/>
      <x:c r="P99" s="1"/>
      <x:c r="Q99" s="1"/>
      <x:c r="R99" s="1"/>
      <x:c r="S99" s="1"/>
      <x:c r="T99" s="1"/>
    </x:row>
    <x:row r="100" ht="18" customHeight="1">
      <x:c r="A100" s="1"/>
      <x:c r="B100" s="19" t="n">
        <x:v>93</x:v>
      </x:c>
      <x:c r="C100" s="56"/>
      <x:c r="D100" s="27"/>
      <x:c r="E100" s="27"/>
      <x:c r="F100" s="27"/>
      <x:c r="G100" s="27"/>
      <x:c r="H100" s="27"/>
      <x:c r="I100" s="1"/>
      <x:c r="J100" s="1"/>
      <x:c r="K100" s="1"/>
      <x:c r="L100" s="1"/>
      <x:c r="M100" s="1"/>
      <x:c r="N100" s="1"/>
      <x:c r="O100" s="1"/>
      <x:c r="P100" s="1"/>
      <x:c r="Q100" s="1"/>
      <x:c r="R100" s="1"/>
      <x:c r="S100" s="1"/>
      <x:c r="T100" s="1"/>
    </x:row>
    <x:row r="101" ht="18" customHeight="1">
      <x:c r="A101" s="1"/>
      <x:c r="B101" s="19" t="n">
        <x:v>94</x:v>
      </x:c>
      <x:c r="C101" s="56"/>
      <x:c r="D101" s="27"/>
      <x:c r="E101" s="27"/>
      <x:c r="F101" s="27"/>
      <x:c r="G101" s="27"/>
      <x:c r="H101" s="27"/>
      <x:c r="I101" s="1"/>
      <x:c r="J101" s="1"/>
      <x:c r="K101" s="1"/>
      <x:c r="L101" s="1"/>
      <x:c r="M101" s="1"/>
      <x:c r="N101" s="1"/>
      <x:c r="O101" s="1"/>
      <x:c r="P101" s="1"/>
      <x:c r="Q101" s="1"/>
      <x:c r="R101" s="1"/>
      <x:c r="S101" s="1"/>
      <x:c r="T101" s="1"/>
    </x:row>
    <x:row r="102" ht="18" customHeight="1">
      <x:c r="A102" s="1"/>
      <x:c r="B102" s="19" t="n">
        <x:v>95</x:v>
      </x:c>
      <x:c r="C102" s="56"/>
      <x:c r="D102" s="27"/>
      <x:c r="E102" s="27"/>
      <x:c r="F102" s="27"/>
      <x:c r="G102" s="27"/>
      <x:c r="H102" s="27"/>
      <x:c r="I102" s="1"/>
      <x:c r="J102" s="1"/>
      <x:c r="K102" s="1"/>
      <x:c r="L102" s="1"/>
      <x:c r="M102" s="1"/>
      <x:c r="N102" s="1"/>
      <x:c r="O102" s="1"/>
      <x:c r="P102" s="1"/>
      <x:c r="Q102" s="1"/>
      <x:c r="R102" s="1"/>
      <x:c r="S102" s="1"/>
      <x:c r="T102" s="1"/>
    </x:row>
    <x:row r="103" ht="18" customHeight="1">
      <x:c r="A103" s="1"/>
      <x:c r="B103" s="19" t="n">
        <x:v>96</x:v>
      </x:c>
      <x:c r="C103" s="56"/>
      <x:c r="D103" s="27"/>
      <x:c r="E103" s="27"/>
      <x:c r="F103" s="27"/>
      <x:c r="G103" s="27"/>
      <x:c r="H103" s="27"/>
      <x:c r="I103" s="1"/>
      <x:c r="J103" s="1"/>
      <x:c r="K103" s="1"/>
      <x:c r="L103" s="1"/>
      <x:c r="M103" s="1"/>
      <x:c r="N103" s="1"/>
      <x:c r="O103" s="1"/>
      <x:c r="P103" s="1"/>
      <x:c r="Q103" s="1"/>
      <x:c r="R103" s="1"/>
      <x:c r="S103" s="1"/>
      <x:c r="T103" s="1"/>
    </x:row>
    <x:row r="104" ht="18" customHeight="1">
      <x:c r="A104" s="1"/>
      <x:c r="B104" s="19" t="n">
        <x:v>97</x:v>
      </x:c>
      <x:c r="C104" s="56"/>
      <x:c r="D104" s="27"/>
      <x:c r="E104" s="27"/>
      <x:c r="F104" s="27"/>
      <x:c r="G104" s="27"/>
      <x:c r="H104" s="27"/>
      <x:c r="I104" s="1"/>
      <x:c r="J104" s="1"/>
      <x:c r="K104" s="1"/>
      <x:c r="L104" s="1"/>
      <x:c r="M104" s="1"/>
      <x:c r="N104" s="1"/>
      <x:c r="O104" s="1"/>
      <x:c r="P104" s="1"/>
      <x:c r="Q104" s="1"/>
      <x:c r="R104" s="1"/>
      <x:c r="S104" s="1"/>
      <x:c r="T104" s="1"/>
    </x:row>
    <x:row r="105" ht="18" customHeight="1">
      <x:c r="A105" s="1"/>
      <x:c r="B105" s="19" t="n">
        <x:v>98</x:v>
      </x:c>
      <x:c r="C105" s="56"/>
      <x:c r="D105" s="27"/>
      <x:c r="E105" s="27"/>
      <x:c r="F105" s="27"/>
      <x:c r="G105" s="27"/>
      <x:c r="H105" s="27"/>
      <x:c r="I105" s="1"/>
      <x:c r="J105" s="1"/>
      <x:c r="K105" s="1"/>
      <x:c r="L105" s="1"/>
      <x:c r="M105" s="1"/>
      <x:c r="N105" s="1"/>
      <x:c r="O105" s="1"/>
      <x:c r="P105" s="1"/>
      <x:c r="Q105" s="1"/>
      <x:c r="R105" s="1"/>
      <x:c r="S105" s="1"/>
      <x:c r="T105" s="1"/>
    </x:row>
    <x:row r="106" ht="18" customHeight="1">
      <x:c r="A106" s="1"/>
      <x:c r="B106" s="19" t="n">
        <x:v>99</x:v>
      </x:c>
      <x:c r="C106" s="56"/>
      <x:c r="D106" s="27"/>
      <x:c r="E106" s="27"/>
      <x:c r="F106" s="27"/>
      <x:c r="G106" s="27"/>
      <x:c r="H106" s="27"/>
      <x:c r="I106" s="1"/>
      <x:c r="J106" s="1"/>
      <x:c r="K106" s="1"/>
      <x:c r="L106" s="1"/>
      <x:c r="M106" s="1"/>
      <x:c r="N106" s="1"/>
      <x:c r="O106" s="1"/>
      <x:c r="P106" s="1"/>
      <x:c r="Q106" s="1"/>
      <x:c r="R106" s="1"/>
      <x:c r="S106" s="1"/>
      <x:c r="T106" s="1"/>
    </x:row>
    <x:row r="107" ht="18" customHeight="1">
      <x:c r="A107" s="1"/>
      <x:c r="B107" s="19" t="n">
        <x:v>100</x:v>
      </x:c>
      <x:c r="C107" s="56"/>
      <x:c r="D107" s="27"/>
      <x:c r="E107" s="27"/>
      <x:c r="F107" s="27"/>
      <x:c r="G107" s="27"/>
      <x:c r="H107" s="27"/>
      <x:c r="I107" s="1"/>
      <x:c r="J107" s="1"/>
      <x:c r="K107" s="1"/>
      <x:c r="L107" s="1"/>
      <x:c r="M107" s="1"/>
      <x:c r="N107" s="1"/>
      <x:c r="O107" s="1"/>
      <x:c r="P107" s="1"/>
      <x:c r="Q107" s="1"/>
      <x:c r="R107" s="1"/>
      <x:c r="S107" s="1"/>
      <x:c r="T107" s="1"/>
    </x:row>
    <x:row r="108" ht="18" customHeight="1">
      <x:c r="A108" s="1"/>
      <x:c r="B108" s="1"/>
      <x:c r="C108" s="1"/>
      <x:c r="D108" s="1"/>
      <x:c r="E108" s="1"/>
      <x:c r="F108" s="1"/>
      <x:c r="G108" s="1"/>
      <x:c r="H108" s="1"/>
      <x:c r="I108" s="1"/>
      <x:c r="J108" s="1"/>
      <x:c r="K108" s="1"/>
      <x:c r="L108" s="1"/>
      <x:c r="M108" s="1"/>
      <x:c r="N108" s="1"/>
      <x:c r="O108" s="1"/>
      <x:c r="P108" s="1"/>
      <x:c r="Q108" s="1"/>
      <x:c r="R108" s="1"/>
      <x:c r="S108" s="1"/>
      <x:c r="T108" s="1"/>
    </x:row>
    <x:row r="109" ht="18" customHeight="1">
      <x:c r="A109" s="1"/>
      <x:c r="B109" s="1"/>
      <x:c r="C109" s="1"/>
      <x:c r="D109" s="1"/>
      <x:c r="E109" s="1"/>
      <x:c r="F109" s="1"/>
      <x:c r="G109" s="1"/>
      <x:c r="H109" s="1"/>
      <x:c r="I109" s="1"/>
      <x:c r="J109" s="1"/>
      <x:c r="K109" s="1"/>
      <x:c r="L109" s="1"/>
      <x:c r="M109" s="1"/>
      <x:c r="N109" s="1"/>
      <x:c r="O109" s="1"/>
      <x:c r="P109" s="1"/>
      <x:c r="Q109" s="1"/>
      <x:c r="R109" s="1"/>
      <x:c r="S109" s="1"/>
      <x:c r="T109" s="1"/>
    </x:row>
    <x:row r="110" ht="18" customHeight="1">
      <x:c r="A110" s="1"/>
      <x:c r="B110" s="1"/>
      <x:c r="C110" s="1"/>
      <x:c r="D110" s="1"/>
      <x:c r="E110" s="1"/>
      <x:c r="F110" s="1"/>
      <x:c r="G110" s="1"/>
      <x:c r="H110" s="1"/>
      <x:c r="I110" s="1"/>
      <x:c r="J110" s="1"/>
      <x:c r="K110" s="1"/>
      <x:c r="L110" s="1"/>
      <x:c r="M110" s="1"/>
      <x:c r="N110" s="1"/>
      <x:c r="O110" s="1"/>
      <x:c r="P110" s="1"/>
      <x:c r="Q110" s="1"/>
      <x:c r="R110" s="1"/>
      <x:c r="S110" s="1"/>
      <x:c r="T110" s="1"/>
    </x:row>
    <x:row r="111" ht="18" customHeight="1">
      <x:c r="A111" s="1"/>
      <x:c r="B111" s="1"/>
      <x:c r="C111" s="1"/>
      <x:c r="D111" s="1"/>
      <x:c r="E111" s="1"/>
      <x:c r="F111" s="1"/>
      <x:c r="G111" s="1"/>
      <x:c r="H111" s="1"/>
      <x:c r="I111" s="1"/>
      <x:c r="J111" s="1"/>
      <x:c r="K111" s="1"/>
      <x:c r="L111" s="1"/>
      <x:c r="M111" s="1"/>
      <x:c r="N111" s="1"/>
      <x:c r="O111" s="1"/>
      <x:c r="P111" s="1"/>
      <x:c r="Q111" s="1"/>
      <x:c r="R111" s="1"/>
      <x:c r="S111" s="1"/>
      <x:c r="T111" s="1"/>
    </x:row>
    <x:row r="112" ht="18" customHeight="1">
      <x:c r="A112" s="1"/>
      <x:c r="B112" s="1"/>
      <x:c r="C112" s="1"/>
      <x:c r="D112" s="1"/>
      <x:c r="E112" s="1"/>
      <x:c r="F112" s="1"/>
      <x:c r="G112" s="1"/>
      <x:c r="H112" s="1"/>
      <x:c r="I112" s="1"/>
      <x:c r="J112" s="1"/>
      <x:c r="K112" s="1"/>
      <x:c r="L112" s="1"/>
      <x:c r="M112" s="1"/>
      <x:c r="N112" s="1"/>
      <x:c r="O112" s="1"/>
      <x:c r="P112" s="1"/>
      <x:c r="Q112" s="1"/>
      <x:c r="R112" s="1"/>
      <x:c r="S112" s="1"/>
      <x:c r="T112" s="1"/>
    </x:row>
    <x:row r="113" ht="18" customHeight="1">
      <x:c r="A113" s="1"/>
      <x:c r="B113" s="1"/>
      <x:c r="C113" s="1"/>
      <x:c r="D113" s="1"/>
      <x:c r="E113" s="1"/>
      <x:c r="F113" s="1"/>
      <x:c r="G113" s="1"/>
      <x:c r="H113" s="1"/>
      <x:c r="I113" s="1"/>
      <x:c r="J113" s="1"/>
      <x:c r="K113" s="1"/>
      <x:c r="L113" s="1"/>
      <x:c r="M113" s="1"/>
      <x:c r="N113" s="1"/>
      <x:c r="O113" s="1"/>
      <x:c r="P113" s="1"/>
      <x:c r="Q113" s="1"/>
      <x:c r="R113" s="1"/>
      <x:c r="S113" s="1"/>
      <x:c r="T113" s="1"/>
    </x:row>
    <x:row r="114" ht="18" customHeight="1">
      <x:c r="A114" s="1"/>
      <x:c r="B114" s="1"/>
      <x:c r="C114" s="1"/>
      <x:c r="D114" s="1"/>
      <x:c r="E114" s="1"/>
      <x:c r="F114" s="1"/>
      <x:c r="G114" s="1"/>
      <x:c r="H114" s="1"/>
      <x:c r="I114" s="1"/>
      <x:c r="J114" s="1"/>
      <x:c r="K114" s="1"/>
      <x:c r="L114" s="1"/>
      <x:c r="M114" s="1"/>
      <x:c r="N114" s="1"/>
      <x:c r="O114" s="1"/>
      <x:c r="P114" s="1"/>
      <x:c r="Q114" s="1"/>
      <x:c r="R114" s="1"/>
      <x:c r="S114" s="1"/>
      <x:c r="T114" s="1"/>
    </x:row>
    <x:row r="115" ht="18" customHeight="1">
      <x:c r="A115" s="1"/>
      <x:c r="B115" s="1"/>
      <x:c r="C115" s="1"/>
      <x:c r="D115" s="1"/>
      <x:c r="E115" s="1"/>
      <x:c r="F115" s="1"/>
      <x:c r="G115" s="1"/>
      <x:c r="H115" s="1"/>
      <x:c r="I115" s="1"/>
      <x:c r="J115" s="1"/>
      <x:c r="K115" s="1"/>
      <x:c r="L115" s="1"/>
      <x:c r="M115" s="1"/>
      <x:c r="N115" s="1"/>
      <x:c r="O115" s="1"/>
      <x:c r="P115" s="1"/>
      <x:c r="Q115" s="1"/>
      <x:c r="R115" s="1"/>
      <x:c r="S115" s="1"/>
      <x:c r="T115" s="1"/>
    </x:row>
    <x:row r="116" ht="18" customHeight="1">
      <x:c r="A116" s="1"/>
      <x:c r="B116" s="1"/>
      <x:c r="C116" s="1"/>
      <x:c r="D116" s="1"/>
      <x:c r="E116" s="1"/>
      <x:c r="F116" s="1"/>
      <x:c r="G116" s="1"/>
      <x:c r="H116" s="1"/>
      <x:c r="I116" s="1"/>
      <x:c r="J116" s="1"/>
      <x:c r="K116" s="1"/>
      <x:c r="L116" s="1"/>
      <x:c r="M116" s="1"/>
      <x:c r="N116" s="1"/>
      <x:c r="O116" s="1"/>
      <x:c r="P116" s="1"/>
      <x:c r="Q116" s="1"/>
      <x:c r="R116" s="1"/>
      <x:c r="S116" s="1"/>
      <x:c r="T116" s="1"/>
    </x:row>
    <x:row r="117" ht="18" customHeight="1">
      <x:c r="A117" s="1"/>
      <x:c r="B117" s="1"/>
      <x:c r="C117" s="1"/>
      <x:c r="D117" s="1"/>
      <x:c r="E117" s="1"/>
      <x:c r="F117" s="1"/>
      <x:c r="G117" s="1"/>
      <x:c r="H117" s="1"/>
      <x:c r="I117" s="1"/>
      <x:c r="J117" s="1"/>
      <x:c r="K117" s="1"/>
      <x:c r="L117" s="1"/>
      <x:c r="M117" s="1"/>
      <x:c r="N117" s="1"/>
      <x:c r="O117" s="1"/>
      <x:c r="P117" s="1"/>
      <x:c r="Q117" s="1"/>
      <x:c r="R117" s="1"/>
      <x:c r="S117" s="1"/>
      <x:c r="T117" s="1"/>
    </x:row>
    <x:row r="118" ht="18" customHeight="1">
      <x:c r="A118" s="1"/>
      <x:c r="B118" s="1"/>
      <x:c r="C118" s="1"/>
      <x:c r="D118" s="1"/>
      <x:c r="E118" s="1"/>
      <x:c r="F118" s="1"/>
      <x:c r="G118" s="1"/>
      <x:c r="H118" s="1"/>
      <x:c r="I118" s="1"/>
      <x:c r="J118" s="1"/>
      <x:c r="K118" s="1"/>
      <x:c r="L118" s="1"/>
      <x:c r="M118" s="1"/>
      <x:c r="N118" s="1"/>
      <x:c r="O118" s="1"/>
      <x:c r="P118" s="1"/>
      <x:c r="Q118" s="1"/>
      <x:c r="R118" s="1"/>
      <x:c r="S118" s="1"/>
      <x:c r="T118" s="1"/>
    </x:row>
    <x:row r="119" ht="18" customHeight="1">
      <x:c r="A119" s="1"/>
      <x:c r="B119" s="1"/>
      <x:c r="C119" s="1"/>
      <x:c r="D119" s="1"/>
      <x:c r="E119" s="1"/>
      <x:c r="F119" s="1"/>
      <x:c r="G119" s="1"/>
      <x:c r="H119" s="1"/>
      <x:c r="I119" s="1"/>
      <x:c r="J119" s="1"/>
      <x:c r="K119" s="1"/>
      <x:c r="L119" s="1"/>
      <x:c r="M119" s="1"/>
      <x:c r="N119" s="1"/>
      <x:c r="O119" s="1"/>
      <x:c r="P119" s="1"/>
      <x:c r="Q119" s="1"/>
      <x:c r="R119" s="1"/>
      <x:c r="S119" s="1"/>
      <x:c r="T119" s="1"/>
    </x:row>
    <x:row r="120" ht="18" customHeight="1">
      <x:c r="A120" s="1"/>
      <x:c r="B120" s="1"/>
      <x:c r="C120" s="1"/>
      <x:c r="D120" s="1"/>
      <x:c r="E120" s="1"/>
      <x:c r="F120" s="1"/>
      <x:c r="G120" s="1"/>
      <x:c r="H120" s="1"/>
      <x:c r="I120" s="1"/>
      <x:c r="J120" s="1"/>
      <x:c r="K120" s="1"/>
      <x:c r="L120" s="1"/>
      <x:c r="M120" s="1"/>
      <x:c r="N120" s="1"/>
      <x:c r="O120" s="1"/>
      <x:c r="P120" s="1"/>
      <x:c r="Q120" s="1"/>
      <x:c r="R120" s="1"/>
      <x:c r="S120" s="1"/>
      <x:c r="T120" s="1"/>
    </x:row>
    <x:row r="121" ht="18" customHeight="1">
      <x:c r="A121" s="1"/>
      <x:c r="B121" s="1"/>
      <x:c r="C121" s="1"/>
      <x:c r="D121" s="1"/>
      <x:c r="E121" s="1"/>
      <x:c r="F121" s="1"/>
      <x:c r="G121" s="1"/>
      <x:c r="H121" s="1"/>
      <x:c r="I121" s="1"/>
      <x:c r="J121" s="1"/>
      <x:c r="K121" s="1"/>
      <x:c r="L121" s="1"/>
      <x:c r="M121" s="1"/>
      <x:c r="N121" s="1"/>
      <x:c r="O121" s="1"/>
      <x:c r="P121" s="1"/>
      <x:c r="Q121" s="1"/>
      <x:c r="R121" s="1"/>
      <x:c r="S121" s="1"/>
      <x:c r="T121" s="1"/>
    </x:row>
    <x:row r="122" ht="18" customHeight="1">
      <x:c r="A122" s="1"/>
      <x:c r="B122" s="1"/>
      <x:c r="C122" s="1"/>
      <x:c r="D122" s="1"/>
      <x:c r="E122" s="1"/>
      <x:c r="F122" s="1"/>
      <x:c r="G122" s="1"/>
      <x:c r="H122" s="1"/>
      <x:c r="I122" s="1"/>
      <x:c r="J122" s="1"/>
      <x:c r="K122" s="1"/>
      <x:c r="L122" s="1"/>
      <x:c r="M122" s="1"/>
      <x:c r="N122" s="1"/>
      <x:c r="O122" s="1"/>
      <x:c r="P122" s="1"/>
      <x:c r="Q122" s="1"/>
      <x:c r="R122" s="1"/>
      <x:c r="S122" s="1"/>
      <x:c r="T122" s="1"/>
    </x:row>
    <x:row r="123" ht="18" customHeight="1">
      <x:c r="A123" s="1"/>
      <x:c r="B123" s="1"/>
      <x:c r="C123" s="1"/>
      <x:c r="D123" s="1"/>
      <x:c r="E123" s="1"/>
      <x:c r="F123" s="1"/>
      <x:c r="G123" s="1"/>
      <x:c r="H123" s="1"/>
      <x:c r="I123" s="1"/>
      <x:c r="J123" s="1"/>
      <x:c r="K123" s="1"/>
      <x:c r="L123" s="1"/>
      <x:c r="M123" s="1"/>
      <x:c r="N123" s="1"/>
      <x:c r="O123" s="1"/>
      <x:c r="P123" s="1"/>
      <x:c r="Q123" s="1"/>
      <x:c r="R123" s="1"/>
      <x:c r="S123" s="1"/>
      <x:c r="T123" s="1"/>
    </x:row>
    <x:row r="124" ht="18" customHeight="1">
      <x:c r="A124" s="1"/>
      <x:c r="B124" s="1"/>
      <x:c r="C124" s="1"/>
      <x:c r="D124" s="1"/>
      <x:c r="E124" s="1"/>
      <x:c r="F124" s="1"/>
      <x:c r="G124" s="1"/>
      <x:c r="H124" s="1"/>
      <x:c r="I124" s="1"/>
      <x:c r="J124" s="1"/>
      <x:c r="K124" s="1"/>
      <x:c r="L124" s="1"/>
      <x:c r="M124" s="1"/>
      <x:c r="N124" s="1"/>
      <x:c r="O124" s="1"/>
      <x:c r="P124" s="1"/>
      <x:c r="Q124" s="1"/>
      <x:c r="R124" s="1"/>
      <x:c r="S124" s="1"/>
      <x:c r="T124" s="1"/>
    </x:row>
    <x:row r="125" ht="18" customHeight="1">
      <x:c r="A125" s="1"/>
      <x:c r="B125" s="1"/>
      <x:c r="C125" s="1"/>
      <x:c r="D125" s="1"/>
      <x:c r="E125" s="1"/>
      <x:c r="F125" s="1"/>
      <x:c r="G125" s="1"/>
      <x:c r="H125" s="1"/>
      <x:c r="I125" s="1"/>
      <x:c r="J125" s="1"/>
      <x:c r="K125" s="1"/>
      <x:c r="L125" s="1"/>
      <x:c r="M125" s="1"/>
      <x:c r="N125" s="1"/>
      <x:c r="O125" s="1"/>
      <x:c r="P125" s="1"/>
      <x:c r="Q125" s="1"/>
      <x:c r="R125" s="1"/>
      <x:c r="S125" s="1"/>
      <x:c r="T125" s="1"/>
    </x:row>
    <x:row r="126" ht="18" customHeight="1">
      <x:c r="A126" s="1"/>
      <x:c r="B126" s="1"/>
      <x:c r="C126" s="1"/>
      <x:c r="D126" s="1"/>
      <x:c r="E126" s="1"/>
      <x:c r="F126" s="1"/>
      <x:c r="G126" s="1"/>
      <x:c r="H126" s="1"/>
      <x:c r="I126" s="1"/>
      <x:c r="J126" s="1"/>
      <x:c r="K126" s="1"/>
      <x:c r="L126" s="1"/>
      <x:c r="M126" s="1"/>
      <x:c r="N126" s="1"/>
      <x:c r="O126" s="1"/>
      <x:c r="P126" s="1"/>
      <x:c r="Q126" s="1"/>
      <x:c r="R126" s="1"/>
      <x:c r="S126" s="1"/>
      <x:c r="T126" s="1"/>
    </x:row>
    <x:row r="127" ht="18" customHeight="1">
      <x:c r="A127" s="1"/>
      <x:c r="B127" s="1"/>
      <x:c r="C127" s="1"/>
      <x:c r="D127" s="1"/>
      <x:c r="E127" s="1"/>
      <x:c r="F127" s="1"/>
      <x:c r="G127" s="1"/>
      <x:c r="H127" s="1"/>
      <x:c r="I127" s="1"/>
      <x:c r="J127" s="1"/>
      <x:c r="K127" s="1"/>
      <x:c r="L127" s="1"/>
      <x:c r="M127" s="1"/>
      <x:c r="N127" s="1"/>
      <x:c r="O127" s="1"/>
      <x:c r="P127" s="1"/>
      <x:c r="Q127" s="1"/>
      <x:c r="R127" s="1"/>
      <x:c r="S127" s="1"/>
      <x:c r="T127" s="1"/>
    </x:row>
    <x:row r="128" ht="18" customHeight="1">
      <x:c r="A128" s="1"/>
      <x:c r="B128" s="1"/>
      <x:c r="C128" s="1"/>
      <x:c r="D128" s="1"/>
      <x:c r="E128" s="1"/>
      <x:c r="F128" s="1"/>
      <x:c r="G128" s="1"/>
      <x:c r="H128" s="1"/>
      <x:c r="I128" s="1"/>
      <x:c r="J128" s="1"/>
      <x:c r="K128" s="1"/>
      <x:c r="L128" s="1"/>
      <x:c r="M128" s="1"/>
      <x:c r="N128" s="1"/>
      <x:c r="O128" s="1"/>
      <x:c r="P128" s="1"/>
      <x:c r="Q128" s="1"/>
      <x:c r="R128" s="1"/>
      <x:c r="S128" s="1"/>
      <x:c r="T128" s="1"/>
    </x:row>
    <x:row r="129" ht="18" customHeight="1">
      <x:c r="A129" s="1"/>
      <x:c r="B129" s="1"/>
      <x:c r="C129" s="1"/>
      <x:c r="D129" s="1"/>
      <x:c r="E129" s="1"/>
      <x:c r="F129" s="1"/>
      <x:c r="G129" s="1"/>
      <x:c r="H129" s="1"/>
      <x:c r="I129" s="1"/>
      <x:c r="J129" s="1"/>
      <x:c r="K129" s="1"/>
      <x:c r="L129" s="1"/>
      <x:c r="M129" s="1"/>
      <x:c r="N129" s="1"/>
      <x:c r="O129" s="1"/>
      <x:c r="P129" s="1"/>
      <x:c r="Q129" s="1"/>
      <x:c r="R129" s="1"/>
      <x:c r="S129" s="1"/>
      <x:c r="T129" s="1"/>
    </x:row>
    <x:row r="130" ht="18" customHeight="1">
      <x:c r="A130" s="1"/>
      <x:c r="B130" s="1"/>
      <x:c r="C130" s="1"/>
      <x:c r="D130" s="1"/>
      <x:c r="E130" s="1"/>
      <x:c r="F130" s="1"/>
      <x:c r="G130" s="1"/>
      <x:c r="H130" s="1"/>
      <x:c r="I130" s="1"/>
      <x:c r="J130" s="1"/>
      <x:c r="K130" s="1"/>
      <x:c r="L130" s="1"/>
      <x:c r="M130" s="1"/>
      <x:c r="N130" s="1"/>
      <x:c r="O130" s="1"/>
      <x:c r="P130" s="1"/>
      <x:c r="Q130" s="1"/>
      <x:c r="R130" s="1"/>
      <x:c r="S130" s="1"/>
      <x:c r="T130" s="1"/>
    </x:row>
    <x:row r="131" ht="18" customHeight="1">
      <x:c r="A131" s="1"/>
      <x:c r="B131" s="1"/>
      <x:c r="C131" s="1"/>
      <x:c r="D131" s="1"/>
      <x:c r="E131" s="1"/>
      <x:c r="F131" s="1"/>
      <x:c r="G131" s="1"/>
      <x:c r="H131" s="1"/>
      <x:c r="I131" s="1"/>
      <x:c r="J131" s="1"/>
      <x:c r="K131" s="1"/>
      <x:c r="L131" s="1"/>
      <x:c r="M131" s="1"/>
      <x:c r="N131" s="1"/>
      <x:c r="O131" s="1"/>
      <x:c r="P131" s="1"/>
      <x:c r="Q131" s="1"/>
      <x:c r="R131" s="1"/>
      <x:c r="S131" s="1"/>
      <x:c r="T131" s="1"/>
    </x:row>
    <x:row r="132" ht="18" customHeight="1">
      <x:c r="A132" s="1"/>
      <x:c r="B132" s="1"/>
      <x:c r="C132" s="1"/>
      <x:c r="D132" s="1"/>
      <x:c r="E132" s="1"/>
      <x:c r="F132" s="1"/>
      <x:c r="G132" s="1"/>
      <x:c r="H132" s="1"/>
      <x:c r="I132" s="1"/>
      <x:c r="J132" s="1"/>
      <x:c r="K132" s="1"/>
      <x:c r="L132" s="1"/>
      <x:c r="M132" s="1"/>
      <x:c r="N132" s="1"/>
      <x:c r="O132" s="1"/>
      <x:c r="P132" s="1"/>
      <x:c r="Q132" s="1"/>
      <x:c r="R132" s="1"/>
      <x:c r="S132" s="1"/>
      <x:c r="T132" s="1"/>
    </x:row>
    <x:row r="133" ht="18" customHeight="1">
      <x:c r="A133" s="1"/>
      <x:c r="B133" s="1"/>
      <x:c r="C133" s="1"/>
      <x:c r="D133" s="1"/>
      <x:c r="E133" s="1"/>
      <x:c r="F133" s="1"/>
      <x:c r="G133" s="1"/>
      <x:c r="H133" s="1"/>
      <x:c r="I133" s="1"/>
      <x:c r="J133" s="1"/>
      <x:c r="K133" s="1"/>
      <x:c r="L133" s="1"/>
      <x:c r="M133" s="1"/>
      <x:c r="N133" s="1"/>
      <x:c r="O133" s="1"/>
      <x:c r="P133" s="1"/>
      <x:c r="Q133" s="1"/>
      <x:c r="R133" s="1"/>
      <x:c r="S133" s="1"/>
      <x:c r="T133" s="1"/>
    </x:row>
    <x:row r="134" ht="18" customHeight="1">
      <x:c r="A134" s="1"/>
      <x:c r="B134" s="1"/>
      <x:c r="C134" s="1"/>
      <x:c r="D134" s="1"/>
      <x:c r="E134" s="1"/>
      <x:c r="F134" s="1"/>
      <x:c r="G134" s="1"/>
      <x:c r="H134" s="1"/>
      <x:c r="I134" s="1"/>
      <x:c r="J134" s="1"/>
      <x:c r="K134" s="1"/>
      <x:c r="L134" s="1"/>
      <x:c r="M134" s="1"/>
      <x:c r="N134" s="1"/>
      <x:c r="O134" s="1"/>
      <x:c r="P134" s="1"/>
      <x:c r="Q134" s="1"/>
      <x:c r="R134" s="1"/>
      <x:c r="S134" s="1"/>
      <x:c r="T134" s="1"/>
    </x:row>
    <x:row r="135" ht="18" customHeight="1">
      <x:c r="A135" s="1"/>
      <x:c r="B135" s="1"/>
      <x:c r="C135" s="1"/>
      <x:c r="D135" s="1"/>
      <x:c r="E135" s="1"/>
      <x:c r="F135" s="1"/>
      <x:c r="G135" s="1"/>
      <x:c r="H135" s="1"/>
      <x:c r="I135" s="1"/>
      <x:c r="J135" s="1"/>
      <x:c r="K135" s="1"/>
      <x:c r="L135" s="1"/>
      <x:c r="M135" s="1"/>
      <x:c r="N135" s="1"/>
      <x:c r="O135" s="1"/>
      <x:c r="P135" s="1"/>
      <x:c r="Q135" s="1"/>
      <x:c r="R135" s="1"/>
      <x:c r="S135" s="1"/>
      <x:c r="T135" s="1"/>
    </x:row>
    <x:row r="136" ht="18" customHeight="1">
      <x:c r="A136" s="1"/>
      <x:c r="B136" s="1"/>
      <x:c r="C136" s="1"/>
      <x:c r="D136" s="1"/>
      <x:c r="E136" s="1"/>
      <x:c r="F136" s="1"/>
      <x:c r="G136" s="1"/>
      <x:c r="H136" s="1"/>
      <x:c r="I136" s="1"/>
      <x:c r="J136" s="1"/>
      <x:c r="K136" s="1"/>
      <x:c r="L136" s="1"/>
      <x:c r="M136" s="1"/>
      <x:c r="N136" s="1"/>
      <x:c r="O136" s="1"/>
      <x:c r="P136" s="1"/>
      <x:c r="Q136" s="1"/>
      <x:c r="R136" s="1"/>
      <x:c r="S136" s="1"/>
      <x:c r="T136" s="1"/>
    </x:row>
    <x:row r="137" ht="18" customHeight="1">
      <x:c r="A137" s="1"/>
      <x:c r="B137" s="1"/>
      <x:c r="C137" s="1"/>
      <x:c r="D137" s="1"/>
      <x:c r="E137" s="1"/>
      <x:c r="F137" s="1"/>
      <x:c r="G137" s="1"/>
      <x:c r="H137" s="1"/>
      <x:c r="I137" s="1"/>
      <x:c r="J137" s="1"/>
      <x:c r="K137" s="1"/>
      <x:c r="L137" s="1"/>
      <x:c r="M137" s="1"/>
      <x:c r="N137" s="1"/>
      <x:c r="O137" s="1"/>
      <x:c r="P137" s="1"/>
      <x:c r="Q137" s="1"/>
      <x:c r="R137" s="1"/>
      <x:c r="S137" s="1"/>
      <x:c r="T137" s="1"/>
    </x:row>
    <x:row r="138" ht="18" customHeight="1">
      <x:c r="A138" s="1"/>
      <x:c r="B138" s="1"/>
      <x:c r="C138" s="1"/>
      <x:c r="D138" s="1"/>
      <x:c r="E138" s="1"/>
      <x:c r="F138" s="1"/>
      <x:c r="G138" s="1"/>
      <x:c r="H138" s="1"/>
      <x:c r="I138" s="1"/>
      <x:c r="J138" s="1"/>
      <x:c r="K138" s="1"/>
      <x:c r="L138" s="1"/>
      <x:c r="M138" s="1"/>
      <x:c r="N138" s="1"/>
      <x:c r="O138" s="1"/>
      <x:c r="P138" s="1"/>
      <x:c r="Q138" s="1"/>
      <x:c r="R138" s="1"/>
      <x:c r="S138" s="1"/>
      <x:c r="T138" s="1"/>
    </x:row>
    <x:row r="139" ht="18" customHeight="1">
      <x:c r="A139" s="1"/>
      <x:c r="B139" s="1"/>
      <x:c r="C139" s="1"/>
      <x:c r="D139" s="1"/>
      <x:c r="E139" s="1"/>
      <x:c r="F139" s="1"/>
      <x:c r="G139" s="1"/>
      <x:c r="H139" s="1"/>
      <x:c r="I139" s="1"/>
      <x:c r="J139" s="1"/>
      <x:c r="K139" s="1"/>
      <x:c r="L139" s="1"/>
      <x:c r="M139" s="1"/>
      <x:c r="N139" s="1"/>
      <x:c r="O139" s="1"/>
      <x:c r="P139" s="1"/>
      <x:c r="Q139" s="1"/>
      <x:c r="R139" s="1"/>
      <x:c r="S139" s="1"/>
      <x:c r="T139" s="1"/>
    </x:row>
    <x:row r="140" ht="18" customHeight="1">
      <x:c r="A140" s="1"/>
      <x:c r="B140" s="1"/>
      <x:c r="C140" s="1"/>
      <x:c r="D140" s="1"/>
      <x:c r="E140" s="1"/>
      <x:c r="F140" s="1"/>
      <x:c r="G140" s="1"/>
      <x:c r="H140" s="1"/>
      <x:c r="I140" s="1"/>
      <x:c r="J140" s="1"/>
      <x:c r="K140" s="1"/>
      <x:c r="L140" s="1"/>
      <x:c r="M140" s="1"/>
      <x:c r="N140" s="1"/>
      <x:c r="O140" s="1"/>
      <x:c r="P140" s="1"/>
      <x:c r="Q140" s="1"/>
      <x:c r="R140" s="1"/>
      <x:c r="S140" s="1"/>
      <x:c r="T140" s="1"/>
    </x:row>
    <x:row r="141" ht="18" customHeight="1">
      <x:c r="A141" s="1"/>
      <x:c r="B141" s="1"/>
      <x:c r="C141" s="1"/>
      <x:c r="D141" s="1"/>
      <x:c r="E141" s="1"/>
      <x:c r="F141" s="1"/>
      <x:c r="G141" s="1"/>
      <x:c r="H141" s="1"/>
      <x:c r="I141" s="1"/>
      <x:c r="J141" s="1"/>
      <x:c r="K141" s="1"/>
      <x:c r="L141" s="1"/>
      <x:c r="M141" s="1"/>
      <x:c r="N141" s="1"/>
      <x:c r="O141" s="1"/>
      <x:c r="P141" s="1"/>
      <x:c r="Q141" s="1"/>
      <x:c r="R141" s="1"/>
      <x:c r="S141" s="1"/>
      <x:c r="T141" s="1"/>
    </x:row>
    <x:row r="142" ht="18" customHeight="1">
      <x:c r="A142" s="1"/>
      <x:c r="B142" s="1"/>
      <x:c r="C142" s="1"/>
      <x:c r="D142" s="1"/>
      <x:c r="E142" s="1"/>
      <x:c r="F142" s="1"/>
      <x:c r="G142" s="1"/>
      <x:c r="H142" s="1"/>
      <x:c r="I142" s="1"/>
      <x:c r="J142" s="1"/>
      <x:c r="K142" s="1"/>
      <x:c r="L142" s="1"/>
      <x:c r="M142" s="1"/>
      <x:c r="N142" s="1"/>
      <x:c r="O142" s="1"/>
      <x:c r="P142" s="1"/>
      <x:c r="Q142" s="1"/>
      <x:c r="R142" s="1"/>
      <x:c r="S142" s="1"/>
      <x:c r="T142" s="1"/>
    </x:row>
    <x:row r="143" ht="18" customHeight="1">
      <x:c r="A143" s="1"/>
      <x:c r="B143" s="1"/>
      <x:c r="C143" s="1"/>
      <x:c r="D143" s="1"/>
      <x:c r="E143" s="1"/>
      <x:c r="F143" s="1"/>
      <x:c r="G143" s="1"/>
      <x:c r="H143" s="1"/>
      <x:c r="I143" s="1"/>
      <x:c r="J143" s="1"/>
      <x:c r="K143" s="1"/>
      <x:c r="L143" s="1"/>
      <x:c r="M143" s="1"/>
      <x:c r="N143" s="1"/>
      <x:c r="O143" s="1"/>
      <x:c r="P143" s="1"/>
      <x:c r="Q143" s="1"/>
      <x:c r="R143" s="1"/>
      <x:c r="S143" s="1"/>
      <x:c r="T143" s="1"/>
    </x:row>
    <x:row r="144" ht="18" customHeight="1">
      <x:c r="A144" s="1"/>
      <x:c r="B144" s="1"/>
      <x:c r="C144" s="1"/>
      <x:c r="D144" s="1"/>
      <x:c r="E144" s="1"/>
      <x:c r="F144" s="1"/>
      <x:c r="G144" s="1"/>
      <x:c r="H144" s="1"/>
      <x:c r="I144" s="1"/>
      <x:c r="J144" s="1"/>
      <x:c r="K144" s="1"/>
      <x:c r="L144" s="1"/>
      <x:c r="M144" s="1"/>
      <x:c r="N144" s="1"/>
      <x:c r="O144" s="1"/>
      <x:c r="P144" s="1"/>
      <x:c r="Q144" s="1"/>
      <x:c r="R144" s="1"/>
      <x:c r="S144" s="1"/>
      <x:c r="T144" s="1"/>
    </x:row>
    <x:row r="145" ht="18" customHeight="1">
      <x:c r="A145" s="1"/>
      <x:c r="B145" s="1"/>
      <x:c r="C145" s="1"/>
      <x:c r="D145" s="1"/>
      <x:c r="E145" s="1"/>
      <x:c r="F145" s="1"/>
      <x:c r="G145" s="1"/>
      <x:c r="H145" s="1"/>
      <x:c r="I145" s="1"/>
      <x:c r="J145" s="1"/>
      <x:c r="K145" s="1"/>
      <x:c r="L145" s="1"/>
      <x:c r="M145" s="1"/>
      <x:c r="N145" s="1"/>
      <x:c r="O145" s="1"/>
      <x:c r="P145" s="1"/>
      <x:c r="Q145" s="1"/>
      <x:c r="R145" s="1"/>
      <x:c r="S145" s="1"/>
      <x:c r="T145" s="1"/>
    </x:row>
    <x:row r="146" ht="18" customHeight="1">
      <x:c r="A146" s="1"/>
      <x:c r="B146" s="1"/>
      <x:c r="C146" s="1"/>
      <x:c r="D146" s="1"/>
      <x:c r="E146" s="1"/>
      <x:c r="F146" s="1"/>
      <x:c r="G146" s="1"/>
      <x:c r="H146" s="1"/>
      <x:c r="I146" s="1"/>
      <x:c r="J146" s="1"/>
      <x:c r="K146" s="1"/>
      <x:c r="L146" s="1"/>
      <x:c r="M146" s="1"/>
      <x:c r="N146" s="1"/>
      <x:c r="O146" s="1"/>
      <x:c r="P146" s="1"/>
      <x:c r="Q146" s="1"/>
      <x:c r="R146" s="1"/>
      <x:c r="S146" s="1"/>
      <x:c r="T146" s="1"/>
    </x:row>
    <x:row r="147" ht="18" customHeight="1">
      <x:c r="A147" s="1"/>
      <x:c r="B147" s="1"/>
      <x:c r="C147" s="1"/>
      <x:c r="D147" s="1"/>
      <x:c r="E147" s="1"/>
      <x:c r="F147" s="1"/>
      <x:c r="G147" s="1"/>
      <x:c r="H147" s="1"/>
      <x:c r="I147" s="1"/>
      <x:c r="J147" s="1"/>
      <x:c r="K147" s="1"/>
      <x:c r="L147" s="1"/>
      <x:c r="M147" s="1"/>
      <x:c r="N147" s="1"/>
      <x:c r="O147" s="1"/>
      <x:c r="P147" s="1"/>
      <x:c r="Q147" s="1"/>
      <x:c r="R147" s="1"/>
      <x:c r="S147" s="1"/>
      <x:c r="T147" s="1"/>
    </x:row>
    <x:row r="148" ht="18" customHeight="1">
      <x:c r="A148" s="1"/>
      <x:c r="B148" s="1"/>
      <x:c r="C148" s="1"/>
      <x:c r="D148" s="1"/>
      <x:c r="E148" s="1"/>
      <x:c r="F148" s="1"/>
      <x:c r="G148" s="1"/>
      <x:c r="H148" s="1"/>
      <x:c r="I148" s="1"/>
      <x:c r="J148" s="1"/>
      <x:c r="K148" s="1"/>
      <x:c r="L148" s="1"/>
      <x:c r="M148" s="1"/>
      <x:c r="N148" s="1"/>
      <x:c r="O148" s="1"/>
      <x:c r="P148" s="1"/>
      <x:c r="Q148" s="1"/>
      <x:c r="R148" s="1"/>
      <x:c r="S148" s="1"/>
      <x:c r="T148" s="1"/>
    </x:row>
    <x:row r="149" ht="18" customHeight="1">
      <x:c r="A149" s="1"/>
      <x:c r="B149" s="1"/>
      <x:c r="C149" s="1"/>
      <x:c r="D149" s="1"/>
      <x:c r="E149" s="1"/>
      <x:c r="F149" s="1"/>
      <x:c r="G149" s="1"/>
      <x:c r="H149" s="1"/>
      <x:c r="I149" s="1"/>
      <x:c r="J149" s="1"/>
      <x:c r="K149" s="1"/>
      <x:c r="L149" s="1"/>
      <x:c r="M149" s="1"/>
      <x:c r="N149" s="1"/>
      <x:c r="O149" s="1"/>
      <x:c r="P149" s="1"/>
      <x:c r="Q149" s="1"/>
      <x:c r="R149" s="1"/>
      <x:c r="S149" s="1"/>
      <x:c r="T149" s="1"/>
    </x:row>
    <x:row r="150" ht="18" customHeight="1">
      <x:c r="A150" s="1"/>
      <x:c r="B150" s="1"/>
      <x:c r="C150" s="1"/>
      <x:c r="D150" s="1"/>
      <x:c r="E150" s="1"/>
      <x:c r="F150" s="1"/>
      <x:c r="G150" s="1"/>
      <x:c r="H150" s="1"/>
      <x:c r="I150" s="1"/>
      <x:c r="J150" s="1"/>
      <x:c r="K150" s="1"/>
      <x:c r="L150" s="1"/>
      <x:c r="M150" s="1"/>
      <x:c r="N150" s="1"/>
      <x:c r="O150" s="1"/>
      <x:c r="P150" s="1"/>
      <x:c r="Q150" s="1"/>
      <x:c r="R150" s="1"/>
      <x:c r="S150" s="1"/>
      <x:c r="T150" s="1"/>
    </x:row>
    <x:row r="151" ht="18" customHeight="1">
      <x:c r="A151" s="1"/>
      <x:c r="B151" s="1"/>
      <x:c r="C151" s="1"/>
      <x:c r="D151" s="1"/>
      <x:c r="E151" s="1"/>
      <x:c r="F151" s="1"/>
      <x:c r="G151" s="1"/>
      <x:c r="H151" s="1"/>
      <x:c r="I151" s="1"/>
      <x:c r="J151" s="1"/>
      <x:c r="K151" s="1"/>
      <x:c r="L151" s="1"/>
      <x:c r="M151" s="1"/>
      <x:c r="N151" s="1"/>
      <x:c r="O151" s="1"/>
      <x:c r="P151" s="1"/>
      <x:c r="Q151" s="1"/>
      <x:c r="R151" s="1"/>
      <x:c r="S151" s="1"/>
      <x:c r="T151" s="1"/>
    </x:row>
    <x:row r="152" ht="18" customHeight="1">
      <x:c r="A152" s="1"/>
      <x:c r="B152" s="1"/>
      <x:c r="C152" s="1"/>
      <x:c r="D152" s="1"/>
      <x:c r="E152" s="1"/>
      <x:c r="F152" s="1"/>
      <x:c r="G152" s="1"/>
      <x:c r="H152" s="1"/>
      <x:c r="I152" s="1"/>
      <x:c r="J152" s="1"/>
      <x:c r="K152" s="1"/>
      <x:c r="L152" s="1"/>
      <x:c r="M152" s="1"/>
      <x:c r="N152" s="1"/>
      <x:c r="O152" s="1"/>
      <x:c r="P152" s="1"/>
      <x:c r="Q152" s="1"/>
      <x:c r="R152" s="1"/>
      <x:c r="S152" s="1"/>
      <x:c r="T152" s="1"/>
    </x:row>
    <x:row r="153" ht="18" customHeight="1">
      <x:c r="A153" s="1"/>
      <x:c r="B153" s="1"/>
      <x:c r="C153" s="1"/>
      <x:c r="D153" s="1"/>
      <x:c r="E153" s="1"/>
      <x:c r="F153" s="1"/>
      <x:c r="G153" s="1"/>
      <x:c r="H153" s="1"/>
      <x:c r="I153" s="1"/>
      <x:c r="J153" s="1"/>
      <x:c r="K153" s="1"/>
      <x:c r="L153" s="1"/>
      <x:c r="M153" s="1"/>
      <x:c r="N153" s="1"/>
      <x:c r="O153" s="1"/>
      <x:c r="P153" s="1"/>
      <x:c r="Q153" s="1"/>
      <x:c r="R153" s="1"/>
      <x:c r="S153" s="1"/>
      <x:c r="T153" s="1"/>
    </x:row>
    <x:row r="154" ht="18" customHeight="1">
      <x:c r="A154" s="1"/>
      <x:c r="B154" s="1"/>
      <x:c r="C154" s="1"/>
      <x:c r="D154" s="1"/>
      <x:c r="E154" s="1"/>
      <x:c r="F154" s="1"/>
      <x:c r="G154" s="1"/>
      <x:c r="H154" s="1"/>
      <x:c r="I154" s="1"/>
      <x:c r="J154" s="1"/>
      <x:c r="K154" s="1"/>
      <x:c r="L154" s="1"/>
      <x:c r="M154" s="1"/>
      <x:c r="N154" s="1"/>
      <x:c r="O154" s="1"/>
      <x:c r="P154" s="1"/>
      <x:c r="Q154" s="1"/>
      <x:c r="R154" s="1"/>
      <x:c r="S154" s="1"/>
      <x:c r="T154" s="1"/>
    </x:row>
    <x:row r="155" ht="18" customHeight="1">
      <x:c r="A155" s="1"/>
      <x:c r="B155" s="1"/>
      <x:c r="C155" s="1"/>
      <x:c r="D155" s="1"/>
      <x:c r="E155" s="1"/>
      <x:c r="F155" s="1"/>
      <x:c r="G155" s="1"/>
      <x:c r="H155" s="1"/>
      <x:c r="I155" s="1"/>
      <x:c r="J155" s="1"/>
      <x:c r="K155" s="1"/>
      <x:c r="L155" s="1"/>
      <x:c r="M155" s="1"/>
      <x:c r="N155" s="1"/>
      <x:c r="O155" s="1"/>
      <x:c r="P155" s="1"/>
      <x:c r="Q155" s="1"/>
      <x:c r="R155" s="1"/>
      <x:c r="S155" s="1"/>
      <x:c r="T155" s="1"/>
    </x:row>
    <x:row r="156" ht="18" customHeight="1">
      <x:c r="A156" s="1"/>
      <x:c r="B156" s="1"/>
      <x:c r="C156" s="1"/>
      <x:c r="D156" s="1"/>
      <x:c r="E156" s="1"/>
      <x:c r="F156" s="1"/>
      <x:c r="G156" s="1"/>
      <x:c r="H156" s="1"/>
      <x:c r="I156" s="1"/>
      <x:c r="J156" s="1"/>
      <x:c r="K156" s="1"/>
      <x:c r="L156" s="1"/>
      <x:c r="M156" s="1"/>
      <x:c r="N156" s="1"/>
      <x:c r="O156" s="1"/>
      <x:c r="P156" s="1"/>
      <x:c r="Q156" s="1"/>
      <x:c r="R156" s="1"/>
      <x:c r="S156" s="1"/>
      <x:c r="T156" s="1"/>
    </x:row>
    <x:row r="157" ht="18" customHeight="1">
      <x:c r="A157" s="1"/>
      <x:c r="B157" s="1"/>
      <x:c r="C157" s="1"/>
      <x:c r="D157" s="1"/>
      <x:c r="E157" s="1"/>
      <x:c r="F157" s="1"/>
      <x:c r="G157" s="1"/>
      <x:c r="H157" s="1"/>
      <x:c r="I157" s="1"/>
      <x:c r="J157" s="1"/>
      <x:c r="K157" s="1"/>
      <x:c r="L157" s="1"/>
      <x:c r="M157" s="1"/>
      <x:c r="N157" s="1"/>
      <x:c r="O157" s="1"/>
      <x:c r="P157" s="1"/>
      <x:c r="Q157" s="1"/>
      <x:c r="R157" s="1"/>
      <x:c r="S157" s="1"/>
      <x:c r="T157" s="1"/>
    </x:row>
    <x:row r="158" ht="18" customHeight="1">
      <x:c r="A158" s="1"/>
      <x:c r="B158" s="1"/>
      <x:c r="C158" s="1"/>
      <x:c r="D158" s="1"/>
      <x:c r="E158" s="1"/>
      <x:c r="F158" s="1"/>
      <x:c r="G158" s="1"/>
      <x:c r="H158" s="1"/>
      <x:c r="I158" s="1"/>
      <x:c r="J158" s="1"/>
      <x:c r="K158" s="1"/>
      <x:c r="L158" s="1"/>
      <x:c r="M158" s="1"/>
      <x:c r="N158" s="1"/>
      <x:c r="O158" s="1"/>
      <x:c r="P158" s="1"/>
      <x:c r="Q158" s="1"/>
      <x:c r="R158" s="1"/>
      <x:c r="S158" s="1"/>
      <x:c r="T158" s="1"/>
    </x:row>
    <x:row r="159" ht="18" customHeight="1">
      <x:c r="A159" s="1"/>
      <x:c r="B159" s="1"/>
      <x:c r="C159" s="1"/>
      <x:c r="D159" s="1"/>
      <x:c r="E159" s="1"/>
      <x:c r="F159" s="1"/>
      <x:c r="G159" s="1"/>
      <x:c r="H159" s="1"/>
      <x:c r="I159" s="1"/>
      <x:c r="J159" s="1"/>
      <x:c r="K159" s="1"/>
      <x:c r="L159" s="1"/>
      <x:c r="M159" s="1"/>
      <x:c r="N159" s="1"/>
      <x:c r="O159" s="1"/>
      <x:c r="P159" s="1"/>
      <x:c r="Q159" s="1"/>
      <x:c r="R159" s="1"/>
      <x:c r="S159" s="1"/>
      <x:c r="T159" s="1"/>
    </x:row>
    <x:row r="160" ht="18" customHeight="1">
      <x:c r="A160" s="1"/>
      <x:c r="B160" s="1"/>
      <x:c r="C160" s="1"/>
      <x:c r="D160" s="1"/>
      <x:c r="E160" s="1"/>
      <x:c r="F160" s="1"/>
      <x:c r="G160" s="1"/>
      <x:c r="H160" s="1"/>
      <x:c r="I160" s="1"/>
      <x:c r="J160" s="1"/>
      <x:c r="K160" s="1"/>
      <x:c r="L160" s="1"/>
      <x:c r="M160" s="1"/>
      <x:c r="N160" s="1"/>
      <x:c r="O160" s="1"/>
      <x:c r="P160" s="1"/>
      <x:c r="Q160" s="1"/>
      <x:c r="R160" s="1"/>
      <x:c r="S160" s="1"/>
      <x:c r="T160" s="1"/>
    </x:row>
    <x:row r="161" ht="18" customHeight="1">
      <x:c r="A161" s="1"/>
      <x:c r="B161" s="1"/>
      <x:c r="C161" s="1"/>
      <x:c r="D161" s="1"/>
      <x:c r="E161" s="1"/>
      <x:c r="F161" s="1"/>
      <x:c r="G161" s="1"/>
      <x:c r="H161" s="1"/>
      <x:c r="I161" s="1"/>
      <x:c r="J161" s="1"/>
      <x:c r="K161" s="1"/>
      <x:c r="L161" s="1"/>
      <x:c r="M161" s="1"/>
      <x:c r="N161" s="1"/>
      <x:c r="O161" s="1"/>
      <x:c r="P161" s="1"/>
      <x:c r="Q161" s="1"/>
      <x:c r="R161" s="1"/>
      <x:c r="S161" s="1"/>
      <x:c r="T161" s="1"/>
    </x:row>
    <x:row r="162" ht="18" customHeight="1">
      <x:c r="A162" s="1"/>
      <x:c r="B162" s="1"/>
      <x:c r="C162" s="1"/>
      <x:c r="D162" s="1"/>
      <x:c r="E162" s="1"/>
      <x:c r="F162" s="1"/>
      <x:c r="G162" s="1"/>
      <x:c r="H162" s="1"/>
      <x:c r="I162" s="1"/>
      <x:c r="J162" s="1"/>
      <x:c r="K162" s="1"/>
      <x:c r="L162" s="1"/>
      <x:c r="M162" s="1"/>
      <x:c r="N162" s="1"/>
      <x:c r="O162" s="1"/>
      <x:c r="P162" s="1"/>
      <x:c r="Q162" s="1"/>
      <x:c r="R162" s="1"/>
      <x:c r="S162" s="1"/>
      <x:c r="T162" s="1"/>
    </x:row>
    <x:row r="163" ht="18" customHeight="1">
      <x:c r="A163" s="1"/>
      <x:c r="B163" s="1"/>
      <x:c r="C163" s="1"/>
      <x:c r="D163" s="1"/>
      <x:c r="E163" s="1"/>
      <x:c r="F163" s="1"/>
      <x:c r="G163" s="1"/>
      <x:c r="H163" s="1"/>
      <x:c r="I163" s="1"/>
      <x:c r="J163" s="1"/>
      <x:c r="K163" s="1"/>
      <x:c r="L163" s="1"/>
      <x:c r="M163" s="1"/>
      <x:c r="N163" s="1"/>
      <x:c r="O163" s="1"/>
      <x:c r="P163" s="1"/>
      <x:c r="Q163" s="1"/>
      <x:c r="R163" s="1"/>
      <x:c r="S163" s="1"/>
      <x:c r="T163" s="1"/>
    </x:row>
    <x:row r="164" ht="18" customHeight="1">
      <x:c r="A164" s="1"/>
      <x:c r="B164" s="1"/>
      <x:c r="C164" s="1"/>
      <x:c r="D164" s="1"/>
      <x:c r="E164" s="1"/>
      <x:c r="F164" s="1"/>
      <x:c r="G164" s="1"/>
      <x:c r="H164" s="1"/>
      <x:c r="I164" s="1"/>
      <x:c r="J164" s="1"/>
      <x:c r="K164" s="1"/>
      <x:c r="L164" s="1"/>
      <x:c r="M164" s="1"/>
      <x:c r="N164" s="1"/>
      <x:c r="O164" s="1"/>
      <x:c r="P164" s="1"/>
      <x:c r="Q164" s="1"/>
      <x:c r="R164" s="1"/>
      <x:c r="S164" s="1"/>
      <x:c r="T164" s="1"/>
    </x:row>
    <x:row r="165" ht="18" customHeight="1">
      <x:c r="A165" s="1"/>
      <x:c r="B165" s="1"/>
      <x:c r="C165" s="1"/>
      <x:c r="D165" s="1"/>
      <x:c r="E165" s="1"/>
      <x:c r="F165" s="1"/>
      <x:c r="G165" s="1"/>
      <x:c r="H165" s="1"/>
      <x:c r="I165" s="1"/>
      <x:c r="J165" s="1"/>
      <x:c r="K165" s="1"/>
      <x:c r="L165" s="1"/>
      <x:c r="M165" s="1"/>
      <x:c r="N165" s="1"/>
      <x:c r="O165" s="1"/>
      <x:c r="P165" s="1"/>
      <x:c r="Q165" s="1"/>
      <x:c r="R165" s="1"/>
      <x:c r="S165" s="1"/>
      <x:c r="T165" s="1"/>
    </x:row>
    <x:row r="166" ht="18" customHeight="1">
      <x:c r="A166" s="1"/>
      <x:c r="B166" s="1"/>
      <x:c r="C166" s="1"/>
      <x:c r="D166" s="1"/>
      <x:c r="E166" s="1"/>
      <x:c r="F166" s="1"/>
      <x:c r="G166" s="1"/>
      <x:c r="H166" s="1"/>
      <x:c r="I166" s="1"/>
      <x:c r="J166" s="1"/>
      <x:c r="K166" s="1"/>
      <x:c r="L166" s="1"/>
      <x:c r="M166" s="1"/>
      <x:c r="N166" s="1"/>
      <x:c r="O166" s="1"/>
      <x:c r="P166" s="1"/>
      <x:c r="Q166" s="1"/>
      <x:c r="R166" s="1"/>
      <x:c r="S166" s="1"/>
      <x:c r="T166" s="1"/>
    </x:row>
    <x:row r="167" ht="18" customHeight="1">
      <x:c r="A167" s="1"/>
      <x:c r="B167" s="1"/>
      <x:c r="C167" s="1"/>
      <x:c r="D167" s="1"/>
      <x:c r="E167" s="1"/>
      <x:c r="F167" s="1"/>
      <x:c r="G167" s="1"/>
      <x:c r="H167" s="1"/>
      <x:c r="I167" s="1"/>
      <x:c r="J167" s="1"/>
      <x:c r="K167" s="1"/>
      <x:c r="L167" s="1"/>
      <x:c r="M167" s="1"/>
      <x:c r="N167" s="1"/>
      <x:c r="O167" s="1"/>
      <x:c r="P167" s="1"/>
      <x:c r="Q167" s="1"/>
      <x:c r="R167" s="1"/>
      <x:c r="S167" s="1"/>
      <x:c r="T167" s="1"/>
    </x:row>
    <x:row r="168" ht="18" customHeight="1">
      <x:c r="A168" s="1"/>
      <x:c r="B168" s="1"/>
      <x:c r="C168" s="1"/>
      <x:c r="D168" s="1"/>
      <x:c r="E168" s="1"/>
      <x:c r="F168" s="1"/>
      <x:c r="G168" s="1"/>
      <x:c r="H168" s="1"/>
      <x:c r="I168" s="1"/>
      <x:c r="J168" s="1"/>
      <x:c r="K168" s="1"/>
      <x:c r="L168" s="1"/>
      <x:c r="M168" s="1"/>
      <x:c r="N168" s="1"/>
      <x:c r="O168" s="1"/>
      <x:c r="P168" s="1"/>
      <x:c r="Q168" s="1"/>
      <x:c r="R168" s="1"/>
      <x:c r="S168" s="1"/>
      <x:c r="T168" s="1"/>
    </x:row>
    <x:row r="169" ht="18" customHeight="1">
      <x:c r="A169" s="1"/>
      <x:c r="B169" s="1"/>
      <x:c r="C169" s="1"/>
      <x:c r="D169" s="1"/>
      <x:c r="E169" s="1"/>
      <x:c r="F169" s="1"/>
      <x:c r="G169" s="1"/>
      <x:c r="H169" s="1"/>
      <x:c r="I169" s="1"/>
      <x:c r="J169" s="1"/>
      <x:c r="K169" s="1"/>
      <x:c r="L169" s="1"/>
      <x:c r="M169" s="1"/>
      <x:c r="N169" s="1"/>
      <x:c r="O169" s="1"/>
      <x:c r="P169" s="1"/>
      <x:c r="Q169" s="1"/>
      <x:c r="R169" s="1"/>
      <x:c r="S169" s="1"/>
      <x:c r="T169" s="1"/>
    </x:row>
    <x:row r="170" ht="18" customHeight="1">
      <x:c r="A170" s="1"/>
      <x:c r="B170" s="1"/>
      <x:c r="C170" s="1"/>
      <x:c r="D170" s="1"/>
      <x:c r="E170" s="1"/>
      <x:c r="F170" s="1"/>
      <x:c r="G170" s="1"/>
      <x:c r="H170" s="1"/>
      <x:c r="I170" s="1"/>
      <x:c r="J170" s="1"/>
      <x:c r="K170" s="1"/>
      <x:c r="L170" s="1"/>
      <x:c r="M170" s="1"/>
      <x:c r="N170" s="1"/>
      <x:c r="O170" s="1"/>
      <x:c r="P170" s="1"/>
      <x:c r="Q170" s="1"/>
      <x:c r="R170" s="1"/>
      <x:c r="S170" s="1"/>
      <x:c r="T170" s="1"/>
    </x:row>
    <x:row r="171" ht="18" customHeight="1">
      <x:c r="A171" s="1"/>
      <x:c r="B171" s="1"/>
      <x:c r="C171" s="1"/>
      <x:c r="D171" s="1"/>
      <x:c r="E171" s="1"/>
      <x:c r="F171" s="1"/>
      <x:c r="G171" s="1"/>
      <x:c r="H171" s="1"/>
      <x:c r="I171" s="1"/>
      <x:c r="J171" s="1"/>
      <x:c r="K171" s="1"/>
      <x:c r="L171" s="1"/>
      <x:c r="M171" s="1"/>
      <x:c r="N171" s="1"/>
      <x:c r="O171" s="1"/>
      <x:c r="P171" s="1"/>
      <x:c r="Q171" s="1"/>
      <x:c r="R171" s="1"/>
      <x:c r="S171" s="1"/>
      <x:c r="T171" s="1"/>
    </x:row>
    <x:row r="172" ht="18" customHeight="1">
      <x:c r="A172" s="1"/>
      <x:c r="B172" s="1"/>
      <x:c r="C172" s="1"/>
      <x:c r="D172" s="1"/>
      <x:c r="E172" s="1"/>
      <x:c r="F172" s="1"/>
      <x:c r="G172" s="1"/>
      <x:c r="H172" s="1"/>
      <x:c r="I172" s="1"/>
      <x:c r="J172" s="1"/>
      <x:c r="K172" s="1"/>
      <x:c r="L172" s="1"/>
      <x:c r="M172" s="1"/>
      <x:c r="N172" s="1"/>
      <x:c r="O172" s="1"/>
      <x:c r="P172" s="1"/>
      <x:c r="Q172" s="1"/>
      <x:c r="R172" s="1"/>
      <x:c r="S172" s="1"/>
      <x:c r="T172" s="1"/>
    </x:row>
    <x:row r="173" ht="18" customHeight="1">
      <x:c r="A173" s="1"/>
      <x:c r="B173" s="1"/>
      <x:c r="C173" s="1"/>
      <x:c r="D173" s="1"/>
      <x:c r="E173" s="1"/>
      <x:c r="F173" s="1"/>
      <x:c r="G173" s="1"/>
      <x:c r="H173" s="1"/>
      <x:c r="I173" s="1"/>
      <x:c r="J173" s="1"/>
      <x:c r="K173" s="1"/>
      <x:c r="L173" s="1"/>
      <x:c r="M173" s="1"/>
      <x:c r="N173" s="1"/>
      <x:c r="O173" s="1"/>
      <x:c r="P173" s="1"/>
      <x:c r="Q173" s="1"/>
      <x:c r="R173" s="1"/>
      <x:c r="S173" s="1"/>
      <x:c r="T173" s="1"/>
    </x:row>
    <x:row r="174" ht="18" customHeight="1">
      <x:c r="A174" s="1"/>
      <x:c r="B174" s="1"/>
      <x:c r="C174" s="1"/>
      <x:c r="D174" s="1"/>
      <x:c r="E174" s="1"/>
      <x:c r="F174" s="1"/>
      <x:c r="G174" s="1"/>
      <x:c r="H174" s="1"/>
      <x:c r="I174" s="1"/>
      <x:c r="J174" s="1"/>
      <x:c r="K174" s="1"/>
      <x:c r="L174" s="1"/>
      <x:c r="M174" s="1"/>
      <x:c r="N174" s="1"/>
      <x:c r="O174" s="1"/>
      <x:c r="P174" s="1"/>
      <x:c r="Q174" s="1"/>
      <x:c r="R174" s="1"/>
      <x:c r="S174" s="1"/>
      <x:c r="T174" s="1"/>
    </x:row>
    <x:row r="175" ht="18" customHeight="1">
      <x:c r="A175" s="1"/>
      <x:c r="B175" s="1"/>
      <x:c r="C175" s="1"/>
      <x:c r="D175" s="1"/>
      <x:c r="E175" s="1"/>
      <x:c r="F175" s="1"/>
      <x:c r="G175" s="1"/>
      <x:c r="H175" s="1"/>
      <x:c r="I175" s="1"/>
      <x:c r="J175" s="1"/>
      <x:c r="K175" s="1"/>
      <x:c r="L175" s="1"/>
      <x:c r="M175" s="1"/>
      <x:c r="N175" s="1"/>
      <x:c r="O175" s="1"/>
      <x:c r="P175" s="1"/>
      <x:c r="Q175" s="1"/>
      <x:c r="R175" s="1"/>
      <x:c r="S175" s="1"/>
      <x:c r="T175" s="1"/>
    </x:row>
    <x:row r="176" ht="18" customHeight="1">
      <x:c r="A176" s="1"/>
      <x:c r="B176" s="1"/>
      <x:c r="C176" s="1"/>
      <x:c r="D176" s="1"/>
      <x:c r="E176" s="1"/>
      <x:c r="F176" s="1"/>
      <x:c r="G176" s="1"/>
      <x:c r="H176" s="1"/>
      <x:c r="I176" s="1"/>
      <x:c r="J176" s="1"/>
      <x:c r="K176" s="1"/>
      <x:c r="L176" s="1"/>
      <x:c r="M176" s="1"/>
      <x:c r="N176" s="1"/>
      <x:c r="O176" s="1"/>
      <x:c r="P176" s="1"/>
      <x:c r="Q176" s="1"/>
      <x:c r="R176" s="1"/>
      <x:c r="S176" s="1"/>
      <x:c r="T176" s="1"/>
    </x:row>
    <x:row r="177" ht="18" customHeight="1">
      <x:c r="A177" s="1"/>
      <x:c r="B177" s="1"/>
      <x:c r="C177" s="1"/>
      <x:c r="D177" s="1"/>
      <x:c r="E177" s="1"/>
      <x:c r="F177" s="1"/>
      <x:c r="G177" s="1"/>
      <x:c r="H177" s="1"/>
      <x:c r="I177" s="1"/>
      <x:c r="J177" s="1"/>
      <x:c r="K177" s="1"/>
      <x:c r="L177" s="1"/>
      <x:c r="M177" s="1"/>
      <x:c r="N177" s="1"/>
      <x:c r="O177" s="1"/>
      <x:c r="P177" s="1"/>
      <x:c r="Q177" s="1"/>
      <x:c r="R177" s="1"/>
      <x:c r="S177" s="1"/>
      <x:c r="T177" s="1"/>
    </x:row>
    <x:row r="178" ht="18" customHeight="1">
      <x:c r="A178" s="1"/>
      <x:c r="B178" s="1"/>
      <x:c r="C178" s="1"/>
      <x:c r="D178" s="1"/>
      <x:c r="E178" s="1"/>
      <x:c r="F178" s="1"/>
      <x:c r="G178" s="1"/>
      <x:c r="H178" s="1"/>
      <x:c r="I178" s="1"/>
      <x:c r="J178" s="1"/>
      <x:c r="K178" s="1"/>
      <x:c r="L178" s="1"/>
      <x:c r="M178" s="1"/>
      <x:c r="N178" s="1"/>
      <x:c r="O178" s="1"/>
      <x:c r="P178" s="1"/>
      <x:c r="Q178" s="1"/>
      <x:c r="R178" s="1"/>
      <x:c r="S178" s="1"/>
      <x:c r="T178" s="1"/>
    </x:row>
    <x:row r="179" ht="18" customHeight="1">
      <x:c r="A179" s="1"/>
      <x:c r="B179" s="1"/>
      <x:c r="C179" s="1"/>
      <x:c r="D179" s="1"/>
      <x:c r="E179" s="1"/>
      <x:c r="F179" s="1"/>
      <x:c r="G179" s="1"/>
      <x:c r="H179" s="1"/>
      <x:c r="I179" s="1"/>
      <x:c r="J179" s="1"/>
      <x:c r="K179" s="1"/>
      <x:c r="L179" s="1"/>
      <x:c r="M179" s="1"/>
      <x:c r="N179" s="1"/>
      <x:c r="O179" s="1"/>
      <x:c r="P179" s="1"/>
      <x:c r="Q179" s="1"/>
      <x:c r="R179" s="1"/>
      <x:c r="S179" s="1"/>
      <x:c r="T179" s="1"/>
    </x:row>
    <x:row r="180" ht="18" customHeight="1">
      <x:c r="A180" s="1"/>
      <x:c r="B180" s="1"/>
      <x:c r="C180" s="1"/>
      <x:c r="D180" s="1"/>
      <x:c r="E180" s="1"/>
      <x:c r="F180" s="1"/>
      <x:c r="G180" s="1"/>
      <x:c r="H180" s="1"/>
      <x:c r="I180" s="1"/>
      <x:c r="J180" s="1"/>
      <x:c r="K180" s="1"/>
      <x:c r="L180" s="1"/>
      <x:c r="M180" s="1"/>
      <x:c r="N180" s="1"/>
      <x:c r="O180" s="1"/>
      <x:c r="P180" s="1"/>
      <x:c r="Q180" s="1"/>
      <x:c r="R180" s="1"/>
      <x:c r="S180" s="1"/>
      <x:c r="T180" s="1"/>
    </x:row>
    <x:row r="181" ht="18" customHeight="1">
      <x:c r="A181" s="1"/>
      <x:c r="B181" s="1"/>
      <x:c r="C181" s="1"/>
      <x:c r="D181" s="1"/>
      <x:c r="E181" s="1"/>
      <x:c r="F181" s="1"/>
      <x:c r="G181" s="1"/>
      <x:c r="H181" s="1"/>
      <x:c r="I181" s="1"/>
      <x:c r="J181" s="1"/>
      <x:c r="K181" s="1"/>
      <x:c r="L181" s="1"/>
      <x:c r="M181" s="1"/>
      <x:c r="N181" s="1"/>
      <x:c r="O181" s="1"/>
      <x:c r="P181" s="1"/>
      <x:c r="Q181" s="1"/>
      <x:c r="R181" s="1"/>
      <x:c r="S181" s="1"/>
      <x:c r="T181" s="1"/>
    </x:row>
    <x:row r="182" ht="18" customHeight="1">
      <x:c r="A182" s="1"/>
      <x:c r="B182" s="1"/>
      <x:c r="C182" s="1"/>
      <x:c r="D182" s="1"/>
      <x:c r="E182" s="1"/>
      <x:c r="F182" s="1"/>
      <x:c r="G182" s="1"/>
      <x:c r="H182" s="1"/>
      <x:c r="I182" s="1"/>
      <x:c r="J182" s="1"/>
      <x:c r="K182" s="1"/>
      <x:c r="L182" s="1"/>
      <x:c r="M182" s="1"/>
      <x:c r="N182" s="1"/>
      <x:c r="O182" s="1"/>
      <x:c r="P182" s="1"/>
      <x:c r="Q182" s="1"/>
      <x:c r="R182" s="1"/>
      <x:c r="S182" s="1"/>
      <x:c r="T182" s="1"/>
    </x:row>
    <x:row r="183" ht="18" customHeight="1">
      <x:c r="A183" s="1"/>
      <x:c r="B183" s="1"/>
      <x:c r="C183" s="1"/>
      <x:c r="D183" s="1"/>
      <x:c r="E183" s="1"/>
      <x:c r="F183" s="1"/>
      <x:c r="G183" s="1"/>
      <x:c r="H183" s="1"/>
      <x:c r="I183" s="1"/>
      <x:c r="J183" s="1"/>
      <x:c r="K183" s="1"/>
      <x:c r="L183" s="1"/>
      <x:c r="M183" s="1"/>
      <x:c r="N183" s="1"/>
      <x:c r="O183" s="1"/>
      <x:c r="P183" s="1"/>
      <x:c r="Q183" s="1"/>
      <x:c r="R183" s="1"/>
      <x:c r="S183" s="1"/>
      <x:c r="T183" s="1"/>
    </x:row>
    <x:row r="184" ht="18" customHeight="1">
      <x:c r="A184" s="1"/>
      <x:c r="B184" s="1"/>
      <x:c r="C184" s="1"/>
      <x:c r="D184" s="1"/>
      <x:c r="E184" s="1"/>
      <x:c r="F184" s="1"/>
      <x:c r="G184" s="1"/>
      <x:c r="H184" s="1"/>
      <x:c r="I184" s="1"/>
      <x:c r="J184" s="1"/>
      <x:c r="K184" s="1"/>
      <x:c r="L184" s="1"/>
      <x:c r="M184" s="1"/>
      <x:c r="N184" s="1"/>
      <x:c r="O184" s="1"/>
      <x:c r="P184" s="1"/>
      <x:c r="Q184" s="1"/>
      <x:c r="R184" s="1"/>
      <x:c r="S184" s="1"/>
      <x:c r="T184" s="1"/>
    </x:row>
    <x:row r="185" ht="18" customHeight="1">
      <x:c r="A185" s="1"/>
      <x:c r="B185" s="1"/>
      <x:c r="C185" s="1"/>
      <x:c r="D185" s="1"/>
      <x:c r="E185" s="1"/>
      <x:c r="F185" s="1"/>
      <x:c r="G185" s="1"/>
      <x:c r="H185" s="1"/>
      <x:c r="I185" s="1"/>
      <x:c r="J185" s="1"/>
      <x:c r="K185" s="1"/>
      <x:c r="L185" s="1"/>
      <x:c r="M185" s="1"/>
      <x:c r="N185" s="1"/>
      <x:c r="O185" s="1"/>
      <x:c r="P185" s="1"/>
      <x:c r="Q185" s="1"/>
      <x:c r="R185" s="1"/>
      <x:c r="S185" s="1"/>
      <x:c r="T185" s="1"/>
    </x:row>
    <x:row r="186" ht="18" customHeight="1">
      <x:c r="A186" s="1"/>
      <x:c r="B186" s="1"/>
      <x:c r="C186" s="1"/>
      <x:c r="D186" s="1"/>
      <x:c r="E186" s="1"/>
      <x:c r="F186" s="1"/>
      <x:c r="G186" s="1"/>
      <x:c r="H186" s="1"/>
      <x:c r="I186" s="1"/>
      <x:c r="J186" s="1"/>
      <x:c r="K186" s="1"/>
      <x:c r="L186" s="1"/>
      <x:c r="M186" s="1"/>
      <x:c r="N186" s="1"/>
      <x:c r="O186" s="1"/>
      <x:c r="P186" s="1"/>
      <x:c r="Q186" s="1"/>
      <x:c r="R186" s="1"/>
      <x:c r="S186" s="1"/>
      <x:c r="T186" s="1"/>
    </x:row>
    <x:row r="187" ht="18" customHeight="1">
      <x:c r="A187" s="1"/>
      <x:c r="B187" s="1"/>
      <x:c r="C187" s="1"/>
      <x:c r="D187" s="1"/>
      <x:c r="E187" s="1"/>
      <x:c r="F187" s="1"/>
      <x:c r="G187" s="1"/>
      <x:c r="H187" s="1"/>
      <x:c r="I187" s="1"/>
      <x:c r="J187" s="1"/>
      <x:c r="K187" s="1"/>
      <x:c r="L187" s="1"/>
      <x:c r="M187" s="1"/>
      <x:c r="N187" s="1"/>
      <x:c r="O187" s="1"/>
      <x:c r="P187" s="1"/>
      <x:c r="Q187" s="1"/>
      <x:c r="R187" s="1"/>
      <x:c r="S187" s="1"/>
      <x:c r="T187" s="1"/>
    </x:row>
    <x:row r="188" ht="18" customHeight="1">
      <x:c r="A188" s="1"/>
      <x:c r="B188" s="1"/>
      <x:c r="C188" s="1"/>
      <x:c r="D188" s="1"/>
      <x:c r="E188" s="1"/>
      <x:c r="F188" s="1"/>
      <x:c r="G188" s="1"/>
      <x:c r="H188" s="1"/>
      <x:c r="I188" s="1"/>
      <x:c r="J188" s="1"/>
      <x:c r="K188" s="1"/>
      <x:c r="L188" s="1"/>
      <x:c r="M188" s="1"/>
      <x:c r="N188" s="1"/>
      <x:c r="O188" s="1"/>
      <x:c r="P188" s="1"/>
      <x:c r="Q188" s="1"/>
      <x:c r="R188" s="1"/>
      <x:c r="S188" s="1"/>
      <x:c r="T188" s="1"/>
    </x:row>
    <x:row r="189" ht="18" customHeight="1">
      <x:c r="A189" s="1"/>
      <x:c r="B189" s="1"/>
      <x:c r="C189" s="1"/>
      <x:c r="D189" s="1"/>
      <x:c r="E189" s="1"/>
      <x:c r="F189" s="1"/>
      <x:c r="G189" s="1"/>
      <x:c r="H189" s="1"/>
      <x:c r="I189" s="1"/>
      <x:c r="J189" s="1"/>
      <x:c r="K189" s="1"/>
      <x:c r="L189" s="1"/>
      <x:c r="M189" s="1"/>
      <x:c r="N189" s="1"/>
      <x:c r="O189" s="1"/>
      <x:c r="P189" s="1"/>
      <x:c r="Q189" s="1"/>
      <x:c r="R189" s="1"/>
      <x:c r="S189" s="1"/>
      <x:c r="T189" s="1"/>
    </x:row>
    <x:row r="190" ht="18" customHeight="1">
      <x:c r="A190" s="1"/>
      <x:c r="B190" s="1"/>
      <x:c r="C190" s="1"/>
      <x:c r="D190" s="1"/>
      <x:c r="E190" s="1"/>
      <x:c r="F190" s="1"/>
      <x:c r="G190" s="1"/>
      <x:c r="H190" s="1"/>
      <x:c r="I190" s="1"/>
      <x:c r="J190" s="1"/>
      <x:c r="K190" s="1"/>
      <x:c r="L190" s="1"/>
      <x:c r="M190" s="1"/>
      <x:c r="N190" s="1"/>
      <x:c r="O190" s="1"/>
      <x:c r="P190" s="1"/>
      <x:c r="Q190" s="1"/>
      <x:c r="R190" s="1"/>
      <x:c r="S190" s="1"/>
      <x:c r="T190" s="1"/>
    </x:row>
    <x:row r="191" ht="18" customHeight="1">
      <x:c r="A191" s="1"/>
      <x:c r="B191" s="1"/>
      <x:c r="C191" s="1"/>
      <x:c r="D191" s="1"/>
      <x:c r="E191" s="1"/>
      <x:c r="F191" s="1"/>
      <x:c r="G191" s="1"/>
      <x:c r="H191" s="1"/>
      <x:c r="I191" s="1"/>
      <x:c r="J191" s="1"/>
      <x:c r="K191" s="1"/>
      <x:c r="L191" s="1"/>
      <x:c r="M191" s="1"/>
      <x:c r="N191" s="1"/>
      <x:c r="O191" s="1"/>
      <x:c r="P191" s="1"/>
      <x:c r="Q191" s="1"/>
      <x:c r="R191" s="1"/>
      <x:c r="S191" s="1"/>
      <x:c r="T191" s="1"/>
    </x:row>
    <x:row r="192" ht="18" customHeight="1">
      <x:c r="A192" s="1"/>
      <x:c r="B192" s="1"/>
      <x:c r="C192" s="1"/>
      <x:c r="D192" s="1"/>
      <x:c r="E192" s="1"/>
      <x:c r="F192" s="1"/>
      <x:c r="G192" s="1"/>
      <x:c r="H192" s="1"/>
      <x:c r="I192" s="1"/>
      <x:c r="J192" s="1"/>
      <x:c r="K192" s="1"/>
      <x:c r="L192" s="1"/>
      <x:c r="M192" s="1"/>
      <x:c r="N192" s="1"/>
      <x:c r="O192" s="1"/>
      <x:c r="P192" s="1"/>
      <x:c r="Q192" s="1"/>
      <x:c r="R192" s="1"/>
      <x:c r="S192" s="1"/>
      <x:c r="T192" s="1"/>
    </x:row>
    <x:row r="193" ht="18" customHeight="1">
      <x:c r="A193" s="1"/>
      <x:c r="B193" s="1"/>
      <x:c r="C193" s="1"/>
      <x:c r="D193" s="1"/>
      <x:c r="E193" s="1"/>
      <x:c r="F193" s="1"/>
      <x:c r="G193" s="1"/>
      <x:c r="H193" s="1"/>
      <x:c r="I193" s="1"/>
      <x:c r="J193" s="1"/>
      <x:c r="K193" s="1"/>
      <x:c r="L193" s="1"/>
      <x:c r="M193" s="1"/>
      <x:c r="N193" s="1"/>
      <x:c r="O193" s="1"/>
      <x:c r="P193" s="1"/>
      <x:c r="Q193" s="1"/>
      <x:c r="R193" s="1"/>
      <x:c r="S193" s="1"/>
      <x:c r="T193" s="1"/>
    </x:row>
    <x:row r="194" ht="18" customHeight="1">
      <x:c r="A194" s="1"/>
      <x:c r="B194" s="1"/>
      <x:c r="C194" s="1"/>
      <x:c r="D194" s="1"/>
      <x:c r="E194" s="1"/>
      <x:c r="F194" s="1"/>
      <x:c r="G194" s="1"/>
      <x:c r="H194" s="1"/>
      <x:c r="I194" s="1"/>
      <x:c r="J194" s="1"/>
      <x:c r="K194" s="1"/>
      <x:c r="L194" s="1"/>
      <x:c r="M194" s="1"/>
      <x:c r="N194" s="1"/>
      <x:c r="O194" s="1"/>
      <x:c r="P194" s="1"/>
      <x:c r="Q194" s="1"/>
      <x:c r="R194" s="1"/>
      <x:c r="S194" s="1"/>
      <x:c r="T194" s="1"/>
    </x:row>
    <x:row r="195" ht="18" customHeight="1">
      <x:c r="A195" s="1"/>
      <x:c r="B195" s="1"/>
      <x:c r="C195" s="1"/>
      <x:c r="D195" s="1"/>
      <x:c r="E195" s="1"/>
      <x:c r="F195" s="1"/>
      <x:c r="G195" s="1"/>
      <x:c r="H195" s="1"/>
      <x:c r="I195" s="1"/>
      <x:c r="J195" s="1"/>
      <x:c r="K195" s="1"/>
      <x:c r="L195" s="1"/>
      <x:c r="M195" s="1"/>
      <x:c r="N195" s="1"/>
      <x:c r="O195" s="1"/>
      <x:c r="P195" s="1"/>
      <x:c r="Q195" s="1"/>
      <x:c r="R195" s="1"/>
      <x:c r="S195" s="1"/>
      <x:c r="T195" s="1"/>
    </x:row>
    <x:row r="196" ht="18" customHeight="1">
      <x:c r="A196" s="1"/>
      <x:c r="B196" s="1"/>
      <x:c r="C196" s="1"/>
      <x:c r="D196" s="1"/>
      <x:c r="E196" s="1"/>
      <x:c r="F196" s="1"/>
      <x:c r="G196" s="1"/>
      <x:c r="H196" s="1"/>
      <x:c r="I196" s="1"/>
      <x:c r="J196" s="1"/>
      <x:c r="K196" s="1"/>
      <x:c r="L196" s="1"/>
      <x:c r="M196" s="1"/>
      <x:c r="N196" s="1"/>
      <x:c r="O196" s="1"/>
      <x:c r="P196" s="1"/>
      <x:c r="Q196" s="1"/>
      <x:c r="R196" s="1"/>
      <x:c r="S196" s="1"/>
      <x:c r="T196" s="1"/>
    </x:row>
    <x:row r="197" ht="18" customHeight="1">
      <x:c r="A197" s="1"/>
      <x:c r="B197" s="1"/>
      <x:c r="C197" s="1"/>
      <x:c r="D197" s="1"/>
      <x:c r="E197" s="1"/>
      <x:c r="F197" s="1"/>
      <x:c r="G197" s="1"/>
      <x:c r="H197" s="1"/>
      <x:c r="I197" s="1"/>
      <x:c r="J197" s="1"/>
      <x:c r="K197" s="1"/>
      <x:c r="L197" s="1"/>
      <x:c r="M197" s="1"/>
      <x:c r="N197" s="1"/>
      <x:c r="O197" s="1"/>
      <x:c r="P197" s="1"/>
      <x:c r="Q197" s="1"/>
      <x:c r="R197" s="1"/>
      <x:c r="S197" s="1"/>
      <x:c r="T197" s="1"/>
    </x:row>
    <x:row r="198" ht="18" customHeight="1">
      <x:c r="A198" s="1"/>
      <x:c r="B198" s="1"/>
      <x:c r="C198" s="1"/>
      <x:c r="D198" s="1"/>
      <x:c r="E198" s="1"/>
      <x:c r="F198" s="1"/>
      <x:c r="G198" s="1"/>
      <x:c r="H198" s="1"/>
      <x:c r="I198" s="1"/>
      <x:c r="J198" s="1"/>
      <x:c r="K198" s="1"/>
      <x:c r="L198" s="1"/>
      <x:c r="M198" s="1"/>
      <x:c r="N198" s="1"/>
      <x:c r="O198" s="1"/>
      <x:c r="P198" s="1"/>
      <x:c r="Q198" s="1"/>
      <x:c r="R198" s="1"/>
      <x:c r="S198" s="1"/>
      <x:c r="T198" s="1"/>
    </x:row>
    <x:row r="199" ht="18" customHeight="1">
      <x:c r="A199" s="1"/>
      <x:c r="B199" s="1"/>
      <x:c r="C199" s="1"/>
      <x:c r="D199" s="1"/>
      <x:c r="E199" s="1"/>
      <x:c r="F199" s="1"/>
      <x:c r="G199" s="1"/>
      <x:c r="H199" s="1"/>
      <x:c r="I199" s="1"/>
      <x:c r="J199" s="1"/>
      <x:c r="K199" s="1"/>
      <x:c r="L199" s="1"/>
      <x:c r="M199" s="1"/>
      <x:c r="N199" s="1"/>
      <x:c r="O199" s="1"/>
      <x:c r="P199" s="1"/>
      <x:c r="Q199" s="1"/>
      <x:c r="R199" s="1"/>
      <x:c r="S199" s="1"/>
      <x:c r="T199" s="1"/>
    </x:row>
    <x:row r="200" ht="18" customHeight="1">
      <x:c r="A200" s="1"/>
      <x:c r="B200" s="1"/>
      <x:c r="C200" s="1"/>
      <x:c r="D200" s="1"/>
      <x:c r="E200" s="1"/>
      <x:c r="F200" s="1"/>
      <x:c r="G200" s="1"/>
      <x:c r="H200" s="1"/>
      <x:c r="I200" s="1"/>
      <x:c r="J200" s="1"/>
      <x:c r="K200" s="1"/>
      <x:c r="L200" s="1"/>
      <x:c r="M200" s="1"/>
      <x:c r="N200" s="1"/>
      <x:c r="O200" s="1"/>
      <x:c r="P200" s="1"/>
      <x:c r="Q200" s="1"/>
      <x:c r="R200" s="1"/>
      <x:c r="S200" s="1"/>
      <x:c r="T200" s="1"/>
    </x:row>
    <x:row r="201" ht="18" customHeight="1">
      <x:c r="A201" s="1"/>
      <x:c r="B201" s="1"/>
      <x:c r="C201" s="1"/>
      <x:c r="D201" s="1"/>
      <x:c r="E201" s="1"/>
      <x:c r="F201" s="1"/>
      <x:c r="G201" s="1"/>
      <x:c r="H201" s="1"/>
      <x:c r="I201" s="1"/>
      <x:c r="J201" s="1"/>
      <x:c r="K201" s="1"/>
      <x:c r="L201" s="1"/>
      <x:c r="M201" s="1"/>
      <x:c r="N201" s="1"/>
      <x:c r="O201" s="1"/>
      <x:c r="P201" s="1"/>
      <x:c r="Q201" s="1"/>
      <x:c r="R201" s="1"/>
      <x:c r="S201" s="1"/>
      <x:c r="T201" s="1"/>
    </x:row>
    <x:row r="202" ht="18" customHeight="1">
      <x:c r="A202" s="1"/>
      <x:c r="B202" s="1"/>
      <x:c r="C202" s="1"/>
      <x:c r="D202" s="1"/>
      <x:c r="E202" s="1"/>
      <x:c r="F202" s="1"/>
      <x:c r="G202" s="1"/>
      <x:c r="H202" s="1"/>
      <x:c r="I202" s="1"/>
      <x:c r="J202" s="1"/>
      <x:c r="K202" s="1"/>
      <x:c r="L202" s="1"/>
      <x:c r="M202" s="1"/>
      <x:c r="N202" s="1"/>
      <x:c r="O202" s="1"/>
      <x:c r="P202" s="1"/>
      <x:c r="Q202" s="1"/>
      <x:c r="R202" s="1"/>
      <x:c r="S202" s="1"/>
      <x:c r="T202" s="1"/>
    </x:row>
    <x:row r="203" ht="18" customHeight="1">
      <x:c r="A203" s="1"/>
      <x:c r="B203" s="1"/>
      <x:c r="C203" s="1"/>
      <x:c r="D203" s="1"/>
      <x:c r="E203" s="1"/>
      <x:c r="F203" s="1"/>
      <x:c r="G203" s="1"/>
      <x:c r="H203" s="1"/>
      <x:c r="I203" s="1"/>
      <x:c r="J203" s="1"/>
      <x:c r="K203" s="1"/>
      <x:c r="L203" s="1"/>
      <x:c r="M203" s="1"/>
      <x:c r="N203" s="1"/>
      <x:c r="O203" s="1"/>
      <x:c r="P203" s="1"/>
      <x:c r="Q203" s="1"/>
      <x:c r="R203" s="1"/>
      <x:c r="S203" s="1"/>
      <x:c r="T203" s="1"/>
    </x:row>
    <x:row r="204" ht="18" customHeight="1">
      <x:c r="A204" s="1"/>
      <x:c r="B204" s="1"/>
      <x:c r="C204" s="1"/>
      <x:c r="D204" s="1"/>
      <x:c r="E204" s="1"/>
      <x:c r="F204" s="1"/>
      <x:c r="G204" s="1"/>
      <x:c r="H204" s="1"/>
      <x:c r="I204" s="1"/>
      <x:c r="J204" s="1"/>
      <x:c r="K204" s="1"/>
      <x:c r="L204" s="1"/>
      <x:c r="M204" s="1"/>
      <x:c r="N204" s="1"/>
      <x:c r="O204" s="1"/>
      <x:c r="P204" s="1"/>
      <x:c r="Q204" s="1"/>
      <x:c r="R204" s="1"/>
      <x:c r="S204" s="1"/>
      <x:c r="T204" s="1"/>
    </x:row>
    <x:row r="205" ht="18" customHeight="1">
      <x:c r="A205" s="1"/>
      <x:c r="B205" s="1"/>
      <x:c r="C205" s="1"/>
      <x:c r="D205" s="1"/>
      <x:c r="E205" s="1"/>
      <x:c r="F205" s="1"/>
      <x:c r="G205" s="1"/>
      <x:c r="H205" s="1"/>
      <x:c r="I205" s="1"/>
      <x:c r="J205" s="1"/>
      <x:c r="K205" s="1"/>
      <x:c r="L205" s="1"/>
      <x:c r="M205" s="1"/>
      <x:c r="N205" s="1"/>
      <x:c r="O205" s="1"/>
      <x:c r="P205" s="1"/>
      <x:c r="Q205" s="1"/>
      <x:c r="R205" s="1"/>
      <x:c r="S205" s="1"/>
      <x:c r="T205" s="1"/>
    </x:row>
    <x:row r="206" ht="18" customHeight="1">
      <x:c r="A206" s="1"/>
      <x:c r="B206" s="1"/>
      <x:c r="C206" s="1"/>
      <x:c r="D206" s="1"/>
      <x:c r="E206" s="1"/>
      <x:c r="F206" s="1"/>
      <x:c r="G206" s="1"/>
      <x:c r="H206" s="1"/>
      <x:c r="I206" s="1"/>
      <x:c r="J206" s="1"/>
      <x:c r="K206" s="1"/>
      <x:c r="L206" s="1"/>
      <x:c r="M206" s="1"/>
      <x:c r="N206" s="1"/>
      <x:c r="O206" s="1"/>
      <x:c r="P206" s="1"/>
      <x:c r="Q206" s="1"/>
      <x:c r="R206" s="1"/>
      <x:c r="S206" s="1"/>
      <x:c r="T206" s="1"/>
    </x:row>
    <x:row r="207" ht="18" customHeight="1">
      <x:c r="A207" s="1"/>
      <x:c r="B207" s="1"/>
      <x:c r="C207" s="1"/>
      <x:c r="D207" s="1"/>
      <x:c r="E207" s="1"/>
      <x:c r="F207" s="1"/>
      <x:c r="G207" s="1"/>
      <x:c r="H207" s="1"/>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sheetData>
  <x:mergeCells>
    <x:mergeCell ref="B3:H3"/>
    <x:mergeCell ref="B4:H4"/>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6" hidden="0" customWidth="1"/>
    <x:col min="3" max="3" width="13" hidden="0" customWidth="1"/>
    <x:col min="4" max="4" width="15" hidden="0" customWidth="1"/>
    <x:col min="5" max="5" width="23" hidden="0" customWidth="1"/>
    <x:col min="6" max="6" width="43.0099983215332" hidden="0" customWidth="1"/>
    <x:col min="7" max="7" width="22" hidden="0" customWidth="1"/>
    <x:col min="8" max="8" width="35.0099983215332"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Konferenzen</x:v>
      </x:c>
      <x:c r="C3" s="5"/>
      <x:c r="D3" s="5"/>
      <x:c r="E3" s="5"/>
      <x:c r="F3" s="5"/>
      <x:c r="G3" s="5"/>
      <x:c r="H3" s="5"/>
      <x:c r="I3" s="1"/>
      <x:c r="J3" s="1"/>
      <x:c r="K3" s="1"/>
      <x:c r="L3" s="1"/>
      <x:c r="M3" s="1"/>
      <x:c r="N3" s="1"/>
      <x:c r="O3" s="1"/>
      <x:c r="P3" s="1"/>
      <x:c r="Q3" s="1"/>
      <x:c r="R3" s="1"/>
      <x:c r="S3" s="1"/>
      <x:c r="T3" s="1"/>
    </x:row>
    <x:row r="4" ht="20.017499923706055" customHeight="1">
      <x:c r="A4" s="1"/>
      <x:c r="B4" s="8" t="str">
        <x:v>Register für Klassen-, Zeugnis- und pädagogische Konferenzen</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14" t="str">
        <x:v>Nr.</x:v>
      </x:c>
      <x:c r="C7" s="14" t="str">
        <x:v>Datum</x:v>
      </x:c>
      <x:c r="D7" s="14" t="str">
        <x:v>Art</x:v>
      </x:c>
      <x:c r="E7" s="14" t="str">
        <x:v>Thema</x:v>
      </x:c>
      <x:c r="F7" s="14" t="str">
        <x:v>Ergebnis</x:v>
      </x:c>
      <x:c r="G7" s="14" t="str">
        <x:v>Offizieller Ablageort</x:v>
      </x:c>
      <x:c r="H7" s="14" t="str">
        <x:v>Notiz</x:v>
      </x:c>
      <x:c r="I7" s="1"/>
      <x:c r="J7" s="1"/>
      <x:c r="K7" s="1"/>
      <x:c r="L7" s="1"/>
      <x:c r="M7" s="1"/>
      <x:c r="N7" s="1"/>
      <x:c r="O7" s="1"/>
      <x:c r="P7" s="1"/>
      <x:c r="Q7" s="1"/>
      <x:c r="R7" s="1"/>
      <x:c r="S7" s="1"/>
      <x:c r="T7" s="1"/>
    </x:row>
    <x:row r="8" ht="18" customHeight="1">
      <x:c r="A8" s="1"/>
      <x:c r="B8" s="19" t="n">
        <x:v>1</x:v>
      </x:c>
      <x:c r="C8" s="56"/>
      <x:c r="D8" s="27"/>
      <x:c r="E8" s="27"/>
      <x:c r="F8" s="27"/>
      <x:c r="G8" s="27"/>
      <x:c r="H8" s="27"/>
      <x:c r="I8" s="1"/>
      <x:c r="J8" s="1"/>
      <x:c r="K8" s="1"/>
      <x:c r="L8" s="1"/>
      <x:c r="M8" s="1"/>
      <x:c r="N8" s="1"/>
      <x:c r="O8" s="1"/>
      <x:c r="P8" s="1"/>
      <x:c r="Q8" s="1"/>
      <x:c r="R8" s="1"/>
      <x:c r="S8" s="1"/>
      <x:c r="T8" s="1"/>
    </x:row>
    <x:row r="9" ht="18" customHeight="1">
      <x:c r="A9" s="1"/>
      <x:c r="B9" s="19" t="n">
        <x:v>2</x:v>
      </x:c>
      <x:c r="C9" s="56"/>
      <x:c r="D9" s="27"/>
      <x:c r="E9" s="27"/>
      <x:c r="F9" s="27"/>
      <x:c r="G9" s="27"/>
      <x:c r="H9" s="27"/>
      <x:c r="I9" s="1"/>
      <x:c r="J9" s="1"/>
      <x:c r="K9" s="1"/>
      <x:c r="L9" s="1"/>
      <x:c r="M9" s="1"/>
      <x:c r="N9" s="1"/>
      <x:c r="O9" s="1"/>
      <x:c r="P9" s="1"/>
      <x:c r="Q9" s="1"/>
      <x:c r="R9" s="1"/>
      <x:c r="S9" s="1"/>
      <x:c r="T9" s="1"/>
    </x:row>
    <x:row r="10" ht="18" customHeight="1">
      <x:c r="A10" s="1"/>
      <x:c r="B10" s="19" t="n">
        <x:v>3</x:v>
      </x:c>
      <x:c r="C10" s="56"/>
      <x:c r="D10" s="27"/>
      <x:c r="E10" s="27"/>
      <x:c r="F10" s="27"/>
      <x:c r="G10" s="27"/>
      <x:c r="H10" s="27"/>
      <x:c r="I10" s="1"/>
      <x:c r="J10" s="1"/>
      <x:c r="K10" s="1"/>
      <x:c r="L10" s="1"/>
      <x:c r="M10" s="1"/>
      <x:c r="N10" s="1"/>
      <x:c r="O10" s="1"/>
      <x:c r="P10" s="1"/>
      <x:c r="Q10" s="1"/>
      <x:c r="R10" s="1"/>
      <x:c r="S10" s="1"/>
      <x:c r="T10" s="1"/>
    </x:row>
    <x:row r="11" ht="18" customHeight="1">
      <x:c r="A11" s="1"/>
      <x:c r="B11" s="19" t="n">
        <x:v>4</x:v>
      </x:c>
      <x:c r="C11" s="56"/>
      <x:c r="D11" s="27"/>
      <x:c r="E11" s="27"/>
      <x:c r="F11" s="27"/>
      <x:c r="G11" s="27"/>
      <x:c r="H11" s="27"/>
      <x:c r="I11" s="1"/>
      <x:c r="J11" s="1"/>
      <x:c r="K11" s="1"/>
      <x:c r="L11" s="1"/>
      <x:c r="M11" s="1"/>
      <x:c r="N11" s="1"/>
      <x:c r="O11" s="1"/>
      <x:c r="P11" s="1"/>
      <x:c r="Q11" s="1"/>
      <x:c r="R11" s="1"/>
      <x:c r="S11" s="1"/>
      <x:c r="T11" s="1"/>
    </x:row>
    <x:row r="12" ht="18" customHeight="1">
      <x:c r="A12" s="1"/>
      <x:c r="B12" s="19" t="n">
        <x:v>5</x:v>
      </x:c>
      <x:c r="C12" s="56"/>
      <x:c r="D12" s="27"/>
      <x:c r="E12" s="27"/>
      <x:c r="F12" s="27"/>
      <x:c r="G12" s="27"/>
      <x:c r="H12" s="27"/>
      <x:c r="I12" s="1"/>
      <x:c r="J12" s="1"/>
      <x:c r="K12" s="1"/>
      <x:c r="L12" s="1"/>
      <x:c r="M12" s="1"/>
      <x:c r="N12" s="1"/>
      <x:c r="O12" s="1"/>
      <x:c r="P12" s="1"/>
      <x:c r="Q12" s="1"/>
      <x:c r="R12" s="1"/>
      <x:c r="S12" s="1"/>
      <x:c r="T12" s="1"/>
    </x:row>
    <x:row r="13" ht="18" customHeight="1">
      <x:c r="A13" s="1"/>
      <x:c r="B13" s="19" t="n">
        <x:v>6</x:v>
      </x:c>
      <x:c r="C13" s="56"/>
      <x:c r="D13" s="27"/>
      <x:c r="E13" s="27"/>
      <x:c r="F13" s="27"/>
      <x:c r="G13" s="27"/>
      <x:c r="H13" s="27"/>
      <x:c r="I13" s="1"/>
      <x:c r="J13" s="1"/>
      <x:c r="K13" s="1"/>
      <x:c r="L13" s="1"/>
      <x:c r="M13" s="1"/>
      <x:c r="N13" s="1"/>
      <x:c r="O13" s="1"/>
      <x:c r="P13" s="1"/>
      <x:c r="Q13" s="1"/>
      <x:c r="R13" s="1"/>
      <x:c r="S13" s="1"/>
      <x:c r="T13" s="1"/>
    </x:row>
    <x:row r="14" ht="18" customHeight="1">
      <x:c r="A14" s="1"/>
      <x:c r="B14" s="19" t="n">
        <x:v>7</x:v>
      </x:c>
      <x:c r="C14" s="56"/>
      <x:c r="D14" s="27"/>
      <x:c r="E14" s="27"/>
      <x:c r="F14" s="27"/>
      <x:c r="G14" s="27"/>
      <x:c r="H14" s="27"/>
      <x:c r="I14" s="1"/>
      <x:c r="J14" s="1"/>
      <x:c r="K14" s="1"/>
      <x:c r="L14" s="1"/>
      <x:c r="M14" s="1"/>
      <x:c r="N14" s="1"/>
      <x:c r="O14" s="1"/>
      <x:c r="P14" s="1"/>
      <x:c r="Q14" s="1"/>
      <x:c r="R14" s="1"/>
      <x:c r="S14" s="1"/>
      <x:c r="T14" s="1"/>
    </x:row>
    <x:row r="15" ht="18" customHeight="1">
      <x:c r="A15" s="1"/>
      <x:c r="B15" s="19" t="n">
        <x:v>8</x:v>
      </x:c>
      <x:c r="C15" s="56"/>
      <x:c r="D15" s="27"/>
      <x:c r="E15" s="27"/>
      <x:c r="F15" s="27"/>
      <x:c r="G15" s="27"/>
      <x:c r="H15" s="27"/>
      <x:c r="I15" s="1"/>
      <x:c r="J15" s="1"/>
      <x:c r="K15" s="1"/>
      <x:c r="L15" s="1"/>
      <x:c r="M15" s="1"/>
      <x:c r="N15" s="1"/>
      <x:c r="O15" s="1"/>
      <x:c r="P15" s="1"/>
      <x:c r="Q15" s="1"/>
      <x:c r="R15" s="1"/>
      <x:c r="S15" s="1"/>
      <x:c r="T15" s="1"/>
    </x:row>
    <x:row r="16" ht="18" customHeight="1">
      <x:c r="A16" s="1"/>
      <x:c r="B16" s="19" t="n">
        <x:v>9</x:v>
      </x:c>
      <x:c r="C16" s="56"/>
      <x:c r="D16" s="27"/>
      <x:c r="E16" s="27"/>
      <x:c r="F16" s="27"/>
      <x:c r="G16" s="27"/>
      <x:c r="H16" s="27"/>
      <x:c r="I16" s="1"/>
      <x:c r="J16" s="1"/>
      <x:c r="K16" s="1"/>
      <x:c r="L16" s="1"/>
      <x:c r="M16" s="1"/>
      <x:c r="N16" s="1"/>
      <x:c r="O16" s="1"/>
      <x:c r="P16" s="1"/>
      <x:c r="Q16" s="1"/>
      <x:c r="R16" s="1"/>
      <x:c r="S16" s="1"/>
      <x:c r="T16" s="1"/>
    </x:row>
    <x:row r="17" ht="18" customHeight="1">
      <x:c r="A17" s="1"/>
      <x:c r="B17" s="19" t="n">
        <x:v>10</x:v>
      </x:c>
      <x:c r="C17" s="56"/>
      <x:c r="D17" s="27"/>
      <x:c r="E17" s="27"/>
      <x:c r="F17" s="27"/>
      <x:c r="G17" s="27"/>
      <x:c r="H17" s="27"/>
      <x:c r="I17" s="1"/>
      <x:c r="J17" s="1"/>
      <x:c r="K17" s="1"/>
      <x:c r="L17" s="1"/>
      <x:c r="M17" s="1"/>
      <x:c r="N17" s="1"/>
      <x:c r="O17" s="1"/>
      <x:c r="P17" s="1"/>
      <x:c r="Q17" s="1"/>
      <x:c r="R17" s="1"/>
      <x:c r="S17" s="1"/>
      <x:c r="T17" s="1"/>
    </x:row>
    <x:row r="18" ht="18" customHeight="1">
      <x:c r="A18" s="1"/>
      <x:c r="B18" s="19" t="n">
        <x:v>11</x:v>
      </x:c>
      <x:c r="C18" s="56"/>
      <x:c r="D18" s="27"/>
      <x:c r="E18" s="27"/>
      <x:c r="F18" s="27"/>
      <x:c r="G18" s="27"/>
      <x:c r="H18" s="27"/>
      <x:c r="I18" s="1"/>
      <x:c r="J18" s="1"/>
      <x:c r="K18" s="1"/>
      <x:c r="L18" s="1"/>
      <x:c r="M18" s="1"/>
      <x:c r="N18" s="1"/>
      <x:c r="O18" s="1"/>
      <x:c r="P18" s="1"/>
      <x:c r="Q18" s="1"/>
      <x:c r="R18" s="1"/>
      <x:c r="S18" s="1"/>
      <x:c r="T18" s="1"/>
    </x:row>
    <x:row r="19" ht="18" customHeight="1">
      <x:c r="A19" s="1"/>
      <x:c r="B19" s="19" t="n">
        <x:v>12</x:v>
      </x:c>
      <x:c r="C19" s="56"/>
      <x:c r="D19" s="27"/>
      <x:c r="E19" s="27"/>
      <x:c r="F19" s="27"/>
      <x:c r="G19" s="27"/>
      <x:c r="H19" s="27"/>
      <x:c r="I19" s="1"/>
      <x:c r="J19" s="1"/>
      <x:c r="K19" s="1"/>
      <x:c r="L19" s="1"/>
      <x:c r="M19" s="1"/>
      <x:c r="N19" s="1"/>
      <x:c r="O19" s="1"/>
      <x:c r="P19" s="1"/>
      <x:c r="Q19" s="1"/>
      <x:c r="R19" s="1"/>
      <x:c r="S19" s="1"/>
      <x:c r="T19" s="1"/>
    </x:row>
    <x:row r="20" ht="18" customHeight="1">
      <x:c r="A20" s="1"/>
      <x:c r="B20" s="19" t="n">
        <x:v>13</x:v>
      </x:c>
      <x:c r="C20" s="56"/>
      <x:c r="D20" s="27"/>
      <x:c r="E20" s="27"/>
      <x:c r="F20" s="27"/>
      <x:c r="G20" s="27"/>
      <x:c r="H20" s="27"/>
      <x:c r="I20" s="1"/>
      <x:c r="J20" s="1"/>
      <x:c r="K20" s="1"/>
      <x:c r="L20" s="1"/>
      <x:c r="M20" s="1"/>
      <x:c r="N20" s="1"/>
      <x:c r="O20" s="1"/>
      <x:c r="P20" s="1"/>
      <x:c r="Q20" s="1"/>
      <x:c r="R20" s="1"/>
      <x:c r="S20" s="1"/>
      <x:c r="T20" s="1"/>
    </x:row>
    <x:row r="21" ht="18" customHeight="1">
      <x:c r="A21" s="1"/>
      <x:c r="B21" s="19" t="n">
        <x:v>14</x:v>
      </x:c>
      <x:c r="C21" s="56"/>
      <x:c r="D21" s="27"/>
      <x:c r="E21" s="27"/>
      <x:c r="F21" s="27"/>
      <x:c r="G21" s="27"/>
      <x:c r="H21" s="27"/>
      <x:c r="I21" s="1"/>
      <x:c r="J21" s="1"/>
      <x:c r="K21" s="1"/>
      <x:c r="L21" s="1"/>
      <x:c r="M21" s="1"/>
      <x:c r="N21" s="1"/>
      <x:c r="O21" s="1"/>
      <x:c r="P21" s="1"/>
      <x:c r="Q21" s="1"/>
      <x:c r="R21" s="1"/>
      <x:c r="S21" s="1"/>
      <x:c r="T21" s="1"/>
    </x:row>
    <x:row r="22" ht="18" customHeight="1">
      <x:c r="A22" s="1"/>
      <x:c r="B22" s="19" t="n">
        <x:v>15</x:v>
      </x:c>
      <x:c r="C22" s="56"/>
      <x:c r="D22" s="27"/>
      <x:c r="E22" s="27"/>
      <x:c r="F22" s="27"/>
      <x:c r="G22" s="27"/>
      <x:c r="H22" s="27"/>
      <x:c r="I22" s="1"/>
      <x:c r="J22" s="1"/>
      <x:c r="K22" s="1"/>
      <x:c r="L22" s="1"/>
      <x:c r="M22" s="1"/>
      <x:c r="N22" s="1"/>
      <x:c r="O22" s="1"/>
      <x:c r="P22" s="1"/>
      <x:c r="Q22" s="1"/>
      <x:c r="R22" s="1"/>
      <x:c r="S22" s="1"/>
      <x:c r="T22" s="1"/>
    </x:row>
    <x:row r="23" ht="18" customHeight="1">
      <x:c r="A23" s="1"/>
      <x:c r="B23" s="19" t="n">
        <x:v>16</x:v>
      </x:c>
      <x:c r="C23" s="56"/>
      <x:c r="D23" s="27"/>
      <x:c r="E23" s="27"/>
      <x:c r="F23" s="27"/>
      <x:c r="G23" s="27"/>
      <x:c r="H23" s="27"/>
      <x:c r="I23" s="1"/>
      <x:c r="J23" s="1"/>
      <x:c r="K23" s="1"/>
      <x:c r="L23" s="1"/>
      <x:c r="M23" s="1"/>
      <x:c r="N23" s="1"/>
      <x:c r="O23" s="1"/>
      <x:c r="P23" s="1"/>
      <x:c r="Q23" s="1"/>
      <x:c r="R23" s="1"/>
      <x:c r="S23" s="1"/>
      <x:c r="T23" s="1"/>
    </x:row>
    <x:row r="24" ht="18" customHeight="1">
      <x:c r="A24" s="1"/>
      <x:c r="B24" s="19" t="n">
        <x:v>17</x:v>
      </x:c>
      <x:c r="C24" s="56"/>
      <x:c r="D24" s="27"/>
      <x:c r="E24" s="27"/>
      <x:c r="F24" s="27"/>
      <x:c r="G24" s="27"/>
      <x:c r="H24" s="27"/>
      <x:c r="I24" s="1"/>
      <x:c r="J24" s="1"/>
      <x:c r="K24" s="1"/>
      <x:c r="L24" s="1"/>
      <x:c r="M24" s="1"/>
      <x:c r="N24" s="1"/>
      <x:c r="O24" s="1"/>
      <x:c r="P24" s="1"/>
      <x:c r="Q24" s="1"/>
      <x:c r="R24" s="1"/>
      <x:c r="S24" s="1"/>
      <x:c r="T24" s="1"/>
    </x:row>
    <x:row r="25" ht="18" customHeight="1">
      <x:c r="A25" s="1"/>
      <x:c r="B25" s="19" t="n">
        <x:v>18</x:v>
      </x:c>
      <x:c r="C25" s="56"/>
      <x:c r="D25" s="27"/>
      <x:c r="E25" s="27"/>
      <x:c r="F25" s="27"/>
      <x:c r="G25" s="27"/>
      <x:c r="H25" s="27"/>
      <x:c r="I25" s="1"/>
      <x:c r="J25" s="1"/>
      <x:c r="K25" s="1"/>
      <x:c r="L25" s="1"/>
      <x:c r="M25" s="1"/>
      <x:c r="N25" s="1"/>
      <x:c r="O25" s="1"/>
      <x:c r="P25" s="1"/>
      <x:c r="Q25" s="1"/>
      <x:c r="R25" s="1"/>
      <x:c r="S25" s="1"/>
      <x:c r="T25" s="1"/>
    </x:row>
    <x:row r="26" ht="18" customHeight="1">
      <x:c r="A26" s="1"/>
      <x:c r="B26" s="19" t="n">
        <x:v>19</x:v>
      </x:c>
      <x:c r="C26" s="56"/>
      <x:c r="D26" s="27"/>
      <x:c r="E26" s="27"/>
      <x:c r="F26" s="27"/>
      <x:c r="G26" s="27"/>
      <x:c r="H26" s="27"/>
      <x:c r="I26" s="1"/>
      <x:c r="J26" s="1"/>
      <x:c r="K26" s="1"/>
      <x:c r="L26" s="1"/>
      <x:c r="M26" s="1"/>
      <x:c r="N26" s="1"/>
      <x:c r="O26" s="1"/>
      <x:c r="P26" s="1"/>
      <x:c r="Q26" s="1"/>
      <x:c r="R26" s="1"/>
      <x:c r="S26" s="1"/>
      <x:c r="T26" s="1"/>
    </x:row>
    <x:row r="27" ht="18" customHeight="1">
      <x:c r="A27" s="1"/>
      <x:c r="B27" s="19" t="n">
        <x:v>20</x:v>
      </x:c>
      <x:c r="C27" s="56"/>
      <x:c r="D27" s="27"/>
      <x:c r="E27" s="27"/>
      <x:c r="F27" s="27"/>
      <x:c r="G27" s="27"/>
      <x:c r="H27" s="27"/>
      <x:c r="I27" s="1"/>
      <x:c r="J27" s="1"/>
      <x:c r="K27" s="1"/>
      <x:c r="L27" s="1"/>
      <x:c r="M27" s="1"/>
      <x:c r="N27" s="1"/>
      <x:c r="O27" s="1"/>
      <x:c r="P27" s="1"/>
      <x:c r="Q27" s="1"/>
      <x:c r="R27" s="1"/>
      <x:c r="S27" s="1"/>
      <x:c r="T27" s="1"/>
    </x:row>
    <x:row r="28" ht="18" customHeight="1">
      <x:c r="A28" s="1"/>
      <x:c r="B28" s="19" t="n">
        <x:v>21</x:v>
      </x:c>
      <x:c r="C28" s="56"/>
      <x:c r="D28" s="27"/>
      <x:c r="E28" s="27"/>
      <x:c r="F28" s="27"/>
      <x:c r="G28" s="27"/>
      <x:c r="H28" s="27"/>
      <x:c r="I28" s="1"/>
      <x:c r="J28" s="1"/>
      <x:c r="K28" s="1"/>
      <x:c r="L28" s="1"/>
      <x:c r="M28" s="1"/>
      <x:c r="N28" s="1"/>
      <x:c r="O28" s="1"/>
      <x:c r="P28" s="1"/>
      <x:c r="Q28" s="1"/>
      <x:c r="R28" s="1"/>
      <x:c r="S28" s="1"/>
      <x:c r="T28" s="1"/>
    </x:row>
    <x:row r="29" ht="18" customHeight="1">
      <x:c r="A29" s="1"/>
      <x:c r="B29" s="19" t="n">
        <x:v>22</x:v>
      </x:c>
      <x:c r="C29" s="56"/>
      <x:c r="D29" s="27"/>
      <x:c r="E29" s="27"/>
      <x:c r="F29" s="27"/>
      <x:c r="G29" s="27"/>
      <x:c r="H29" s="27"/>
      <x:c r="I29" s="1"/>
      <x:c r="J29" s="1"/>
      <x:c r="K29" s="1"/>
      <x:c r="L29" s="1"/>
      <x:c r="M29" s="1"/>
      <x:c r="N29" s="1"/>
      <x:c r="O29" s="1"/>
      <x:c r="P29" s="1"/>
      <x:c r="Q29" s="1"/>
      <x:c r="R29" s="1"/>
      <x:c r="S29" s="1"/>
      <x:c r="T29" s="1"/>
    </x:row>
    <x:row r="30" ht="18" customHeight="1">
      <x:c r="A30" s="1"/>
      <x:c r="B30" s="19" t="n">
        <x:v>23</x:v>
      </x:c>
      <x:c r="C30" s="56"/>
      <x:c r="D30" s="27"/>
      <x:c r="E30" s="27"/>
      <x:c r="F30" s="27"/>
      <x:c r="G30" s="27"/>
      <x:c r="H30" s="27"/>
      <x:c r="I30" s="1"/>
      <x:c r="J30" s="1"/>
      <x:c r="K30" s="1"/>
      <x:c r="L30" s="1"/>
      <x:c r="M30" s="1"/>
      <x:c r="N30" s="1"/>
      <x:c r="O30" s="1"/>
      <x:c r="P30" s="1"/>
      <x:c r="Q30" s="1"/>
      <x:c r="R30" s="1"/>
      <x:c r="S30" s="1"/>
      <x:c r="T30" s="1"/>
    </x:row>
    <x:row r="31" ht="18" customHeight="1">
      <x:c r="A31" s="1"/>
      <x:c r="B31" s="19" t="n">
        <x:v>24</x:v>
      </x:c>
      <x:c r="C31" s="56"/>
      <x:c r="D31" s="27"/>
      <x:c r="E31" s="27"/>
      <x:c r="F31" s="27"/>
      <x:c r="G31" s="27"/>
      <x:c r="H31" s="27"/>
      <x:c r="I31" s="1"/>
      <x:c r="J31" s="1"/>
      <x:c r="K31" s="1"/>
      <x:c r="L31" s="1"/>
      <x:c r="M31" s="1"/>
      <x:c r="N31" s="1"/>
      <x:c r="O31" s="1"/>
      <x:c r="P31" s="1"/>
      <x:c r="Q31" s="1"/>
      <x:c r="R31" s="1"/>
      <x:c r="S31" s="1"/>
      <x:c r="T31" s="1"/>
    </x:row>
    <x:row r="32" ht="18" customHeight="1">
      <x:c r="A32" s="1"/>
      <x:c r="B32" s="19" t="n">
        <x:v>25</x:v>
      </x:c>
      <x:c r="C32" s="56"/>
      <x:c r="D32" s="27"/>
      <x:c r="E32" s="27"/>
      <x:c r="F32" s="27"/>
      <x:c r="G32" s="27"/>
      <x:c r="H32" s="27"/>
      <x:c r="I32" s="1"/>
      <x:c r="J32" s="1"/>
      <x:c r="K32" s="1"/>
      <x:c r="L32" s="1"/>
      <x:c r="M32" s="1"/>
      <x:c r="N32" s="1"/>
      <x:c r="O32" s="1"/>
      <x:c r="P32" s="1"/>
      <x:c r="Q32" s="1"/>
      <x:c r="R32" s="1"/>
      <x:c r="S32" s="1"/>
      <x:c r="T32" s="1"/>
    </x:row>
    <x:row r="33" ht="18" customHeight="1">
      <x:c r="A33" s="1"/>
      <x:c r="B33" s="19" t="n">
        <x:v>26</x:v>
      </x:c>
      <x:c r="C33" s="56"/>
      <x:c r="D33" s="27"/>
      <x:c r="E33" s="27"/>
      <x:c r="F33" s="27"/>
      <x:c r="G33" s="27"/>
      <x:c r="H33" s="27"/>
      <x:c r="I33" s="1"/>
      <x:c r="J33" s="1"/>
      <x:c r="K33" s="1"/>
      <x:c r="L33" s="1"/>
      <x:c r="M33" s="1"/>
      <x:c r="N33" s="1"/>
      <x:c r="O33" s="1"/>
      <x:c r="P33" s="1"/>
      <x:c r="Q33" s="1"/>
      <x:c r="R33" s="1"/>
      <x:c r="S33" s="1"/>
      <x:c r="T33" s="1"/>
    </x:row>
    <x:row r="34" ht="18" customHeight="1">
      <x:c r="A34" s="1"/>
      <x:c r="B34" s="19" t="n">
        <x:v>27</x:v>
      </x:c>
      <x:c r="C34" s="56"/>
      <x:c r="D34" s="27"/>
      <x:c r="E34" s="27"/>
      <x:c r="F34" s="27"/>
      <x:c r="G34" s="27"/>
      <x:c r="H34" s="27"/>
      <x:c r="I34" s="1"/>
      <x:c r="J34" s="1"/>
      <x:c r="K34" s="1"/>
      <x:c r="L34" s="1"/>
      <x:c r="M34" s="1"/>
      <x:c r="N34" s="1"/>
      <x:c r="O34" s="1"/>
      <x:c r="P34" s="1"/>
      <x:c r="Q34" s="1"/>
      <x:c r="R34" s="1"/>
      <x:c r="S34" s="1"/>
      <x:c r="T34" s="1"/>
    </x:row>
    <x:row r="35" ht="18" customHeight="1">
      <x:c r="A35" s="1"/>
      <x:c r="B35" s="19" t="n">
        <x:v>28</x:v>
      </x:c>
      <x:c r="C35" s="56"/>
      <x:c r="D35" s="27"/>
      <x:c r="E35" s="27"/>
      <x:c r="F35" s="27"/>
      <x:c r="G35" s="27"/>
      <x:c r="H35" s="27"/>
      <x:c r="I35" s="1"/>
      <x:c r="J35" s="1"/>
      <x:c r="K35" s="1"/>
      <x:c r="L35" s="1"/>
      <x:c r="M35" s="1"/>
      <x:c r="N35" s="1"/>
      <x:c r="O35" s="1"/>
      <x:c r="P35" s="1"/>
      <x:c r="Q35" s="1"/>
      <x:c r="R35" s="1"/>
      <x:c r="S35" s="1"/>
      <x:c r="T35" s="1"/>
    </x:row>
    <x:row r="36" ht="18" customHeight="1">
      <x:c r="A36" s="1"/>
      <x:c r="B36" s="19" t="n">
        <x:v>29</x:v>
      </x:c>
      <x:c r="C36" s="56"/>
      <x:c r="D36" s="27"/>
      <x:c r="E36" s="27"/>
      <x:c r="F36" s="27"/>
      <x:c r="G36" s="27"/>
      <x:c r="H36" s="27"/>
      <x:c r="I36" s="1"/>
      <x:c r="J36" s="1"/>
      <x:c r="K36" s="1"/>
      <x:c r="L36" s="1"/>
      <x:c r="M36" s="1"/>
      <x:c r="N36" s="1"/>
      <x:c r="O36" s="1"/>
      <x:c r="P36" s="1"/>
      <x:c r="Q36" s="1"/>
      <x:c r="R36" s="1"/>
      <x:c r="S36" s="1"/>
      <x:c r="T36" s="1"/>
    </x:row>
    <x:row r="37" ht="18" customHeight="1">
      <x:c r="A37" s="1"/>
      <x:c r="B37" s="19" t="n">
        <x:v>30</x:v>
      </x:c>
      <x:c r="C37" s="56"/>
      <x:c r="D37" s="27"/>
      <x:c r="E37" s="27"/>
      <x:c r="F37" s="27"/>
      <x:c r="G37" s="27"/>
      <x:c r="H37" s="27"/>
      <x:c r="I37" s="1"/>
      <x:c r="J37" s="1"/>
      <x:c r="K37" s="1"/>
      <x:c r="L37" s="1"/>
      <x:c r="M37" s="1"/>
      <x:c r="N37" s="1"/>
      <x:c r="O37" s="1"/>
      <x:c r="P37" s="1"/>
      <x:c r="Q37" s="1"/>
      <x:c r="R37" s="1"/>
      <x:c r="S37" s="1"/>
      <x:c r="T37" s="1"/>
    </x:row>
    <x:row r="38" ht="18" customHeight="1">
      <x:c r="A38" s="1"/>
      <x:c r="B38" s="19" t="n">
        <x:v>31</x:v>
      </x:c>
      <x:c r="C38" s="56"/>
      <x:c r="D38" s="27"/>
      <x:c r="E38" s="27"/>
      <x:c r="F38" s="27"/>
      <x:c r="G38" s="27"/>
      <x:c r="H38" s="27"/>
      <x:c r="I38" s="1"/>
      <x:c r="J38" s="1"/>
      <x:c r="K38" s="1"/>
      <x:c r="L38" s="1"/>
      <x:c r="M38" s="1"/>
      <x:c r="N38" s="1"/>
      <x:c r="O38" s="1"/>
      <x:c r="P38" s="1"/>
      <x:c r="Q38" s="1"/>
      <x:c r="R38" s="1"/>
      <x:c r="S38" s="1"/>
      <x:c r="T38" s="1"/>
    </x:row>
    <x:row r="39" ht="18" customHeight="1">
      <x:c r="A39" s="1"/>
      <x:c r="B39" s="19" t="n">
        <x:v>32</x:v>
      </x:c>
      <x:c r="C39" s="56"/>
      <x:c r="D39" s="27"/>
      <x:c r="E39" s="27"/>
      <x:c r="F39" s="27"/>
      <x:c r="G39" s="27"/>
      <x:c r="H39" s="27"/>
      <x:c r="I39" s="1"/>
      <x:c r="J39" s="1"/>
      <x:c r="K39" s="1"/>
      <x:c r="L39" s="1"/>
      <x:c r="M39" s="1"/>
      <x:c r="N39" s="1"/>
      <x:c r="O39" s="1"/>
      <x:c r="P39" s="1"/>
      <x:c r="Q39" s="1"/>
      <x:c r="R39" s="1"/>
      <x:c r="S39" s="1"/>
      <x:c r="T39" s="1"/>
    </x:row>
    <x:row r="40" ht="18" customHeight="1">
      <x:c r="A40" s="1"/>
      <x:c r="B40" s="19" t="n">
        <x:v>33</x:v>
      </x:c>
      <x:c r="C40" s="56"/>
      <x:c r="D40" s="27"/>
      <x:c r="E40" s="27"/>
      <x:c r="F40" s="27"/>
      <x:c r="G40" s="27"/>
      <x:c r="H40" s="27"/>
      <x:c r="I40" s="1"/>
      <x:c r="J40" s="1"/>
      <x:c r="K40" s="1"/>
      <x:c r="L40" s="1"/>
      <x:c r="M40" s="1"/>
      <x:c r="N40" s="1"/>
      <x:c r="O40" s="1"/>
      <x:c r="P40" s="1"/>
      <x:c r="Q40" s="1"/>
      <x:c r="R40" s="1"/>
      <x:c r="S40" s="1"/>
      <x:c r="T40" s="1"/>
    </x:row>
    <x:row r="41" ht="18" customHeight="1">
      <x:c r="A41" s="1"/>
      <x:c r="B41" s="19" t="n">
        <x:v>34</x:v>
      </x:c>
      <x:c r="C41" s="56"/>
      <x:c r="D41" s="27"/>
      <x:c r="E41" s="27"/>
      <x:c r="F41" s="27"/>
      <x:c r="G41" s="27"/>
      <x:c r="H41" s="27"/>
      <x:c r="I41" s="1"/>
      <x:c r="J41" s="1"/>
      <x:c r="K41" s="1"/>
      <x:c r="L41" s="1"/>
      <x:c r="M41" s="1"/>
      <x:c r="N41" s="1"/>
      <x:c r="O41" s="1"/>
      <x:c r="P41" s="1"/>
      <x:c r="Q41" s="1"/>
      <x:c r="R41" s="1"/>
      <x:c r="S41" s="1"/>
      <x:c r="T41" s="1"/>
    </x:row>
    <x:row r="42" ht="18" customHeight="1">
      <x:c r="A42" s="1"/>
      <x:c r="B42" s="19" t="n">
        <x:v>35</x:v>
      </x:c>
      <x:c r="C42" s="56"/>
      <x:c r="D42" s="27"/>
      <x:c r="E42" s="27"/>
      <x:c r="F42" s="27"/>
      <x:c r="G42" s="27"/>
      <x:c r="H42" s="27"/>
      <x:c r="I42" s="1"/>
      <x:c r="J42" s="1"/>
      <x:c r="K42" s="1"/>
      <x:c r="L42" s="1"/>
      <x:c r="M42" s="1"/>
      <x:c r="N42" s="1"/>
      <x:c r="O42" s="1"/>
      <x:c r="P42" s="1"/>
      <x:c r="Q42" s="1"/>
      <x:c r="R42" s="1"/>
      <x:c r="S42" s="1"/>
      <x:c r="T42" s="1"/>
    </x:row>
    <x:row r="43" ht="18" customHeight="1">
      <x:c r="A43" s="1"/>
      <x:c r="B43" s="19" t="n">
        <x:v>36</x:v>
      </x:c>
      <x:c r="C43" s="56"/>
      <x:c r="D43" s="27"/>
      <x:c r="E43" s="27"/>
      <x:c r="F43" s="27"/>
      <x:c r="G43" s="27"/>
      <x:c r="H43" s="27"/>
      <x:c r="I43" s="1"/>
      <x:c r="J43" s="1"/>
      <x:c r="K43" s="1"/>
      <x:c r="L43" s="1"/>
      <x:c r="M43" s="1"/>
      <x:c r="N43" s="1"/>
      <x:c r="O43" s="1"/>
      <x:c r="P43" s="1"/>
      <x:c r="Q43" s="1"/>
      <x:c r="R43" s="1"/>
      <x:c r="S43" s="1"/>
      <x:c r="T43" s="1"/>
    </x:row>
    <x:row r="44" ht="18" customHeight="1">
      <x:c r="A44" s="1"/>
      <x:c r="B44" s="19" t="n">
        <x:v>37</x:v>
      </x:c>
      <x:c r="C44" s="56"/>
      <x:c r="D44" s="27"/>
      <x:c r="E44" s="27"/>
      <x:c r="F44" s="27"/>
      <x:c r="G44" s="27"/>
      <x:c r="H44" s="27"/>
      <x:c r="I44" s="1"/>
      <x:c r="J44" s="1"/>
      <x:c r="K44" s="1"/>
      <x:c r="L44" s="1"/>
      <x:c r="M44" s="1"/>
      <x:c r="N44" s="1"/>
      <x:c r="O44" s="1"/>
      <x:c r="P44" s="1"/>
      <x:c r="Q44" s="1"/>
      <x:c r="R44" s="1"/>
      <x:c r="S44" s="1"/>
      <x:c r="T44" s="1"/>
    </x:row>
    <x:row r="45" ht="18" customHeight="1">
      <x:c r="A45" s="1"/>
      <x:c r="B45" s="19" t="n">
        <x:v>38</x:v>
      </x:c>
      <x:c r="C45" s="56"/>
      <x:c r="D45" s="27"/>
      <x:c r="E45" s="27"/>
      <x:c r="F45" s="27"/>
      <x:c r="G45" s="27"/>
      <x:c r="H45" s="27"/>
      <x:c r="I45" s="1"/>
      <x:c r="J45" s="1"/>
      <x:c r="K45" s="1"/>
      <x:c r="L45" s="1"/>
      <x:c r="M45" s="1"/>
      <x:c r="N45" s="1"/>
      <x:c r="O45" s="1"/>
      <x:c r="P45" s="1"/>
      <x:c r="Q45" s="1"/>
      <x:c r="R45" s="1"/>
      <x:c r="S45" s="1"/>
      <x:c r="T45" s="1"/>
    </x:row>
    <x:row r="46" ht="18" customHeight="1">
      <x:c r="A46" s="1"/>
      <x:c r="B46" s="19" t="n">
        <x:v>39</x:v>
      </x:c>
      <x:c r="C46" s="56"/>
      <x:c r="D46" s="27"/>
      <x:c r="E46" s="27"/>
      <x:c r="F46" s="27"/>
      <x:c r="G46" s="27"/>
      <x:c r="H46" s="27"/>
      <x:c r="I46" s="1"/>
      <x:c r="J46" s="1"/>
      <x:c r="K46" s="1"/>
      <x:c r="L46" s="1"/>
      <x:c r="M46" s="1"/>
      <x:c r="N46" s="1"/>
      <x:c r="O46" s="1"/>
      <x:c r="P46" s="1"/>
      <x:c r="Q46" s="1"/>
      <x:c r="R46" s="1"/>
      <x:c r="S46" s="1"/>
      <x:c r="T46" s="1"/>
    </x:row>
    <x:row r="47" ht="18" customHeight="1">
      <x:c r="A47" s="1"/>
      <x:c r="B47" s="19" t="n">
        <x:v>40</x:v>
      </x:c>
      <x:c r="C47" s="56"/>
      <x:c r="D47" s="27"/>
      <x:c r="E47" s="27"/>
      <x:c r="F47" s="27"/>
      <x:c r="G47" s="27"/>
      <x:c r="H47" s="27"/>
      <x:c r="I47" s="1"/>
      <x:c r="J47" s="1"/>
      <x:c r="K47" s="1"/>
      <x:c r="L47" s="1"/>
      <x:c r="M47" s="1"/>
      <x:c r="N47" s="1"/>
      <x:c r="O47" s="1"/>
      <x:c r="P47" s="1"/>
      <x:c r="Q47" s="1"/>
      <x:c r="R47" s="1"/>
      <x:c r="S47" s="1"/>
      <x:c r="T47" s="1"/>
    </x:row>
    <x:row r="48" ht="18" customHeight="1">
      <x:c r="A48" s="1"/>
      <x:c r="B48" s="19" t="n">
        <x:v>41</x:v>
      </x:c>
      <x:c r="C48" s="56"/>
      <x:c r="D48" s="27"/>
      <x:c r="E48" s="27"/>
      <x:c r="F48" s="27"/>
      <x:c r="G48" s="27"/>
      <x:c r="H48" s="27"/>
      <x:c r="I48" s="1"/>
      <x:c r="J48" s="1"/>
      <x:c r="K48" s="1"/>
      <x:c r="L48" s="1"/>
      <x:c r="M48" s="1"/>
      <x:c r="N48" s="1"/>
      <x:c r="O48" s="1"/>
      <x:c r="P48" s="1"/>
      <x:c r="Q48" s="1"/>
      <x:c r="R48" s="1"/>
      <x:c r="S48" s="1"/>
      <x:c r="T48" s="1"/>
    </x:row>
    <x:row r="49" ht="18" customHeight="1">
      <x:c r="A49" s="1"/>
      <x:c r="B49" s="19" t="n">
        <x:v>42</x:v>
      </x:c>
      <x:c r="C49" s="56"/>
      <x:c r="D49" s="27"/>
      <x:c r="E49" s="27"/>
      <x:c r="F49" s="27"/>
      <x:c r="G49" s="27"/>
      <x:c r="H49" s="27"/>
      <x:c r="I49" s="1"/>
      <x:c r="J49" s="1"/>
      <x:c r="K49" s="1"/>
      <x:c r="L49" s="1"/>
      <x:c r="M49" s="1"/>
      <x:c r="N49" s="1"/>
      <x:c r="O49" s="1"/>
      <x:c r="P49" s="1"/>
      <x:c r="Q49" s="1"/>
      <x:c r="R49" s="1"/>
      <x:c r="S49" s="1"/>
      <x:c r="T49" s="1"/>
    </x:row>
    <x:row r="50" ht="18" customHeight="1">
      <x:c r="A50" s="1"/>
      <x:c r="B50" s="19" t="n">
        <x:v>43</x:v>
      </x:c>
      <x:c r="C50" s="56"/>
      <x:c r="D50" s="27"/>
      <x:c r="E50" s="27"/>
      <x:c r="F50" s="27"/>
      <x:c r="G50" s="27"/>
      <x:c r="H50" s="27"/>
      <x:c r="I50" s="1"/>
      <x:c r="J50" s="1"/>
      <x:c r="K50" s="1"/>
      <x:c r="L50" s="1"/>
      <x:c r="M50" s="1"/>
      <x:c r="N50" s="1"/>
      <x:c r="O50" s="1"/>
      <x:c r="P50" s="1"/>
      <x:c r="Q50" s="1"/>
      <x:c r="R50" s="1"/>
      <x:c r="S50" s="1"/>
      <x:c r="T50" s="1"/>
    </x:row>
    <x:row r="51" ht="18" customHeight="1">
      <x:c r="A51" s="1"/>
      <x:c r="B51" s="19" t="n">
        <x:v>44</x:v>
      </x:c>
      <x:c r="C51" s="56"/>
      <x:c r="D51" s="27"/>
      <x:c r="E51" s="27"/>
      <x:c r="F51" s="27"/>
      <x:c r="G51" s="27"/>
      <x:c r="H51" s="27"/>
      <x:c r="I51" s="1"/>
      <x:c r="J51" s="1"/>
      <x:c r="K51" s="1"/>
      <x:c r="L51" s="1"/>
      <x:c r="M51" s="1"/>
      <x:c r="N51" s="1"/>
      <x:c r="O51" s="1"/>
      <x:c r="P51" s="1"/>
      <x:c r="Q51" s="1"/>
      <x:c r="R51" s="1"/>
      <x:c r="S51" s="1"/>
      <x:c r="T51" s="1"/>
    </x:row>
    <x:row r="52" ht="18" customHeight="1">
      <x:c r="A52" s="1"/>
      <x:c r="B52" s="19" t="n">
        <x:v>45</x:v>
      </x:c>
      <x:c r="C52" s="56"/>
      <x:c r="D52" s="27"/>
      <x:c r="E52" s="27"/>
      <x:c r="F52" s="27"/>
      <x:c r="G52" s="27"/>
      <x:c r="H52" s="27"/>
      <x:c r="I52" s="1"/>
      <x:c r="J52" s="1"/>
      <x:c r="K52" s="1"/>
      <x:c r="L52" s="1"/>
      <x:c r="M52" s="1"/>
      <x:c r="N52" s="1"/>
      <x:c r="O52" s="1"/>
      <x:c r="P52" s="1"/>
      <x:c r="Q52" s="1"/>
      <x:c r="R52" s="1"/>
      <x:c r="S52" s="1"/>
      <x:c r="T52" s="1"/>
    </x:row>
    <x:row r="53" ht="18" customHeight="1">
      <x:c r="A53" s="1"/>
      <x:c r="B53" s="19" t="n">
        <x:v>46</x:v>
      </x:c>
      <x:c r="C53" s="56"/>
      <x:c r="D53" s="27"/>
      <x:c r="E53" s="27"/>
      <x:c r="F53" s="27"/>
      <x:c r="G53" s="27"/>
      <x:c r="H53" s="27"/>
      <x:c r="I53" s="1"/>
      <x:c r="J53" s="1"/>
      <x:c r="K53" s="1"/>
      <x:c r="L53" s="1"/>
      <x:c r="M53" s="1"/>
      <x:c r="N53" s="1"/>
      <x:c r="O53" s="1"/>
      <x:c r="P53" s="1"/>
      <x:c r="Q53" s="1"/>
      <x:c r="R53" s="1"/>
      <x:c r="S53" s="1"/>
      <x:c r="T53" s="1"/>
    </x:row>
    <x:row r="54" ht="18" customHeight="1">
      <x:c r="A54" s="1"/>
      <x:c r="B54" s="19" t="n">
        <x:v>47</x:v>
      </x:c>
      <x:c r="C54" s="56"/>
      <x:c r="D54" s="27"/>
      <x:c r="E54" s="27"/>
      <x:c r="F54" s="27"/>
      <x:c r="G54" s="27"/>
      <x:c r="H54" s="27"/>
      <x:c r="I54" s="1"/>
      <x:c r="J54" s="1"/>
      <x:c r="K54" s="1"/>
      <x:c r="L54" s="1"/>
      <x:c r="M54" s="1"/>
      <x:c r="N54" s="1"/>
      <x:c r="O54" s="1"/>
      <x:c r="P54" s="1"/>
      <x:c r="Q54" s="1"/>
      <x:c r="R54" s="1"/>
      <x:c r="S54" s="1"/>
      <x:c r="T54" s="1"/>
    </x:row>
    <x:row r="55" ht="18" customHeight="1">
      <x:c r="A55" s="1"/>
      <x:c r="B55" s="19" t="n">
        <x:v>48</x:v>
      </x:c>
      <x:c r="C55" s="56"/>
      <x:c r="D55" s="27"/>
      <x:c r="E55" s="27"/>
      <x:c r="F55" s="27"/>
      <x:c r="G55" s="27"/>
      <x:c r="H55" s="27"/>
      <x:c r="I55" s="1"/>
      <x:c r="J55" s="1"/>
      <x:c r="K55" s="1"/>
      <x:c r="L55" s="1"/>
      <x:c r="M55" s="1"/>
      <x:c r="N55" s="1"/>
      <x:c r="O55" s="1"/>
      <x:c r="P55" s="1"/>
      <x:c r="Q55" s="1"/>
      <x:c r="R55" s="1"/>
      <x:c r="S55" s="1"/>
      <x:c r="T55" s="1"/>
    </x:row>
    <x:row r="56" ht="18" customHeight="1">
      <x:c r="A56" s="1"/>
      <x:c r="B56" s="19" t="n">
        <x:v>49</x:v>
      </x:c>
      <x:c r="C56" s="56"/>
      <x:c r="D56" s="27"/>
      <x:c r="E56" s="27"/>
      <x:c r="F56" s="27"/>
      <x:c r="G56" s="27"/>
      <x:c r="H56" s="27"/>
      <x:c r="I56" s="1"/>
      <x:c r="J56" s="1"/>
      <x:c r="K56" s="1"/>
      <x:c r="L56" s="1"/>
      <x:c r="M56" s="1"/>
      <x:c r="N56" s="1"/>
      <x:c r="O56" s="1"/>
      <x:c r="P56" s="1"/>
      <x:c r="Q56" s="1"/>
      <x:c r="R56" s="1"/>
      <x:c r="S56" s="1"/>
      <x:c r="T56" s="1"/>
    </x:row>
    <x:row r="57" ht="18" customHeight="1">
      <x:c r="A57" s="1"/>
      <x:c r="B57" s="19" t="n">
        <x:v>50</x:v>
      </x:c>
      <x:c r="C57" s="56"/>
      <x:c r="D57" s="27"/>
      <x:c r="E57" s="27"/>
      <x:c r="F57" s="27"/>
      <x:c r="G57" s="27"/>
      <x:c r="H57" s="27"/>
      <x:c r="I57" s="1"/>
      <x:c r="J57" s="1"/>
      <x:c r="K57" s="1"/>
      <x:c r="L57" s="1"/>
      <x:c r="M57" s="1"/>
      <x:c r="N57" s="1"/>
      <x:c r="O57" s="1"/>
      <x:c r="P57" s="1"/>
      <x:c r="Q57" s="1"/>
      <x:c r="R57" s="1"/>
      <x:c r="S57" s="1"/>
      <x:c r="T57" s="1"/>
    </x:row>
    <x:row r="58" ht="18" customHeight="1">
      <x:c r="A58" s="1"/>
      <x:c r="B58" s="19" t="n">
        <x:v>51</x:v>
      </x:c>
      <x:c r="C58" s="56"/>
      <x:c r="D58" s="27"/>
      <x:c r="E58" s="27"/>
      <x:c r="F58" s="27"/>
      <x:c r="G58" s="27"/>
      <x:c r="H58" s="27"/>
      <x:c r="I58" s="1"/>
      <x:c r="J58" s="1"/>
      <x:c r="K58" s="1"/>
      <x:c r="L58" s="1"/>
      <x:c r="M58" s="1"/>
      <x:c r="N58" s="1"/>
      <x:c r="O58" s="1"/>
      <x:c r="P58" s="1"/>
      <x:c r="Q58" s="1"/>
      <x:c r="R58" s="1"/>
      <x:c r="S58" s="1"/>
      <x:c r="T58" s="1"/>
    </x:row>
    <x:row r="59" ht="18" customHeight="1">
      <x:c r="A59" s="1"/>
      <x:c r="B59" s="19" t="n">
        <x:v>52</x:v>
      </x:c>
      <x:c r="C59" s="56"/>
      <x:c r="D59" s="27"/>
      <x:c r="E59" s="27"/>
      <x:c r="F59" s="27"/>
      <x:c r="G59" s="27"/>
      <x:c r="H59" s="27"/>
      <x:c r="I59" s="1"/>
      <x:c r="J59" s="1"/>
      <x:c r="K59" s="1"/>
      <x:c r="L59" s="1"/>
      <x:c r="M59" s="1"/>
      <x:c r="N59" s="1"/>
      <x:c r="O59" s="1"/>
      <x:c r="P59" s="1"/>
      <x:c r="Q59" s="1"/>
      <x:c r="R59" s="1"/>
      <x:c r="S59" s="1"/>
      <x:c r="T59" s="1"/>
    </x:row>
    <x:row r="60" ht="18" customHeight="1">
      <x:c r="A60" s="1"/>
      <x:c r="B60" s="19" t="n">
        <x:v>53</x:v>
      </x:c>
      <x:c r="C60" s="56"/>
      <x:c r="D60" s="27"/>
      <x:c r="E60" s="27"/>
      <x:c r="F60" s="27"/>
      <x:c r="G60" s="27"/>
      <x:c r="H60" s="27"/>
      <x:c r="I60" s="1"/>
      <x:c r="J60" s="1"/>
      <x:c r="K60" s="1"/>
      <x:c r="L60" s="1"/>
      <x:c r="M60" s="1"/>
      <x:c r="N60" s="1"/>
      <x:c r="O60" s="1"/>
      <x:c r="P60" s="1"/>
      <x:c r="Q60" s="1"/>
      <x:c r="R60" s="1"/>
      <x:c r="S60" s="1"/>
      <x:c r="T60" s="1"/>
    </x:row>
    <x:row r="61" ht="18" customHeight="1">
      <x:c r="A61" s="1"/>
      <x:c r="B61" s="19" t="n">
        <x:v>54</x:v>
      </x:c>
      <x:c r="C61" s="56"/>
      <x:c r="D61" s="27"/>
      <x:c r="E61" s="27"/>
      <x:c r="F61" s="27"/>
      <x:c r="G61" s="27"/>
      <x:c r="H61" s="27"/>
      <x:c r="I61" s="1"/>
      <x:c r="J61" s="1"/>
      <x:c r="K61" s="1"/>
      <x:c r="L61" s="1"/>
      <x:c r="M61" s="1"/>
      <x:c r="N61" s="1"/>
      <x:c r="O61" s="1"/>
      <x:c r="P61" s="1"/>
      <x:c r="Q61" s="1"/>
      <x:c r="R61" s="1"/>
      <x:c r="S61" s="1"/>
      <x:c r="T61" s="1"/>
    </x:row>
    <x:row r="62" ht="18" customHeight="1">
      <x:c r="A62" s="1"/>
      <x:c r="B62" s="19" t="n">
        <x:v>55</x:v>
      </x:c>
      <x:c r="C62" s="56"/>
      <x:c r="D62" s="27"/>
      <x:c r="E62" s="27"/>
      <x:c r="F62" s="27"/>
      <x:c r="G62" s="27"/>
      <x:c r="H62" s="27"/>
      <x:c r="I62" s="1"/>
      <x:c r="J62" s="1"/>
      <x:c r="K62" s="1"/>
      <x:c r="L62" s="1"/>
      <x:c r="M62" s="1"/>
      <x:c r="N62" s="1"/>
      <x:c r="O62" s="1"/>
      <x:c r="P62" s="1"/>
      <x:c r="Q62" s="1"/>
      <x:c r="R62" s="1"/>
      <x:c r="S62" s="1"/>
      <x:c r="T62" s="1"/>
    </x:row>
    <x:row r="63" ht="18" customHeight="1">
      <x:c r="A63" s="1"/>
      <x:c r="B63" s="19" t="n">
        <x:v>56</x:v>
      </x:c>
      <x:c r="C63" s="56"/>
      <x:c r="D63" s="27"/>
      <x:c r="E63" s="27"/>
      <x:c r="F63" s="27"/>
      <x:c r="G63" s="27"/>
      <x:c r="H63" s="27"/>
      <x:c r="I63" s="1"/>
      <x:c r="J63" s="1"/>
      <x:c r="K63" s="1"/>
      <x:c r="L63" s="1"/>
      <x:c r="M63" s="1"/>
      <x:c r="N63" s="1"/>
      <x:c r="O63" s="1"/>
      <x:c r="P63" s="1"/>
      <x:c r="Q63" s="1"/>
      <x:c r="R63" s="1"/>
      <x:c r="S63" s="1"/>
      <x:c r="T63" s="1"/>
    </x:row>
    <x:row r="64" ht="18" customHeight="1">
      <x:c r="A64" s="1"/>
      <x:c r="B64" s="19" t="n">
        <x:v>57</x:v>
      </x:c>
      <x:c r="C64" s="56"/>
      <x:c r="D64" s="27"/>
      <x:c r="E64" s="27"/>
      <x:c r="F64" s="27"/>
      <x:c r="G64" s="27"/>
      <x:c r="H64" s="27"/>
      <x:c r="I64" s="1"/>
      <x:c r="J64" s="1"/>
      <x:c r="K64" s="1"/>
      <x:c r="L64" s="1"/>
      <x:c r="M64" s="1"/>
      <x:c r="N64" s="1"/>
      <x:c r="O64" s="1"/>
      <x:c r="P64" s="1"/>
      <x:c r="Q64" s="1"/>
      <x:c r="R64" s="1"/>
      <x:c r="S64" s="1"/>
      <x:c r="T64" s="1"/>
    </x:row>
    <x:row r="65" ht="18" customHeight="1">
      <x:c r="A65" s="1"/>
      <x:c r="B65" s="19" t="n">
        <x:v>58</x:v>
      </x:c>
      <x:c r="C65" s="56"/>
      <x:c r="D65" s="27"/>
      <x:c r="E65" s="27"/>
      <x:c r="F65" s="27"/>
      <x:c r="G65" s="27"/>
      <x:c r="H65" s="27"/>
      <x:c r="I65" s="1"/>
      <x:c r="J65" s="1"/>
      <x:c r="K65" s="1"/>
      <x:c r="L65" s="1"/>
      <x:c r="M65" s="1"/>
      <x:c r="N65" s="1"/>
      <x:c r="O65" s="1"/>
      <x:c r="P65" s="1"/>
      <x:c r="Q65" s="1"/>
      <x:c r="R65" s="1"/>
      <x:c r="S65" s="1"/>
      <x:c r="T65" s="1"/>
    </x:row>
    <x:row r="66" ht="18" customHeight="1">
      <x:c r="A66" s="1"/>
      <x:c r="B66" s="19" t="n">
        <x:v>59</x:v>
      </x:c>
      <x:c r="C66" s="56"/>
      <x:c r="D66" s="27"/>
      <x:c r="E66" s="27"/>
      <x:c r="F66" s="27"/>
      <x:c r="G66" s="27"/>
      <x:c r="H66" s="27"/>
      <x:c r="I66" s="1"/>
      <x:c r="J66" s="1"/>
      <x:c r="K66" s="1"/>
      <x:c r="L66" s="1"/>
      <x:c r="M66" s="1"/>
      <x:c r="N66" s="1"/>
      <x:c r="O66" s="1"/>
      <x:c r="P66" s="1"/>
      <x:c r="Q66" s="1"/>
      <x:c r="R66" s="1"/>
      <x:c r="S66" s="1"/>
      <x:c r="T66" s="1"/>
    </x:row>
    <x:row r="67" ht="18" customHeight="1">
      <x:c r="A67" s="1"/>
      <x:c r="B67" s="19" t="n">
        <x:v>60</x:v>
      </x:c>
      <x:c r="C67" s="56"/>
      <x:c r="D67" s="27"/>
      <x:c r="E67" s="27"/>
      <x:c r="F67" s="27"/>
      <x:c r="G67" s="27"/>
      <x:c r="H67" s="27"/>
      <x:c r="I67" s="1"/>
      <x:c r="J67" s="1"/>
      <x:c r="K67" s="1"/>
      <x:c r="L67" s="1"/>
      <x:c r="M67" s="1"/>
      <x:c r="N67" s="1"/>
      <x:c r="O67" s="1"/>
      <x:c r="P67" s="1"/>
      <x:c r="Q67" s="1"/>
      <x:c r="R67" s="1"/>
      <x:c r="S67" s="1"/>
      <x:c r="T67" s="1"/>
    </x:row>
    <x:row r="68" ht="18" customHeight="1">
      <x:c r="A68" s="1"/>
      <x:c r="B68" s="19" t="n">
        <x:v>61</x:v>
      </x:c>
      <x:c r="C68" s="56"/>
      <x:c r="D68" s="27"/>
      <x:c r="E68" s="27"/>
      <x:c r="F68" s="27"/>
      <x:c r="G68" s="27"/>
      <x:c r="H68" s="27"/>
      <x:c r="I68" s="1"/>
      <x:c r="J68" s="1"/>
      <x:c r="K68" s="1"/>
      <x:c r="L68" s="1"/>
      <x:c r="M68" s="1"/>
      <x:c r="N68" s="1"/>
      <x:c r="O68" s="1"/>
      <x:c r="P68" s="1"/>
      <x:c r="Q68" s="1"/>
      <x:c r="R68" s="1"/>
      <x:c r="S68" s="1"/>
      <x:c r="T68" s="1"/>
    </x:row>
    <x:row r="69" ht="18" customHeight="1">
      <x:c r="A69" s="1"/>
      <x:c r="B69" s="19" t="n">
        <x:v>62</x:v>
      </x:c>
      <x:c r="C69" s="56"/>
      <x:c r="D69" s="27"/>
      <x:c r="E69" s="27"/>
      <x:c r="F69" s="27"/>
      <x:c r="G69" s="27"/>
      <x:c r="H69" s="27"/>
      <x:c r="I69" s="1"/>
      <x:c r="J69" s="1"/>
      <x:c r="K69" s="1"/>
      <x:c r="L69" s="1"/>
      <x:c r="M69" s="1"/>
      <x:c r="N69" s="1"/>
      <x:c r="O69" s="1"/>
      <x:c r="P69" s="1"/>
      <x:c r="Q69" s="1"/>
      <x:c r="R69" s="1"/>
      <x:c r="S69" s="1"/>
      <x:c r="T69" s="1"/>
    </x:row>
    <x:row r="70" ht="18" customHeight="1">
      <x:c r="A70" s="1"/>
      <x:c r="B70" s="19" t="n">
        <x:v>63</x:v>
      </x:c>
      <x:c r="C70" s="56"/>
      <x:c r="D70" s="27"/>
      <x:c r="E70" s="27"/>
      <x:c r="F70" s="27"/>
      <x:c r="G70" s="27"/>
      <x:c r="H70" s="27"/>
      <x:c r="I70" s="1"/>
      <x:c r="J70" s="1"/>
      <x:c r="K70" s="1"/>
      <x:c r="L70" s="1"/>
      <x:c r="M70" s="1"/>
      <x:c r="N70" s="1"/>
      <x:c r="O70" s="1"/>
      <x:c r="P70" s="1"/>
      <x:c r="Q70" s="1"/>
      <x:c r="R70" s="1"/>
      <x:c r="S70" s="1"/>
      <x:c r="T70" s="1"/>
    </x:row>
    <x:row r="71" ht="18" customHeight="1">
      <x:c r="A71" s="1"/>
      <x:c r="B71" s="19" t="n">
        <x:v>64</x:v>
      </x:c>
      <x:c r="C71" s="56"/>
      <x:c r="D71" s="27"/>
      <x:c r="E71" s="27"/>
      <x:c r="F71" s="27"/>
      <x:c r="G71" s="27"/>
      <x:c r="H71" s="27"/>
      <x:c r="I71" s="1"/>
      <x:c r="J71" s="1"/>
      <x:c r="K71" s="1"/>
      <x:c r="L71" s="1"/>
      <x:c r="M71" s="1"/>
      <x:c r="N71" s="1"/>
      <x:c r="O71" s="1"/>
      <x:c r="P71" s="1"/>
      <x:c r="Q71" s="1"/>
      <x:c r="R71" s="1"/>
      <x:c r="S71" s="1"/>
      <x:c r="T71" s="1"/>
    </x:row>
    <x:row r="72" ht="18" customHeight="1">
      <x:c r="A72" s="1"/>
      <x:c r="B72" s="19" t="n">
        <x:v>65</x:v>
      </x:c>
      <x:c r="C72" s="56"/>
      <x:c r="D72" s="27"/>
      <x:c r="E72" s="27"/>
      <x:c r="F72" s="27"/>
      <x:c r="G72" s="27"/>
      <x:c r="H72" s="27"/>
      <x:c r="I72" s="1"/>
      <x:c r="J72" s="1"/>
      <x:c r="K72" s="1"/>
      <x:c r="L72" s="1"/>
      <x:c r="M72" s="1"/>
      <x:c r="N72" s="1"/>
      <x:c r="O72" s="1"/>
      <x:c r="P72" s="1"/>
      <x:c r="Q72" s="1"/>
      <x:c r="R72" s="1"/>
      <x:c r="S72" s="1"/>
      <x:c r="T72" s="1"/>
    </x:row>
    <x:row r="73" ht="18" customHeight="1">
      <x:c r="A73" s="1"/>
      <x:c r="B73" s="19" t="n">
        <x:v>66</x:v>
      </x:c>
      <x:c r="C73" s="56"/>
      <x:c r="D73" s="27"/>
      <x:c r="E73" s="27"/>
      <x:c r="F73" s="27"/>
      <x:c r="G73" s="27"/>
      <x:c r="H73" s="27"/>
      <x:c r="I73" s="1"/>
      <x:c r="J73" s="1"/>
      <x:c r="K73" s="1"/>
      <x:c r="L73" s="1"/>
      <x:c r="M73" s="1"/>
      <x:c r="N73" s="1"/>
      <x:c r="O73" s="1"/>
      <x:c r="P73" s="1"/>
      <x:c r="Q73" s="1"/>
      <x:c r="R73" s="1"/>
      <x:c r="S73" s="1"/>
      <x:c r="T73" s="1"/>
    </x:row>
    <x:row r="74" ht="18" customHeight="1">
      <x:c r="A74" s="1"/>
      <x:c r="B74" s="19" t="n">
        <x:v>67</x:v>
      </x:c>
      <x:c r="C74" s="56"/>
      <x:c r="D74" s="27"/>
      <x:c r="E74" s="27"/>
      <x:c r="F74" s="27"/>
      <x:c r="G74" s="27"/>
      <x:c r="H74" s="27"/>
      <x:c r="I74" s="1"/>
      <x:c r="J74" s="1"/>
      <x:c r="K74" s="1"/>
      <x:c r="L74" s="1"/>
      <x:c r="M74" s="1"/>
      <x:c r="N74" s="1"/>
      <x:c r="O74" s="1"/>
      <x:c r="P74" s="1"/>
      <x:c r="Q74" s="1"/>
      <x:c r="R74" s="1"/>
      <x:c r="S74" s="1"/>
      <x:c r="T74" s="1"/>
    </x:row>
    <x:row r="75" ht="18" customHeight="1">
      <x:c r="A75" s="1"/>
      <x:c r="B75" s="19" t="n">
        <x:v>68</x:v>
      </x:c>
      <x:c r="C75" s="56"/>
      <x:c r="D75" s="27"/>
      <x:c r="E75" s="27"/>
      <x:c r="F75" s="27"/>
      <x:c r="G75" s="27"/>
      <x:c r="H75" s="27"/>
      <x:c r="I75" s="1"/>
      <x:c r="J75" s="1"/>
      <x:c r="K75" s="1"/>
      <x:c r="L75" s="1"/>
      <x:c r="M75" s="1"/>
      <x:c r="N75" s="1"/>
      <x:c r="O75" s="1"/>
      <x:c r="P75" s="1"/>
      <x:c r="Q75" s="1"/>
      <x:c r="R75" s="1"/>
      <x:c r="S75" s="1"/>
      <x:c r="T75" s="1"/>
    </x:row>
    <x:row r="76" ht="18" customHeight="1">
      <x:c r="A76" s="1"/>
      <x:c r="B76" s="19" t="n">
        <x:v>69</x:v>
      </x:c>
      <x:c r="C76" s="56"/>
      <x:c r="D76" s="27"/>
      <x:c r="E76" s="27"/>
      <x:c r="F76" s="27"/>
      <x:c r="G76" s="27"/>
      <x:c r="H76" s="27"/>
      <x:c r="I76" s="1"/>
      <x:c r="J76" s="1"/>
      <x:c r="K76" s="1"/>
      <x:c r="L76" s="1"/>
      <x:c r="M76" s="1"/>
      <x:c r="N76" s="1"/>
      <x:c r="O76" s="1"/>
      <x:c r="P76" s="1"/>
      <x:c r="Q76" s="1"/>
      <x:c r="R76" s="1"/>
      <x:c r="S76" s="1"/>
      <x:c r="T76" s="1"/>
    </x:row>
    <x:row r="77" ht="18" customHeight="1">
      <x:c r="A77" s="1"/>
      <x:c r="B77" s="19" t="n">
        <x:v>70</x:v>
      </x:c>
      <x:c r="C77" s="56"/>
      <x:c r="D77" s="27"/>
      <x:c r="E77" s="27"/>
      <x:c r="F77" s="27"/>
      <x:c r="G77" s="27"/>
      <x:c r="H77" s="27"/>
      <x:c r="I77" s="1"/>
      <x:c r="J77" s="1"/>
      <x:c r="K77" s="1"/>
      <x:c r="L77" s="1"/>
      <x:c r="M77" s="1"/>
      <x:c r="N77" s="1"/>
      <x:c r="O77" s="1"/>
      <x:c r="P77" s="1"/>
      <x:c r="Q77" s="1"/>
      <x:c r="R77" s="1"/>
      <x:c r="S77" s="1"/>
      <x:c r="T77" s="1"/>
    </x:row>
    <x:row r="78" ht="18" customHeight="1">
      <x:c r="A78" s="1"/>
      <x:c r="B78" s="19" t="n">
        <x:v>71</x:v>
      </x:c>
      <x:c r="C78" s="56"/>
      <x:c r="D78" s="27"/>
      <x:c r="E78" s="27"/>
      <x:c r="F78" s="27"/>
      <x:c r="G78" s="27"/>
      <x:c r="H78" s="27"/>
      <x:c r="I78" s="1"/>
      <x:c r="J78" s="1"/>
      <x:c r="K78" s="1"/>
      <x:c r="L78" s="1"/>
      <x:c r="M78" s="1"/>
      <x:c r="N78" s="1"/>
      <x:c r="O78" s="1"/>
      <x:c r="P78" s="1"/>
      <x:c r="Q78" s="1"/>
      <x:c r="R78" s="1"/>
      <x:c r="S78" s="1"/>
      <x:c r="T78" s="1"/>
    </x:row>
    <x:row r="79" ht="18" customHeight="1">
      <x:c r="A79" s="1"/>
      <x:c r="B79" s="19" t="n">
        <x:v>72</x:v>
      </x:c>
      <x:c r="C79" s="56"/>
      <x:c r="D79" s="27"/>
      <x:c r="E79" s="27"/>
      <x:c r="F79" s="27"/>
      <x:c r="G79" s="27"/>
      <x:c r="H79" s="27"/>
      <x:c r="I79" s="1"/>
      <x:c r="J79" s="1"/>
      <x:c r="K79" s="1"/>
      <x:c r="L79" s="1"/>
      <x:c r="M79" s="1"/>
      <x:c r="N79" s="1"/>
      <x:c r="O79" s="1"/>
      <x:c r="P79" s="1"/>
      <x:c r="Q79" s="1"/>
      <x:c r="R79" s="1"/>
      <x:c r="S79" s="1"/>
      <x:c r="T79" s="1"/>
    </x:row>
    <x:row r="80" ht="18" customHeight="1">
      <x:c r="A80" s="1"/>
      <x:c r="B80" s="19" t="n">
        <x:v>73</x:v>
      </x:c>
      <x:c r="C80" s="56"/>
      <x:c r="D80" s="27"/>
      <x:c r="E80" s="27"/>
      <x:c r="F80" s="27"/>
      <x:c r="G80" s="27"/>
      <x:c r="H80" s="27"/>
      <x:c r="I80" s="1"/>
      <x:c r="J80" s="1"/>
      <x:c r="K80" s="1"/>
      <x:c r="L80" s="1"/>
      <x:c r="M80" s="1"/>
      <x:c r="N80" s="1"/>
      <x:c r="O80" s="1"/>
      <x:c r="P80" s="1"/>
      <x:c r="Q80" s="1"/>
      <x:c r="R80" s="1"/>
      <x:c r="S80" s="1"/>
      <x:c r="T80" s="1"/>
    </x:row>
    <x:row r="81" ht="18" customHeight="1">
      <x:c r="A81" s="1"/>
      <x:c r="B81" s="19" t="n">
        <x:v>74</x:v>
      </x:c>
      <x:c r="C81" s="56"/>
      <x:c r="D81" s="27"/>
      <x:c r="E81" s="27"/>
      <x:c r="F81" s="27"/>
      <x:c r="G81" s="27"/>
      <x:c r="H81" s="27"/>
      <x:c r="I81" s="1"/>
      <x:c r="J81" s="1"/>
      <x:c r="K81" s="1"/>
      <x:c r="L81" s="1"/>
      <x:c r="M81" s="1"/>
      <x:c r="N81" s="1"/>
      <x:c r="O81" s="1"/>
      <x:c r="P81" s="1"/>
      <x:c r="Q81" s="1"/>
      <x:c r="R81" s="1"/>
      <x:c r="S81" s="1"/>
      <x:c r="T81" s="1"/>
    </x:row>
    <x:row r="82" ht="18" customHeight="1">
      <x:c r="A82" s="1"/>
      <x:c r="B82" s="19" t="n">
        <x:v>75</x:v>
      </x:c>
      <x:c r="C82" s="56"/>
      <x:c r="D82" s="27"/>
      <x:c r="E82" s="27"/>
      <x:c r="F82" s="27"/>
      <x:c r="G82" s="27"/>
      <x:c r="H82" s="27"/>
      <x:c r="I82" s="1"/>
      <x:c r="J82" s="1"/>
      <x:c r="K82" s="1"/>
      <x:c r="L82" s="1"/>
      <x:c r="M82" s="1"/>
      <x:c r="N82" s="1"/>
      <x:c r="O82" s="1"/>
      <x:c r="P82" s="1"/>
      <x:c r="Q82" s="1"/>
      <x:c r="R82" s="1"/>
      <x:c r="S82" s="1"/>
      <x:c r="T82" s="1"/>
    </x:row>
    <x:row r="83" ht="18" customHeight="1">
      <x:c r="A83" s="1"/>
      <x:c r="B83" s="19" t="n">
        <x:v>76</x:v>
      </x:c>
      <x:c r="C83" s="56"/>
      <x:c r="D83" s="27"/>
      <x:c r="E83" s="27"/>
      <x:c r="F83" s="27"/>
      <x:c r="G83" s="27"/>
      <x:c r="H83" s="27"/>
      <x:c r="I83" s="1"/>
      <x:c r="J83" s="1"/>
      <x:c r="K83" s="1"/>
      <x:c r="L83" s="1"/>
      <x:c r="M83" s="1"/>
      <x:c r="N83" s="1"/>
      <x:c r="O83" s="1"/>
      <x:c r="P83" s="1"/>
      <x:c r="Q83" s="1"/>
      <x:c r="R83" s="1"/>
      <x:c r="S83" s="1"/>
      <x:c r="T83" s="1"/>
    </x:row>
    <x:row r="84" ht="18" customHeight="1">
      <x:c r="A84" s="1"/>
      <x:c r="B84" s="19" t="n">
        <x:v>77</x:v>
      </x:c>
      <x:c r="C84" s="56"/>
      <x:c r="D84" s="27"/>
      <x:c r="E84" s="27"/>
      <x:c r="F84" s="27"/>
      <x:c r="G84" s="27"/>
      <x:c r="H84" s="27"/>
      <x:c r="I84" s="1"/>
      <x:c r="J84" s="1"/>
      <x:c r="K84" s="1"/>
      <x:c r="L84" s="1"/>
      <x:c r="M84" s="1"/>
      <x:c r="N84" s="1"/>
      <x:c r="O84" s="1"/>
      <x:c r="P84" s="1"/>
      <x:c r="Q84" s="1"/>
      <x:c r="R84" s="1"/>
      <x:c r="S84" s="1"/>
      <x:c r="T84" s="1"/>
    </x:row>
    <x:row r="85" ht="18" customHeight="1">
      <x:c r="A85" s="1"/>
      <x:c r="B85" s="19" t="n">
        <x:v>78</x:v>
      </x:c>
      <x:c r="C85" s="56"/>
      <x:c r="D85" s="27"/>
      <x:c r="E85" s="27"/>
      <x:c r="F85" s="27"/>
      <x:c r="G85" s="27"/>
      <x:c r="H85" s="27"/>
      <x:c r="I85" s="1"/>
      <x:c r="J85" s="1"/>
      <x:c r="K85" s="1"/>
      <x:c r="L85" s="1"/>
      <x:c r="M85" s="1"/>
      <x:c r="N85" s="1"/>
      <x:c r="O85" s="1"/>
      <x:c r="P85" s="1"/>
      <x:c r="Q85" s="1"/>
      <x:c r="R85" s="1"/>
      <x:c r="S85" s="1"/>
      <x:c r="T85" s="1"/>
    </x:row>
    <x:row r="86" ht="18" customHeight="1">
      <x:c r="A86" s="1"/>
      <x:c r="B86" s="19" t="n">
        <x:v>79</x:v>
      </x:c>
      <x:c r="C86" s="56"/>
      <x:c r="D86" s="27"/>
      <x:c r="E86" s="27"/>
      <x:c r="F86" s="27"/>
      <x:c r="G86" s="27"/>
      <x:c r="H86" s="27"/>
      <x:c r="I86" s="1"/>
      <x:c r="J86" s="1"/>
      <x:c r="K86" s="1"/>
      <x:c r="L86" s="1"/>
      <x:c r="M86" s="1"/>
      <x:c r="N86" s="1"/>
      <x:c r="O86" s="1"/>
      <x:c r="P86" s="1"/>
      <x:c r="Q86" s="1"/>
      <x:c r="R86" s="1"/>
      <x:c r="S86" s="1"/>
      <x:c r="T86" s="1"/>
    </x:row>
    <x:row r="87" ht="18" customHeight="1">
      <x:c r="A87" s="1"/>
      <x:c r="B87" s="19" t="n">
        <x:v>80</x:v>
      </x:c>
      <x:c r="C87" s="56"/>
      <x:c r="D87" s="27"/>
      <x:c r="E87" s="27"/>
      <x:c r="F87" s="27"/>
      <x:c r="G87" s="27"/>
      <x:c r="H87" s="27"/>
      <x:c r="I87" s="1"/>
      <x:c r="J87" s="1"/>
      <x:c r="K87" s="1"/>
      <x:c r="L87" s="1"/>
      <x:c r="M87" s="1"/>
      <x:c r="N87" s="1"/>
      <x:c r="O87" s="1"/>
      <x:c r="P87" s="1"/>
      <x:c r="Q87" s="1"/>
      <x:c r="R87" s="1"/>
      <x:c r="S87" s="1"/>
      <x:c r="T87" s="1"/>
    </x:row>
    <x:row r="88" ht="18" customHeight="1">
      <x:c r="A88" s="1"/>
      <x:c r="B88" s="19" t="n">
        <x:v>81</x:v>
      </x:c>
      <x:c r="C88" s="56"/>
      <x:c r="D88" s="27"/>
      <x:c r="E88" s="27"/>
      <x:c r="F88" s="27"/>
      <x:c r="G88" s="27"/>
      <x:c r="H88" s="27"/>
      <x:c r="I88" s="1"/>
      <x:c r="J88" s="1"/>
      <x:c r="K88" s="1"/>
      <x:c r="L88" s="1"/>
      <x:c r="M88" s="1"/>
      <x:c r="N88" s="1"/>
      <x:c r="O88" s="1"/>
      <x:c r="P88" s="1"/>
      <x:c r="Q88" s="1"/>
      <x:c r="R88" s="1"/>
      <x:c r="S88" s="1"/>
      <x:c r="T88" s="1"/>
    </x:row>
    <x:row r="89" ht="18" customHeight="1">
      <x:c r="A89" s="1"/>
      <x:c r="B89" s="19" t="n">
        <x:v>82</x:v>
      </x:c>
      <x:c r="C89" s="56"/>
      <x:c r="D89" s="27"/>
      <x:c r="E89" s="27"/>
      <x:c r="F89" s="27"/>
      <x:c r="G89" s="27"/>
      <x:c r="H89" s="27"/>
      <x:c r="I89" s="1"/>
      <x:c r="J89" s="1"/>
      <x:c r="K89" s="1"/>
      <x:c r="L89" s="1"/>
      <x:c r="M89" s="1"/>
      <x:c r="N89" s="1"/>
      <x:c r="O89" s="1"/>
      <x:c r="P89" s="1"/>
      <x:c r="Q89" s="1"/>
      <x:c r="R89" s="1"/>
      <x:c r="S89" s="1"/>
      <x:c r="T89" s="1"/>
    </x:row>
    <x:row r="90" ht="18" customHeight="1">
      <x:c r="A90" s="1"/>
      <x:c r="B90" s="19" t="n">
        <x:v>83</x:v>
      </x:c>
      <x:c r="C90" s="56"/>
      <x:c r="D90" s="27"/>
      <x:c r="E90" s="27"/>
      <x:c r="F90" s="27"/>
      <x:c r="G90" s="27"/>
      <x:c r="H90" s="27"/>
      <x:c r="I90" s="1"/>
      <x:c r="J90" s="1"/>
      <x:c r="K90" s="1"/>
      <x:c r="L90" s="1"/>
      <x:c r="M90" s="1"/>
      <x:c r="N90" s="1"/>
      <x:c r="O90" s="1"/>
      <x:c r="P90" s="1"/>
      <x:c r="Q90" s="1"/>
      <x:c r="R90" s="1"/>
      <x:c r="S90" s="1"/>
      <x:c r="T90" s="1"/>
    </x:row>
    <x:row r="91" ht="18" customHeight="1">
      <x:c r="A91" s="1"/>
      <x:c r="B91" s="19" t="n">
        <x:v>84</x:v>
      </x:c>
      <x:c r="C91" s="56"/>
      <x:c r="D91" s="27"/>
      <x:c r="E91" s="27"/>
      <x:c r="F91" s="27"/>
      <x:c r="G91" s="27"/>
      <x:c r="H91" s="27"/>
      <x:c r="I91" s="1"/>
      <x:c r="J91" s="1"/>
      <x:c r="K91" s="1"/>
      <x:c r="L91" s="1"/>
      <x:c r="M91" s="1"/>
      <x:c r="N91" s="1"/>
      <x:c r="O91" s="1"/>
      <x:c r="P91" s="1"/>
      <x:c r="Q91" s="1"/>
      <x:c r="R91" s="1"/>
      <x:c r="S91" s="1"/>
      <x:c r="T91" s="1"/>
    </x:row>
    <x:row r="92" ht="18" customHeight="1">
      <x:c r="A92" s="1"/>
      <x:c r="B92" s="19" t="n">
        <x:v>85</x:v>
      </x:c>
      <x:c r="C92" s="56"/>
      <x:c r="D92" s="27"/>
      <x:c r="E92" s="27"/>
      <x:c r="F92" s="27"/>
      <x:c r="G92" s="27"/>
      <x:c r="H92" s="27"/>
      <x:c r="I92" s="1"/>
      <x:c r="J92" s="1"/>
      <x:c r="K92" s="1"/>
      <x:c r="L92" s="1"/>
      <x:c r="M92" s="1"/>
      <x:c r="N92" s="1"/>
      <x:c r="O92" s="1"/>
      <x:c r="P92" s="1"/>
      <x:c r="Q92" s="1"/>
      <x:c r="R92" s="1"/>
      <x:c r="S92" s="1"/>
      <x:c r="T92" s="1"/>
    </x:row>
    <x:row r="93" ht="18" customHeight="1">
      <x:c r="A93" s="1"/>
      <x:c r="B93" s="19" t="n">
        <x:v>86</x:v>
      </x:c>
      <x:c r="C93" s="56"/>
      <x:c r="D93" s="27"/>
      <x:c r="E93" s="27"/>
      <x:c r="F93" s="27"/>
      <x:c r="G93" s="27"/>
      <x:c r="H93" s="27"/>
      <x:c r="I93" s="1"/>
      <x:c r="J93" s="1"/>
      <x:c r="K93" s="1"/>
      <x:c r="L93" s="1"/>
      <x:c r="M93" s="1"/>
      <x:c r="N93" s="1"/>
      <x:c r="O93" s="1"/>
      <x:c r="P93" s="1"/>
      <x:c r="Q93" s="1"/>
      <x:c r="R93" s="1"/>
      <x:c r="S93" s="1"/>
      <x:c r="T93" s="1"/>
    </x:row>
    <x:row r="94" ht="18" customHeight="1">
      <x:c r="A94" s="1"/>
      <x:c r="B94" s="19" t="n">
        <x:v>87</x:v>
      </x:c>
      <x:c r="C94" s="56"/>
      <x:c r="D94" s="27"/>
      <x:c r="E94" s="27"/>
      <x:c r="F94" s="27"/>
      <x:c r="G94" s="27"/>
      <x:c r="H94" s="27"/>
      <x:c r="I94" s="1"/>
      <x:c r="J94" s="1"/>
      <x:c r="K94" s="1"/>
      <x:c r="L94" s="1"/>
      <x:c r="M94" s="1"/>
      <x:c r="N94" s="1"/>
      <x:c r="O94" s="1"/>
      <x:c r="P94" s="1"/>
      <x:c r="Q94" s="1"/>
      <x:c r="R94" s="1"/>
      <x:c r="S94" s="1"/>
      <x:c r="T94" s="1"/>
    </x:row>
    <x:row r="95" ht="18" customHeight="1">
      <x:c r="A95" s="1"/>
      <x:c r="B95" s="19" t="n">
        <x:v>88</x:v>
      </x:c>
      <x:c r="C95" s="56"/>
      <x:c r="D95" s="27"/>
      <x:c r="E95" s="27"/>
      <x:c r="F95" s="27"/>
      <x:c r="G95" s="27"/>
      <x:c r="H95" s="27"/>
      <x:c r="I95" s="1"/>
      <x:c r="J95" s="1"/>
      <x:c r="K95" s="1"/>
      <x:c r="L95" s="1"/>
      <x:c r="M95" s="1"/>
      <x:c r="N95" s="1"/>
      <x:c r="O95" s="1"/>
      <x:c r="P95" s="1"/>
      <x:c r="Q95" s="1"/>
      <x:c r="R95" s="1"/>
      <x:c r="S95" s="1"/>
      <x:c r="T95" s="1"/>
    </x:row>
    <x:row r="96" ht="18" customHeight="1">
      <x:c r="A96" s="1"/>
      <x:c r="B96" s="19" t="n">
        <x:v>89</x:v>
      </x:c>
      <x:c r="C96" s="56"/>
      <x:c r="D96" s="27"/>
      <x:c r="E96" s="27"/>
      <x:c r="F96" s="27"/>
      <x:c r="G96" s="27"/>
      <x:c r="H96" s="27"/>
      <x:c r="I96" s="1"/>
      <x:c r="J96" s="1"/>
      <x:c r="K96" s="1"/>
      <x:c r="L96" s="1"/>
      <x:c r="M96" s="1"/>
      <x:c r="N96" s="1"/>
      <x:c r="O96" s="1"/>
      <x:c r="P96" s="1"/>
      <x:c r="Q96" s="1"/>
      <x:c r="R96" s="1"/>
      <x:c r="S96" s="1"/>
      <x:c r="T96" s="1"/>
    </x:row>
    <x:row r="97" ht="18" customHeight="1">
      <x:c r="A97" s="1"/>
      <x:c r="B97" s="19" t="n">
        <x:v>90</x:v>
      </x:c>
      <x:c r="C97" s="56"/>
      <x:c r="D97" s="27"/>
      <x:c r="E97" s="27"/>
      <x:c r="F97" s="27"/>
      <x:c r="G97" s="27"/>
      <x:c r="H97" s="27"/>
      <x:c r="I97" s="1"/>
      <x:c r="J97" s="1"/>
      <x:c r="K97" s="1"/>
      <x:c r="L97" s="1"/>
      <x:c r="M97" s="1"/>
      <x:c r="N97" s="1"/>
      <x:c r="O97" s="1"/>
      <x:c r="P97" s="1"/>
      <x:c r="Q97" s="1"/>
      <x:c r="R97" s="1"/>
      <x:c r="S97" s="1"/>
      <x:c r="T97" s="1"/>
    </x:row>
    <x:row r="98" ht="18" customHeight="1">
      <x:c r="A98" s="1"/>
      <x:c r="B98" s="19" t="n">
        <x:v>91</x:v>
      </x:c>
      <x:c r="C98" s="56"/>
      <x:c r="D98" s="27"/>
      <x:c r="E98" s="27"/>
      <x:c r="F98" s="27"/>
      <x:c r="G98" s="27"/>
      <x:c r="H98" s="27"/>
      <x:c r="I98" s="1"/>
      <x:c r="J98" s="1"/>
      <x:c r="K98" s="1"/>
      <x:c r="L98" s="1"/>
      <x:c r="M98" s="1"/>
      <x:c r="N98" s="1"/>
      <x:c r="O98" s="1"/>
      <x:c r="P98" s="1"/>
      <x:c r="Q98" s="1"/>
      <x:c r="R98" s="1"/>
      <x:c r="S98" s="1"/>
      <x:c r="T98" s="1"/>
    </x:row>
    <x:row r="99" ht="18" customHeight="1">
      <x:c r="A99" s="1"/>
      <x:c r="B99" s="19" t="n">
        <x:v>92</x:v>
      </x:c>
      <x:c r="C99" s="56"/>
      <x:c r="D99" s="27"/>
      <x:c r="E99" s="27"/>
      <x:c r="F99" s="27"/>
      <x:c r="G99" s="27"/>
      <x:c r="H99" s="27"/>
      <x:c r="I99" s="1"/>
      <x:c r="J99" s="1"/>
      <x:c r="K99" s="1"/>
      <x:c r="L99" s="1"/>
      <x:c r="M99" s="1"/>
      <x:c r="N99" s="1"/>
      <x:c r="O99" s="1"/>
      <x:c r="P99" s="1"/>
      <x:c r="Q99" s="1"/>
      <x:c r="R99" s="1"/>
      <x:c r="S99" s="1"/>
      <x:c r="T99" s="1"/>
    </x:row>
    <x:row r="100" ht="18" customHeight="1">
      <x:c r="A100" s="1"/>
      <x:c r="B100" s="19" t="n">
        <x:v>93</x:v>
      </x:c>
      <x:c r="C100" s="56"/>
      <x:c r="D100" s="27"/>
      <x:c r="E100" s="27"/>
      <x:c r="F100" s="27"/>
      <x:c r="G100" s="27"/>
      <x:c r="H100" s="27"/>
      <x:c r="I100" s="1"/>
      <x:c r="J100" s="1"/>
      <x:c r="K100" s="1"/>
      <x:c r="L100" s="1"/>
      <x:c r="M100" s="1"/>
      <x:c r="N100" s="1"/>
      <x:c r="O100" s="1"/>
      <x:c r="P100" s="1"/>
      <x:c r="Q100" s="1"/>
      <x:c r="R100" s="1"/>
      <x:c r="S100" s="1"/>
      <x:c r="T100" s="1"/>
    </x:row>
    <x:row r="101" ht="18" customHeight="1">
      <x:c r="A101" s="1"/>
      <x:c r="B101" s="19" t="n">
        <x:v>94</x:v>
      </x:c>
      <x:c r="C101" s="56"/>
      <x:c r="D101" s="27"/>
      <x:c r="E101" s="27"/>
      <x:c r="F101" s="27"/>
      <x:c r="G101" s="27"/>
      <x:c r="H101" s="27"/>
      <x:c r="I101" s="1"/>
      <x:c r="J101" s="1"/>
      <x:c r="K101" s="1"/>
      <x:c r="L101" s="1"/>
      <x:c r="M101" s="1"/>
      <x:c r="N101" s="1"/>
      <x:c r="O101" s="1"/>
      <x:c r="P101" s="1"/>
      <x:c r="Q101" s="1"/>
      <x:c r="R101" s="1"/>
      <x:c r="S101" s="1"/>
      <x:c r="T101" s="1"/>
    </x:row>
    <x:row r="102" ht="18" customHeight="1">
      <x:c r="A102" s="1"/>
      <x:c r="B102" s="19" t="n">
        <x:v>95</x:v>
      </x:c>
      <x:c r="C102" s="56"/>
      <x:c r="D102" s="27"/>
      <x:c r="E102" s="27"/>
      <x:c r="F102" s="27"/>
      <x:c r="G102" s="27"/>
      <x:c r="H102" s="27"/>
      <x:c r="I102" s="1"/>
      <x:c r="J102" s="1"/>
      <x:c r="K102" s="1"/>
      <x:c r="L102" s="1"/>
      <x:c r="M102" s="1"/>
      <x:c r="N102" s="1"/>
      <x:c r="O102" s="1"/>
      <x:c r="P102" s="1"/>
      <x:c r="Q102" s="1"/>
      <x:c r="R102" s="1"/>
      <x:c r="S102" s="1"/>
      <x:c r="T102" s="1"/>
    </x:row>
    <x:row r="103" ht="18" customHeight="1">
      <x:c r="A103" s="1"/>
      <x:c r="B103" s="19" t="n">
        <x:v>96</x:v>
      </x:c>
      <x:c r="C103" s="56"/>
      <x:c r="D103" s="27"/>
      <x:c r="E103" s="27"/>
      <x:c r="F103" s="27"/>
      <x:c r="G103" s="27"/>
      <x:c r="H103" s="27"/>
      <x:c r="I103" s="1"/>
      <x:c r="J103" s="1"/>
      <x:c r="K103" s="1"/>
      <x:c r="L103" s="1"/>
      <x:c r="M103" s="1"/>
      <x:c r="N103" s="1"/>
      <x:c r="O103" s="1"/>
      <x:c r="P103" s="1"/>
      <x:c r="Q103" s="1"/>
      <x:c r="R103" s="1"/>
      <x:c r="S103" s="1"/>
      <x:c r="T103" s="1"/>
    </x:row>
    <x:row r="104" ht="18" customHeight="1">
      <x:c r="A104" s="1"/>
      <x:c r="B104" s="19" t="n">
        <x:v>97</x:v>
      </x:c>
      <x:c r="C104" s="56"/>
      <x:c r="D104" s="27"/>
      <x:c r="E104" s="27"/>
      <x:c r="F104" s="27"/>
      <x:c r="G104" s="27"/>
      <x:c r="H104" s="27"/>
      <x:c r="I104" s="1"/>
      <x:c r="J104" s="1"/>
      <x:c r="K104" s="1"/>
      <x:c r="L104" s="1"/>
      <x:c r="M104" s="1"/>
      <x:c r="N104" s="1"/>
      <x:c r="O104" s="1"/>
      <x:c r="P104" s="1"/>
      <x:c r="Q104" s="1"/>
      <x:c r="R104" s="1"/>
      <x:c r="S104" s="1"/>
      <x:c r="T104" s="1"/>
    </x:row>
    <x:row r="105" ht="18" customHeight="1">
      <x:c r="A105" s="1"/>
      <x:c r="B105" s="19" t="n">
        <x:v>98</x:v>
      </x:c>
      <x:c r="C105" s="56"/>
      <x:c r="D105" s="27"/>
      <x:c r="E105" s="27"/>
      <x:c r="F105" s="27"/>
      <x:c r="G105" s="27"/>
      <x:c r="H105" s="27"/>
      <x:c r="I105" s="1"/>
      <x:c r="J105" s="1"/>
      <x:c r="K105" s="1"/>
      <x:c r="L105" s="1"/>
      <x:c r="M105" s="1"/>
      <x:c r="N105" s="1"/>
      <x:c r="O105" s="1"/>
      <x:c r="P105" s="1"/>
      <x:c r="Q105" s="1"/>
      <x:c r="R105" s="1"/>
      <x:c r="S105" s="1"/>
      <x:c r="T105" s="1"/>
    </x:row>
    <x:row r="106" ht="18" customHeight="1">
      <x:c r="A106" s="1"/>
      <x:c r="B106" s="19" t="n">
        <x:v>99</x:v>
      </x:c>
      <x:c r="C106" s="56"/>
      <x:c r="D106" s="27"/>
      <x:c r="E106" s="27"/>
      <x:c r="F106" s="27"/>
      <x:c r="G106" s="27"/>
      <x:c r="H106" s="27"/>
      <x:c r="I106" s="1"/>
      <x:c r="J106" s="1"/>
      <x:c r="K106" s="1"/>
      <x:c r="L106" s="1"/>
      <x:c r="M106" s="1"/>
      <x:c r="N106" s="1"/>
      <x:c r="O106" s="1"/>
      <x:c r="P106" s="1"/>
      <x:c r="Q106" s="1"/>
      <x:c r="R106" s="1"/>
      <x:c r="S106" s="1"/>
      <x:c r="T106" s="1"/>
    </x:row>
    <x:row r="107" ht="18" customHeight="1">
      <x:c r="A107" s="1"/>
      <x:c r="B107" s="19" t="n">
        <x:v>100</x:v>
      </x:c>
      <x:c r="C107" s="56"/>
      <x:c r="D107" s="27"/>
      <x:c r="E107" s="27"/>
      <x:c r="F107" s="27"/>
      <x:c r="G107" s="27"/>
      <x:c r="H107" s="27"/>
      <x:c r="I107" s="1"/>
      <x:c r="J107" s="1"/>
      <x:c r="K107" s="1"/>
      <x:c r="L107" s="1"/>
      <x:c r="M107" s="1"/>
      <x:c r="N107" s="1"/>
      <x:c r="O107" s="1"/>
      <x:c r="P107" s="1"/>
      <x:c r="Q107" s="1"/>
      <x:c r="R107" s="1"/>
      <x:c r="S107" s="1"/>
      <x:c r="T107" s="1"/>
    </x:row>
    <x:row r="108" ht="18" customHeight="1">
      <x:c r="A108" s="1"/>
      <x:c r="B108" s="1"/>
      <x:c r="C108" s="1"/>
      <x:c r="D108" s="1"/>
      <x:c r="E108" s="1"/>
      <x:c r="F108" s="1"/>
      <x:c r="G108" s="1"/>
      <x:c r="H108" s="1"/>
      <x:c r="I108" s="1"/>
      <x:c r="J108" s="1"/>
      <x:c r="K108" s="1"/>
      <x:c r="L108" s="1"/>
      <x:c r="M108" s="1"/>
      <x:c r="N108" s="1"/>
      <x:c r="O108" s="1"/>
      <x:c r="P108" s="1"/>
      <x:c r="Q108" s="1"/>
      <x:c r="R108" s="1"/>
      <x:c r="S108" s="1"/>
      <x:c r="T108" s="1"/>
    </x:row>
    <x:row r="109" ht="18" customHeight="1">
      <x:c r="A109" s="1"/>
      <x:c r="B109" s="1"/>
      <x:c r="C109" s="1"/>
      <x:c r="D109" s="1"/>
      <x:c r="E109" s="1"/>
      <x:c r="F109" s="1"/>
      <x:c r="G109" s="1"/>
      <x:c r="H109" s="1"/>
      <x:c r="I109" s="1"/>
      <x:c r="J109" s="1"/>
      <x:c r="K109" s="1"/>
      <x:c r="L109" s="1"/>
      <x:c r="M109" s="1"/>
      <x:c r="N109" s="1"/>
      <x:c r="O109" s="1"/>
      <x:c r="P109" s="1"/>
      <x:c r="Q109" s="1"/>
      <x:c r="R109" s="1"/>
      <x:c r="S109" s="1"/>
      <x:c r="T109" s="1"/>
    </x:row>
    <x:row r="110" ht="18" customHeight="1">
      <x:c r="A110" s="1"/>
      <x:c r="B110" s="1"/>
      <x:c r="C110" s="1"/>
      <x:c r="D110" s="1"/>
      <x:c r="E110" s="1"/>
      <x:c r="F110" s="1"/>
      <x:c r="G110" s="1"/>
      <x:c r="H110" s="1"/>
      <x:c r="I110" s="1"/>
      <x:c r="J110" s="1"/>
      <x:c r="K110" s="1"/>
      <x:c r="L110" s="1"/>
      <x:c r="M110" s="1"/>
      <x:c r="N110" s="1"/>
      <x:c r="O110" s="1"/>
      <x:c r="P110" s="1"/>
      <x:c r="Q110" s="1"/>
      <x:c r="R110" s="1"/>
      <x:c r="S110" s="1"/>
      <x:c r="T110" s="1"/>
    </x:row>
    <x:row r="111" ht="18" customHeight="1">
      <x:c r="A111" s="1"/>
      <x:c r="B111" s="1"/>
      <x:c r="C111" s="1"/>
      <x:c r="D111" s="1"/>
      <x:c r="E111" s="1"/>
      <x:c r="F111" s="1"/>
      <x:c r="G111" s="1"/>
      <x:c r="H111" s="1"/>
      <x:c r="I111" s="1"/>
      <x:c r="J111" s="1"/>
      <x:c r="K111" s="1"/>
      <x:c r="L111" s="1"/>
      <x:c r="M111" s="1"/>
      <x:c r="N111" s="1"/>
      <x:c r="O111" s="1"/>
      <x:c r="P111" s="1"/>
      <x:c r="Q111" s="1"/>
      <x:c r="R111" s="1"/>
      <x:c r="S111" s="1"/>
      <x:c r="T111" s="1"/>
    </x:row>
    <x:row r="112" ht="18" customHeight="1">
      <x:c r="A112" s="1"/>
      <x:c r="B112" s="1"/>
      <x:c r="C112" s="1"/>
      <x:c r="D112" s="1"/>
      <x:c r="E112" s="1"/>
      <x:c r="F112" s="1"/>
      <x:c r="G112" s="1"/>
      <x:c r="H112" s="1"/>
      <x:c r="I112" s="1"/>
      <x:c r="J112" s="1"/>
      <x:c r="K112" s="1"/>
      <x:c r="L112" s="1"/>
      <x:c r="M112" s="1"/>
      <x:c r="N112" s="1"/>
      <x:c r="O112" s="1"/>
      <x:c r="P112" s="1"/>
      <x:c r="Q112" s="1"/>
      <x:c r="R112" s="1"/>
      <x:c r="S112" s="1"/>
      <x:c r="T112" s="1"/>
    </x:row>
    <x:row r="113" ht="18" customHeight="1">
      <x:c r="A113" s="1"/>
      <x:c r="B113" s="1"/>
      <x:c r="C113" s="1"/>
      <x:c r="D113" s="1"/>
      <x:c r="E113" s="1"/>
      <x:c r="F113" s="1"/>
      <x:c r="G113" s="1"/>
      <x:c r="H113" s="1"/>
      <x:c r="I113" s="1"/>
      <x:c r="J113" s="1"/>
      <x:c r="K113" s="1"/>
      <x:c r="L113" s="1"/>
      <x:c r="M113" s="1"/>
      <x:c r="N113" s="1"/>
      <x:c r="O113" s="1"/>
      <x:c r="P113" s="1"/>
      <x:c r="Q113" s="1"/>
      <x:c r="R113" s="1"/>
      <x:c r="S113" s="1"/>
      <x:c r="T113" s="1"/>
    </x:row>
    <x:row r="114" ht="18" customHeight="1">
      <x:c r="A114" s="1"/>
      <x:c r="B114" s="1"/>
      <x:c r="C114" s="1"/>
      <x:c r="D114" s="1"/>
      <x:c r="E114" s="1"/>
      <x:c r="F114" s="1"/>
      <x:c r="G114" s="1"/>
      <x:c r="H114" s="1"/>
      <x:c r="I114" s="1"/>
      <x:c r="J114" s="1"/>
      <x:c r="K114" s="1"/>
      <x:c r="L114" s="1"/>
      <x:c r="M114" s="1"/>
      <x:c r="N114" s="1"/>
      <x:c r="O114" s="1"/>
      <x:c r="P114" s="1"/>
      <x:c r="Q114" s="1"/>
      <x:c r="R114" s="1"/>
      <x:c r="S114" s="1"/>
      <x:c r="T114" s="1"/>
    </x:row>
    <x:row r="115" ht="18" customHeight="1">
      <x:c r="A115" s="1"/>
      <x:c r="B115" s="1"/>
      <x:c r="C115" s="1"/>
      <x:c r="D115" s="1"/>
      <x:c r="E115" s="1"/>
      <x:c r="F115" s="1"/>
      <x:c r="G115" s="1"/>
      <x:c r="H115" s="1"/>
      <x:c r="I115" s="1"/>
      <x:c r="J115" s="1"/>
      <x:c r="K115" s="1"/>
      <x:c r="L115" s="1"/>
      <x:c r="M115" s="1"/>
      <x:c r="N115" s="1"/>
      <x:c r="O115" s="1"/>
      <x:c r="P115" s="1"/>
      <x:c r="Q115" s="1"/>
      <x:c r="R115" s="1"/>
      <x:c r="S115" s="1"/>
      <x:c r="T115" s="1"/>
    </x:row>
    <x:row r="116" ht="18" customHeight="1">
      <x:c r="A116" s="1"/>
      <x:c r="B116" s="1"/>
      <x:c r="C116" s="1"/>
      <x:c r="D116" s="1"/>
      <x:c r="E116" s="1"/>
      <x:c r="F116" s="1"/>
      <x:c r="G116" s="1"/>
      <x:c r="H116" s="1"/>
      <x:c r="I116" s="1"/>
      <x:c r="J116" s="1"/>
      <x:c r="K116" s="1"/>
      <x:c r="L116" s="1"/>
      <x:c r="M116" s="1"/>
      <x:c r="N116" s="1"/>
      <x:c r="O116" s="1"/>
      <x:c r="P116" s="1"/>
      <x:c r="Q116" s="1"/>
      <x:c r="R116" s="1"/>
      <x:c r="S116" s="1"/>
      <x:c r="T116" s="1"/>
    </x:row>
    <x:row r="117" ht="18" customHeight="1">
      <x:c r="A117" s="1"/>
      <x:c r="B117" s="1"/>
      <x:c r="C117" s="1"/>
      <x:c r="D117" s="1"/>
      <x:c r="E117" s="1"/>
      <x:c r="F117" s="1"/>
      <x:c r="G117" s="1"/>
      <x:c r="H117" s="1"/>
      <x:c r="I117" s="1"/>
      <x:c r="J117" s="1"/>
      <x:c r="K117" s="1"/>
      <x:c r="L117" s="1"/>
      <x:c r="M117" s="1"/>
      <x:c r="N117" s="1"/>
      <x:c r="O117" s="1"/>
      <x:c r="P117" s="1"/>
      <x:c r="Q117" s="1"/>
      <x:c r="R117" s="1"/>
      <x:c r="S117" s="1"/>
      <x:c r="T117" s="1"/>
    </x:row>
    <x:row r="118" ht="18" customHeight="1">
      <x:c r="A118" s="1"/>
      <x:c r="B118" s="1"/>
      <x:c r="C118" s="1"/>
      <x:c r="D118" s="1"/>
      <x:c r="E118" s="1"/>
      <x:c r="F118" s="1"/>
      <x:c r="G118" s="1"/>
      <x:c r="H118" s="1"/>
      <x:c r="I118" s="1"/>
      <x:c r="J118" s="1"/>
      <x:c r="K118" s="1"/>
      <x:c r="L118" s="1"/>
      <x:c r="M118" s="1"/>
      <x:c r="N118" s="1"/>
      <x:c r="O118" s="1"/>
      <x:c r="P118" s="1"/>
      <x:c r="Q118" s="1"/>
      <x:c r="R118" s="1"/>
      <x:c r="S118" s="1"/>
      <x:c r="T118" s="1"/>
    </x:row>
    <x:row r="119" ht="18" customHeight="1">
      <x:c r="A119" s="1"/>
      <x:c r="B119" s="1"/>
      <x:c r="C119" s="1"/>
      <x:c r="D119" s="1"/>
      <x:c r="E119" s="1"/>
      <x:c r="F119" s="1"/>
      <x:c r="G119" s="1"/>
      <x:c r="H119" s="1"/>
      <x:c r="I119" s="1"/>
      <x:c r="J119" s="1"/>
      <x:c r="K119" s="1"/>
      <x:c r="L119" s="1"/>
      <x:c r="M119" s="1"/>
      <x:c r="N119" s="1"/>
      <x:c r="O119" s="1"/>
      <x:c r="P119" s="1"/>
      <x:c r="Q119" s="1"/>
      <x:c r="R119" s="1"/>
      <x:c r="S119" s="1"/>
      <x:c r="T119" s="1"/>
    </x:row>
    <x:row r="120" ht="18" customHeight="1">
      <x:c r="A120" s="1"/>
      <x:c r="B120" s="1"/>
      <x:c r="C120" s="1"/>
      <x:c r="D120" s="1"/>
      <x:c r="E120" s="1"/>
      <x:c r="F120" s="1"/>
      <x:c r="G120" s="1"/>
      <x:c r="H120" s="1"/>
      <x:c r="I120" s="1"/>
      <x:c r="J120" s="1"/>
      <x:c r="K120" s="1"/>
      <x:c r="L120" s="1"/>
      <x:c r="M120" s="1"/>
      <x:c r="N120" s="1"/>
      <x:c r="O120" s="1"/>
      <x:c r="P120" s="1"/>
      <x:c r="Q120" s="1"/>
      <x:c r="R120" s="1"/>
      <x:c r="S120" s="1"/>
      <x:c r="T120" s="1"/>
    </x:row>
    <x:row r="121" ht="18" customHeight="1">
      <x:c r="A121" s="1"/>
      <x:c r="B121" s="1"/>
      <x:c r="C121" s="1"/>
      <x:c r="D121" s="1"/>
      <x:c r="E121" s="1"/>
      <x:c r="F121" s="1"/>
      <x:c r="G121" s="1"/>
      <x:c r="H121" s="1"/>
      <x:c r="I121" s="1"/>
      <x:c r="J121" s="1"/>
      <x:c r="K121" s="1"/>
      <x:c r="L121" s="1"/>
      <x:c r="M121" s="1"/>
      <x:c r="N121" s="1"/>
      <x:c r="O121" s="1"/>
      <x:c r="P121" s="1"/>
      <x:c r="Q121" s="1"/>
      <x:c r="R121" s="1"/>
      <x:c r="S121" s="1"/>
      <x:c r="T121" s="1"/>
    </x:row>
    <x:row r="122" ht="18" customHeight="1">
      <x:c r="A122" s="1"/>
      <x:c r="B122" s="1"/>
      <x:c r="C122" s="1"/>
      <x:c r="D122" s="1"/>
      <x:c r="E122" s="1"/>
      <x:c r="F122" s="1"/>
      <x:c r="G122" s="1"/>
      <x:c r="H122" s="1"/>
      <x:c r="I122" s="1"/>
      <x:c r="J122" s="1"/>
      <x:c r="K122" s="1"/>
      <x:c r="L122" s="1"/>
      <x:c r="M122" s="1"/>
      <x:c r="N122" s="1"/>
      <x:c r="O122" s="1"/>
      <x:c r="P122" s="1"/>
      <x:c r="Q122" s="1"/>
      <x:c r="R122" s="1"/>
      <x:c r="S122" s="1"/>
      <x:c r="T122" s="1"/>
    </x:row>
    <x:row r="123" ht="18" customHeight="1">
      <x:c r="A123" s="1"/>
      <x:c r="B123" s="1"/>
      <x:c r="C123" s="1"/>
      <x:c r="D123" s="1"/>
      <x:c r="E123" s="1"/>
      <x:c r="F123" s="1"/>
      <x:c r="G123" s="1"/>
      <x:c r="H123" s="1"/>
      <x:c r="I123" s="1"/>
      <x:c r="J123" s="1"/>
      <x:c r="K123" s="1"/>
      <x:c r="L123" s="1"/>
      <x:c r="M123" s="1"/>
      <x:c r="N123" s="1"/>
      <x:c r="O123" s="1"/>
      <x:c r="P123" s="1"/>
      <x:c r="Q123" s="1"/>
      <x:c r="R123" s="1"/>
      <x:c r="S123" s="1"/>
      <x:c r="T123" s="1"/>
    </x:row>
    <x:row r="124" ht="18" customHeight="1">
      <x:c r="A124" s="1"/>
      <x:c r="B124" s="1"/>
      <x:c r="C124" s="1"/>
      <x:c r="D124" s="1"/>
      <x:c r="E124" s="1"/>
      <x:c r="F124" s="1"/>
      <x:c r="G124" s="1"/>
      <x:c r="H124" s="1"/>
      <x:c r="I124" s="1"/>
      <x:c r="J124" s="1"/>
      <x:c r="K124" s="1"/>
      <x:c r="L124" s="1"/>
      <x:c r="M124" s="1"/>
      <x:c r="N124" s="1"/>
      <x:c r="O124" s="1"/>
      <x:c r="P124" s="1"/>
      <x:c r="Q124" s="1"/>
      <x:c r="R124" s="1"/>
      <x:c r="S124" s="1"/>
      <x:c r="T124" s="1"/>
    </x:row>
    <x:row r="125" ht="18" customHeight="1">
      <x:c r="A125" s="1"/>
      <x:c r="B125" s="1"/>
      <x:c r="C125" s="1"/>
      <x:c r="D125" s="1"/>
      <x:c r="E125" s="1"/>
      <x:c r="F125" s="1"/>
      <x:c r="G125" s="1"/>
      <x:c r="H125" s="1"/>
      <x:c r="I125" s="1"/>
      <x:c r="J125" s="1"/>
      <x:c r="K125" s="1"/>
      <x:c r="L125" s="1"/>
      <x:c r="M125" s="1"/>
      <x:c r="N125" s="1"/>
      <x:c r="O125" s="1"/>
      <x:c r="P125" s="1"/>
      <x:c r="Q125" s="1"/>
      <x:c r="R125" s="1"/>
      <x:c r="S125" s="1"/>
      <x:c r="T125" s="1"/>
    </x:row>
    <x:row r="126" ht="18" customHeight="1">
      <x:c r="A126" s="1"/>
      <x:c r="B126" s="1"/>
      <x:c r="C126" s="1"/>
      <x:c r="D126" s="1"/>
      <x:c r="E126" s="1"/>
      <x:c r="F126" s="1"/>
      <x:c r="G126" s="1"/>
      <x:c r="H126" s="1"/>
      <x:c r="I126" s="1"/>
      <x:c r="J126" s="1"/>
      <x:c r="K126" s="1"/>
      <x:c r="L126" s="1"/>
      <x:c r="M126" s="1"/>
      <x:c r="N126" s="1"/>
      <x:c r="O126" s="1"/>
      <x:c r="P126" s="1"/>
      <x:c r="Q126" s="1"/>
      <x:c r="R126" s="1"/>
      <x:c r="S126" s="1"/>
      <x:c r="T126" s="1"/>
    </x:row>
    <x:row r="127" ht="18" customHeight="1">
      <x:c r="A127" s="1"/>
      <x:c r="B127" s="1"/>
      <x:c r="C127" s="1"/>
      <x:c r="D127" s="1"/>
      <x:c r="E127" s="1"/>
      <x:c r="F127" s="1"/>
      <x:c r="G127" s="1"/>
      <x:c r="H127" s="1"/>
      <x:c r="I127" s="1"/>
      <x:c r="J127" s="1"/>
      <x:c r="K127" s="1"/>
      <x:c r="L127" s="1"/>
      <x:c r="M127" s="1"/>
      <x:c r="N127" s="1"/>
      <x:c r="O127" s="1"/>
      <x:c r="P127" s="1"/>
      <x:c r="Q127" s="1"/>
      <x:c r="R127" s="1"/>
      <x:c r="S127" s="1"/>
      <x:c r="T127" s="1"/>
    </x:row>
    <x:row r="128" ht="18" customHeight="1">
      <x:c r="A128" s="1"/>
      <x:c r="B128" s="1"/>
      <x:c r="C128" s="1"/>
      <x:c r="D128" s="1"/>
      <x:c r="E128" s="1"/>
      <x:c r="F128" s="1"/>
      <x:c r="G128" s="1"/>
      <x:c r="H128" s="1"/>
      <x:c r="I128" s="1"/>
      <x:c r="J128" s="1"/>
      <x:c r="K128" s="1"/>
      <x:c r="L128" s="1"/>
      <x:c r="M128" s="1"/>
      <x:c r="N128" s="1"/>
      <x:c r="O128" s="1"/>
      <x:c r="P128" s="1"/>
      <x:c r="Q128" s="1"/>
      <x:c r="R128" s="1"/>
      <x:c r="S128" s="1"/>
      <x:c r="T128" s="1"/>
    </x:row>
    <x:row r="129" ht="18" customHeight="1">
      <x:c r="A129" s="1"/>
      <x:c r="B129" s="1"/>
      <x:c r="C129" s="1"/>
      <x:c r="D129" s="1"/>
      <x:c r="E129" s="1"/>
      <x:c r="F129" s="1"/>
      <x:c r="G129" s="1"/>
      <x:c r="H129" s="1"/>
      <x:c r="I129" s="1"/>
      <x:c r="J129" s="1"/>
      <x:c r="K129" s="1"/>
      <x:c r="L129" s="1"/>
      <x:c r="M129" s="1"/>
      <x:c r="N129" s="1"/>
      <x:c r="O129" s="1"/>
      <x:c r="P129" s="1"/>
      <x:c r="Q129" s="1"/>
      <x:c r="R129" s="1"/>
      <x:c r="S129" s="1"/>
      <x:c r="T129" s="1"/>
    </x:row>
    <x:row r="130" ht="18" customHeight="1">
      <x:c r="A130" s="1"/>
      <x:c r="B130" s="1"/>
      <x:c r="C130" s="1"/>
      <x:c r="D130" s="1"/>
      <x:c r="E130" s="1"/>
      <x:c r="F130" s="1"/>
      <x:c r="G130" s="1"/>
      <x:c r="H130" s="1"/>
      <x:c r="I130" s="1"/>
      <x:c r="J130" s="1"/>
      <x:c r="K130" s="1"/>
      <x:c r="L130" s="1"/>
      <x:c r="M130" s="1"/>
      <x:c r="N130" s="1"/>
      <x:c r="O130" s="1"/>
      <x:c r="P130" s="1"/>
      <x:c r="Q130" s="1"/>
      <x:c r="R130" s="1"/>
      <x:c r="S130" s="1"/>
      <x:c r="T130" s="1"/>
    </x:row>
    <x:row r="131" ht="18" customHeight="1">
      <x:c r="A131" s="1"/>
      <x:c r="B131" s="1"/>
      <x:c r="C131" s="1"/>
      <x:c r="D131" s="1"/>
      <x:c r="E131" s="1"/>
      <x:c r="F131" s="1"/>
      <x:c r="G131" s="1"/>
      <x:c r="H131" s="1"/>
      <x:c r="I131" s="1"/>
      <x:c r="J131" s="1"/>
      <x:c r="K131" s="1"/>
      <x:c r="L131" s="1"/>
      <x:c r="M131" s="1"/>
      <x:c r="N131" s="1"/>
      <x:c r="O131" s="1"/>
      <x:c r="P131" s="1"/>
      <x:c r="Q131" s="1"/>
      <x:c r="R131" s="1"/>
      <x:c r="S131" s="1"/>
      <x:c r="T131" s="1"/>
    </x:row>
    <x:row r="132" ht="18" customHeight="1">
      <x:c r="A132" s="1"/>
      <x:c r="B132" s="1"/>
      <x:c r="C132" s="1"/>
      <x:c r="D132" s="1"/>
      <x:c r="E132" s="1"/>
      <x:c r="F132" s="1"/>
      <x:c r="G132" s="1"/>
      <x:c r="H132" s="1"/>
      <x:c r="I132" s="1"/>
      <x:c r="J132" s="1"/>
      <x:c r="K132" s="1"/>
      <x:c r="L132" s="1"/>
      <x:c r="M132" s="1"/>
      <x:c r="N132" s="1"/>
      <x:c r="O132" s="1"/>
      <x:c r="P132" s="1"/>
      <x:c r="Q132" s="1"/>
      <x:c r="R132" s="1"/>
      <x:c r="S132" s="1"/>
      <x:c r="T132" s="1"/>
    </x:row>
    <x:row r="133" ht="18" customHeight="1">
      <x:c r="A133" s="1"/>
      <x:c r="B133" s="1"/>
      <x:c r="C133" s="1"/>
      <x:c r="D133" s="1"/>
      <x:c r="E133" s="1"/>
      <x:c r="F133" s="1"/>
      <x:c r="G133" s="1"/>
      <x:c r="H133" s="1"/>
      <x:c r="I133" s="1"/>
      <x:c r="J133" s="1"/>
      <x:c r="K133" s="1"/>
      <x:c r="L133" s="1"/>
      <x:c r="M133" s="1"/>
      <x:c r="N133" s="1"/>
      <x:c r="O133" s="1"/>
      <x:c r="P133" s="1"/>
      <x:c r="Q133" s="1"/>
      <x:c r="R133" s="1"/>
      <x:c r="S133" s="1"/>
      <x:c r="T133" s="1"/>
    </x:row>
    <x:row r="134" ht="18" customHeight="1">
      <x:c r="A134" s="1"/>
      <x:c r="B134" s="1"/>
      <x:c r="C134" s="1"/>
      <x:c r="D134" s="1"/>
      <x:c r="E134" s="1"/>
      <x:c r="F134" s="1"/>
      <x:c r="G134" s="1"/>
      <x:c r="H134" s="1"/>
      <x:c r="I134" s="1"/>
      <x:c r="J134" s="1"/>
      <x:c r="K134" s="1"/>
      <x:c r="L134" s="1"/>
      <x:c r="M134" s="1"/>
      <x:c r="N134" s="1"/>
      <x:c r="O134" s="1"/>
      <x:c r="P134" s="1"/>
      <x:c r="Q134" s="1"/>
      <x:c r="R134" s="1"/>
      <x:c r="S134" s="1"/>
      <x:c r="T134" s="1"/>
    </x:row>
    <x:row r="135" ht="18" customHeight="1">
      <x:c r="A135" s="1"/>
      <x:c r="B135" s="1"/>
      <x:c r="C135" s="1"/>
      <x:c r="D135" s="1"/>
      <x:c r="E135" s="1"/>
      <x:c r="F135" s="1"/>
      <x:c r="G135" s="1"/>
      <x:c r="H135" s="1"/>
      <x:c r="I135" s="1"/>
      <x:c r="J135" s="1"/>
      <x:c r="K135" s="1"/>
      <x:c r="L135" s="1"/>
      <x:c r="M135" s="1"/>
      <x:c r="N135" s="1"/>
      <x:c r="O135" s="1"/>
      <x:c r="P135" s="1"/>
      <x:c r="Q135" s="1"/>
      <x:c r="R135" s="1"/>
      <x:c r="S135" s="1"/>
      <x:c r="T135" s="1"/>
    </x:row>
    <x:row r="136" ht="18" customHeight="1">
      <x:c r="A136" s="1"/>
      <x:c r="B136" s="1"/>
      <x:c r="C136" s="1"/>
      <x:c r="D136" s="1"/>
      <x:c r="E136" s="1"/>
      <x:c r="F136" s="1"/>
      <x:c r="G136" s="1"/>
      <x:c r="H136" s="1"/>
      <x:c r="I136" s="1"/>
      <x:c r="J136" s="1"/>
      <x:c r="K136" s="1"/>
      <x:c r="L136" s="1"/>
      <x:c r="M136" s="1"/>
      <x:c r="N136" s="1"/>
      <x:c r="O136" s="1"/>
      <x:c r="P136" s="1"/>
      <x:c r="Q136" s="1"/>
      <x:c r="R136" s="1"/>
      <x:c r="S136" s="1"/>
      <x:c r="T136" s="1"/>
    </x:row>
    <x:row r="137" ht="18" customHeight="1">
      <x:c r="A137" s="1"/>
      <x:c r="B137" s="1"/>
      <x:c r="C137" s="1"/>
      <x:c r="D137" s="1"/>
      <x:c r="E137" s="1"/>
      <x:c r="F137" s="1"/>
      <x:c r="G137" s="1"/>
      <x:c r="H137" s="1"/>
      <x:c r="I137" s="1"/>
      <x:c r="J137" s="1"/>
      <x:c r="K137" s="1"/>
      <x:c r="L137" s="1"/>
      <x:c r="M137" s="1"/>
      <x:c r="N137" s="1"/>
      <x:c r="O137" s="1"/>
      <x:c r="P137" s="1"/>
      <x:c r="Q137" s="1"/>
      <x:c r="R137" s="1"/>
      <x:c r="S137" s="1"/>
      <x:c r="T137" s="1"/>
    </x:row>
    <x:row r="138" ht="18" customHeight="1">
      <x:c r="A138" s="1"/>
      <x:c r="B138" s="1"/>
      <x:c r="C138" s="1"/>
      <x:c r="D138" s="1"/>
      <x:c r="E138" s="1"/>
      <x:c r="F138" s="1"/>
      <x:c r="G138" s="1"/>
      <x:c r="H138" s="1"/>
      <x:c r="I138" s="1"/>
      <x:c r="J138" s="1"/>
      <x:c r="K138" s="1"/>
      <x:c r="L138" s="1"/>
      <x:c r="M138" s="1"/>
      <x:c r="N138" s="1"/>
      <x:c r="O138" s="1"/>
      <x:c r="P138" s="1"/>
      <x:c r="Q138" s="1"/>
      <x:c r="R138" s="1"/>
      <x:c r="S138" s="1"/>
      <x:c r="T138" s="1"/>
    </x:row>
    <x:row r="139" ht="18" customHeight="1">
      <x:c r="A139" s="1"/>
      <x:c r="B139" s="1"/>
      <x:c r="C139" s="1"/>
      <x:c r="D139" s="1"/>
      <x:c r="E139" s="1"/>
      <x:c r="F139" s="1"/>
      <x:c r="G139" s="1"/>
      <x:c r="H139" s="1"/>
      <x:c r="I139" s="1"/>
      <x:c r="J139" s="1"/>
      <x:c r="K139" s="1"/>
      <x:c r="L139" s="1"/>
      <x:c r="M139" s="1"/>
      <x:c r="N139" s="1"/>
      <x:c r="O139" s="1"/>
      <x:c r="P139" s="1"/>
      <x:c r="Q139" s="1"/>
      <x:c r="R139" s="1"/>
      <x:c r="S139" s="1"/>
      <x:c r="T139" s="1"/>
    </x:row>
    <x:row r="140" ht="18" customHeight="1">
      <x:c r="A140" s="1"/>
      <x:c r="B140" s="1"/>
      <x:c r="C140" s="1"/>
      <x:c r="D140" s="1"/>
      <x:c r="E140" s="1"/>
      <x:c r="F140" s="1"/>
      <x:c r="G140" s="1"/>
      <x:c r="H140" s="1"/>
      <x:c r="I140" s="1"/>
      <x:c r="J140" s="1"/>
      <x:c r="K140" s="1"/>
      <x:c r="L140" s="1"/>
      <x:c r="M140" s="1"/>
      <x:c r="N140" s="1"/>
      <x:c r="O140" s="1"/>
      <x:c r="P140" s="1"/>
      <x:c r="Q140" s="1"/>
      <x:c r="R140" s="1"/>
      <x:c r="S140" s="1"/>
      <x:c r="T140" s="1"/>
    </x:row>
    <x:row r="141" ht="18" customHeight="1">
      <x:c r="A141" s="1"/>
      <x:c r="B141" s="1"/>
      <x:c r="C141" s="1"/>
      <x:c r="D141" s="1"/>
      <x:c r="E141" s="1"/>
      <x:c r="F141" s="1"/>
      <x:c r="G141" s="1"/>
      <x:c r="H141" s="1"/>
      <x:c r="I141" s="1"/>
      <x:c r="J141" s="1"/>
      <x:c r="K141" s="1"/>
      <x:c r="L141" s="1"/>
      <x:c r="M141" s="1"/>
      <x:c r="N141" s="1"/>
      <x:c r="O141" s="1"/>
      <x:c r="P141" s="1"/>
      <x:c r="Q141" s="1"/>
      <x:c r="R141" s="1"/>
      <x:c r="S141" s="1"/>
      <x:c r="T141" s="1"/>
    </x:row>
    <x:row r="142" ht="18" customHeight="1">
      <x:c r="A142" s="1"/>
      <x:c r="B142" s="1"/>
      <x:c r="C142" s="1"/>
      <x:c r="D142" s="1"/>
      <x:c r="E142" s="1"/>
      <x:c r="F142" s="1"/>
      <x:c r="G142" s="1"/>
      <x:c r="H142" s="1"/>
      <x:c r="I142" s="1"/>
      <x:c r="J142" s="1"/>
      <x:c r="K142" s="1"/>
      <x:c r="L142" s="1"/>
      <x:c r="M142" s="1"/>
      <x:c r="N142" s="1"/>
      <x:c r="O142" s="1"/>
      <x:c r="P142" s="1"/>
      <x:c r="Q142" s="1"/>
      <x:c r="R142" s="1"/>
      <x:c r="S142" s="1"/>
      <x:c r="T142" s="1"/>
    </x:row>
    <x:row r="143" ht="18" customHeight="1">
      <x:c r="A143" s="1"/>
      <x:c r="B143" s="1"/>
      <x:c r="C143" s="1"/>
      <x:c r="D143" s="1"/>
      <x:c r="E143" s="1"/>
      <x:c r="F143" s="1"/>
      <x:c r="G143" s="1"/>
      <x:c r="H143" s="1"/>
      <x:c r="I143" s="1"/>
      <x:c r="J143" s="1"/>
      <x:c r="K143" s="1"/>
      <x:c r="L143" s="1"/>
      <x:c r="M143" s="1"/>
      <x:c r="N143" s="1"/>
      <x:c r="O143" s="1"/>
      <x:c r="P143" s="1"/>
      <x:c r="Q143" s="1"/>
      <x:c r="R143" s="1"/>
      <x:c r="S143" s="1"/>
      <x:c r="T143" s="1"/>
    </x:row>
    <x:row r="144" ht="18" customHeight="1">
      <x:c r="A144" s="1"/>
      <x:c r="B144" s="1"/>
      <x:c r="C144" s="1"/>
      <x:c r="D144" s="1"/>
      <x:c r="E144" s="1"/>
      <x:c r="F144" s="1"/>
      <x:c r="G144" s="1"/>
      <x:c r="H144" s="1"/>
      <x:c r="I144" s="1"/>
      <x:c r="J144" s="1"/>
      <x:c r="K144" s="1"/>
      <x:c r="L144" s="1"/>
      <x:c r="M144" s="1"/>
      <x:c r="N144" s="1"/>
      <x:c r="O144" s="1"/>
      <x:c r="P144" s="1"/>
      <x:c r="Q144" s="1"/>
      <x:c r="R144" s="1"/>
      <x:c r="S144" s="1"/>
      <x:c r="T144" s="1"/>
    </x:row>
    <x:row r="145" ht="18" customHeight="1">
      <x:c r="A145" s="1"/>
      <x:c r="B145" s="1"/>
      <x:c r="C145" s="1"/>
      <x:c r="D145" s="1"/>
      <x:c r="E145" s="1"/>
      <x:c r="F145" s="1"/>
      <x:c r="G145" s="1"/>
      <x:c r="H145" s="1"/>
      <x:c r="I145" s="1"/>
      <x:c r="J145" s="1"/>
      <x:c r="K145" s="1"/>
      <x:c r="L145" s="1"/>
      <x:c r="M145" s="1"/>
      <x:c r="N145" s="1"/>
      <x:c r="O145" s="1"/>
      <x:c r="P145" s="1"/>
      <x:c r="Q145" s="1"/>
      <x:c r="R145" s="1"/>
      <x:c r="S145" s="1"/>
      <x:c r="T145" s="1"/>
    </x:row>
    <x:row r="146" ht="18" customHeight="1">
      <x:c r="A146" s="1"/>
      <x:c r="B146" s="1"/>
      <x:c r="C146" s="1"/>
      <x:c r="D146" s="1"/>
      <x:c r="E146" s="1"/>
      <x:c r="F146" s="1"/>
      <x:c r="G146" s="1"/>
      <x:c r="H146" s="1"/>
      <x:c r="I146" s="1"/>
      <x:c r="J146" s="1"/>
      <x:c r="K146" s="1"/>
      <x:c r="L146" s="1"/>
      <x:c r="M146" s="1"/>
      <x:c r="N146" s="1"/>
      <x:c r="O146" s="1"/>
      <x:c r="P146" s="1"/>
      <x:c r="Q146" s="1"/>
      <x:c r="R146" s="1"/>
      <x:c r="S146" s="1"/>
      <x:c r="T146" s="1"/>
    </x:row>
    <x:row r="147" ht="18" customHeight="1">
      <x:c r="A147" s="1"/>
      <x:c r="B147" s="1"/>
      <x:c r="C147" s="1"/>
      <x:c r="D147" s="1"/>
      <x:c r="E147" s="1"/>
      <x:c r="F147" s="1"/>
      <x:c r="G147" s="1"/>
      <x:c r="H147" s="1"/>
      <x:c r="I147" s="1"/>
      <x:c r="J147" s="1"/>
      <x:c r="K147" s="1"/>
      <x:c r="L147" s="1"/>
      <x:c r="M147" s="1"/>
      <x:c r="N147" s="1"/>
      <x:c r="O147" s="1"/>
      <x:c r="P147" s="1"/>
      <x:c r="Q147" s="1"/>
      <x:c r="R147" s="1"/>
      <x:c r="S147" s="1"/>
      <x:c r="T147" s="1"/>
    </x:row>
    <x:row r="148" ht="18" customHeight="1">
      <x:c r="A148" s="1"/>
      <x:c r="B148" s="1"/>
      <x:c r="C148" s="1"/>
      <x:c r="D148" s="1"/>
      <x:c r="E148" s="1"/>
      <x:c r="F148" s="1"/>
      <x:c r="G148" s="1"/>
      <x:c r="H148" s="1"/>
      <x:c r="I148" s="1"/>
      <x:c r="J148" s="1"/>
      <x:c r="K148" s="1"/>
      <x:c r="L148" s="1"/>
      <x:c r="M148" s="1"/>
      <x:c r="N148" s="1"/>
      <x:c r="O148" s="1"/>
      <x:c r="P148" s="1"/>
      <x:c r="Q148" s="1"/>
      <x:c r="R148" s="1"/>
      <x:c r="S148" s="1"/>
      <x:c r="T148" s="1"/>
    </x:row>
    <x:row r="149" ht="18" customHeight="1">
      <x:c r="A149" s="1"/>
      <x:c r="B149" s="1"/>
      <x:c r="C149" s="1"/>
      <x:c r="D149" s="1"/>
      <x:c r="E149" s="1"/>
      <x:c r="F149" s="1"/>
      <x:c r="G149" s="1"/>
      <x:c r="H149" s="1"/>
      <x:c r="I149" s="1"/>
      <x:c r="J149" s="1"/>
      <x:c r="K149" s="1"/>
      <x:c r="L149" s="1"/>
      <x:c r="M149" s="1"/>
      <x:c r="N149" s="1"/>
      <x:c r="O149" s="1"/>
      <x:c r="P149" s="1"/>
      <x:c r="Q149" s="1"/>
      <x:c r="R149" s="1"/>
      <x:c r="S149" s="1"/>
      <x:c r="T149" s="1"/>
    </x:row>
    <x:row r="150" ht="18" customHeight="1">
      <x:c r="A150" s="1"/>
      <x:c r="B150" s="1"/>
      <x:c r="C150" s="1"/>
      <x:c r="D150" s="1"/>
      <x:c r="E150" s="1"/>
      <x:c r="F150" s="1"/>
      <x:c r="G150" s="1"/>
      <x:c r="H150" s="1"/>
      <x:c r="I150" s="1"/>
      <x:c r="J150" s="1"/>
      <x:c r="K150" s="1"/>
      <x:c r="L150" s="1"/>
      <x:c r="M150" s="1"/>
      <x:c r="N150" s="1"/>
      <x:c r="O150" s="1"/>
      <x:c r="P150" s="1"/>
      <x:c r="Q150" s="1"/>
      <x:c r="R150" s="1"/>
      <x:c r="S150" s="1"/>
      <x:c r="T150" s="1"/>
    </x:row>
    <x:row r="151" ht="18" customHeight="1">
      <x:c r="A151" s="1"/>
      <x:c r="B151" s="1"/>
      <x:c r="C151" s="1"/>
      <x:c r="D151" s="1"/>
      <x:c r="E151" s="1"/>
      <x:c r="F151" s="1"/>
      <x:c r="G151" s="1"/>
      <x:c r="H151" s="1"/>
      <x:c r="I151" s="1"/>
      <x:c r="J151" s="1"/>
      <x:c r="K151" s="1"/>
      <x:c r="L151" s="1"/>
      <x:c r="M151" s="1"/>
      <x:c r="N151" s="1"/>
      <x:c r="O151" s="1"/>
      <x:c r="P151" s="1"/>
      <x:c r="Q151" s="1"/>
      <x:c r="R151" s="1"/>
      <x:c r="S151" s="1"/>
      <x:c r="T151" s="1"/>
    </x:row>
    <x:row r="152" ht="18" customHeight="1">
      <x:c r="A152" s="1"/>
      <x:c r="B152" s="1"/>
      <x:c r="C152" s="1"/>
      <x:c r="D152" s="1"/>
      <x:c r="E152" s="1"/>
      <x:c r="F152" s="1"/>
      <x:c r="G152" s="1"/>
      <x:c r="H152" s="1"/>
      <x:c r="I152" s="1"/>
      <x:c r="J152" s="1"/>
      <x:c r="K152" s="1"/>
      <x:c r="L152" s="1"/>
      <x:c r="M152" s="1"/>
      <x:c r="N152" s="1"/>
      <x:c r="O152" s="1"/>
      <x:c r="P152" s="1"/>
      <x:c r="Q152" s="1"/>
      <x:c r="R152" s="1"/>
      <x:c r="S152" s="1"/>
      <x:c r="T152" s="1"/>
    </x:row>
    <x:row r="153" ht="18" customHeight="1">
      <x:c r="A153" s="1"/>
      <x:c r="B153" s="1"/>
      <x:c r="C153" s="1"/>
      <x:c r="D153" s="1"/>
      <x:c r="E153" s="1"/>
      <x:c r="F153" s="1"/>
      <x:c r="G153" s="1"/>
      <x:c r="H153" s="1"/>
      <x:c r="I153" s="1"/>
      <x:c r="J153" s="1"/>
      <x:c r="K153" s="1"/>
      <x:c r="L153" s="1"/>
      <x:c r="M153" s="1"/>
      <x:c r="N153" s="1"/>
      <x:c r="O153" s="1"/>
      <x:c r="P153" s="1"/>
      <x:c r="Q153" s="1"/>
      <x:c r="R153" s="1"/>
      <x:c r="S153" s="1"/>
      <x:c r="T153" s="1"/>
    </x:row>
    <x:row r="154" ht="18" customHeight="1">
      <x:c r="A154" s="1"/>
      <x:c r="B154" s="1"/>
      <x:c r="C154" s="1"/>
      <x:c r="D154" s="1"/>
      <x:c r="E154" s="1"/>
      <x:c r="F154" s="1"/>
      <x:c r="G154" s="1"/>
      <x:c r="H154" s="1"/>
      <x:c r="I154" s="1"/>
      <x:c r="J154" s="1"/>
      <x:c r="K154" s="1"/>
      <x:c r="L154" s="1"/>
      <x:c r="M154" s="1"/>
      <x:c r="N154" s="1"/>
      <x:c r="O154" s="1"/>
      <x:c r="P154" s="1"/>
      <x:c r="Q154" s="1"/>
      <x:c r="R154" s="1"/>
      <x:c r="S154" s="1"/>
      <x:c r="T154" s="1"/>
    </x:row>
    <x:row r="155" ht="18" customHeight="1">
      <x:c r="A155" s="1"/>
      <x:c r="B155" s="1"/>
      <x:c r="C155" s="1"/>
      <x:c r="D155" s="1"/>
      <x:c r="E155" s="1"/>
      <x:c r="F155" s="1"/>
      <x:c r="G155" s="1"/>
      <x:c r="H155" s="1"/>
      <x:c r="I155" s="1"/>
      <x:c r="J155" s="1"/>
      <x:c r="K155" s="1"/>
      <x:c r="L155" s="1"/>
      <x:c r="M155" s="1"/>
      <x:c r="N155" s="1"/>
      <x:c r="O155" s="1"/>
      <x:c r="P155" s="1"/>
      <x:c r="Q155" s="1"/>
      <x:c r="R155" s="1"/>
      <x:c r="S155" s="1"/>
      <x:c r="T155" s="1"/>
    </x:row>
    <x:row r="156" ht="18" customHeight="1">
      <x:c r="A156" s="1"/>
      <x:c r="B156" s="1"/>
      <x:c r="C156" s="1"/>
      <x:c r="D156" s="1"/>
      <x:c r="E156" s="1"/>
      <x:c r="F156" s="1"/>
      <x:c r="G156" s="1"/>
      <x:c r="H156" s="1"/>
      <x:c r="I156" s="1"/>
      <x:c r="J156" s="1"/>
      <x:c r="K156" s="1"/>
      <x:c r="L156" s="1"/>
      <x:c r="M156" s="1"/>
      <x:c r="N156" s="1"/>
      <x:c r="O156" s="1"/>
      <x:c r="P156" s="1"/>
      <x:c r="Q156" s="1"/>
      <x:c r="R156" s="1"/>
      <x:c r="S156" s="1"/>
      <x:c r="T156" s="1"/>
    </x:row>
    <x:row r="157" ht="18" customHeight="1">
      <x:c r="A157" s="1"/>
      <x:c r="B157" s="1"/>
      <x:c r="C157" s="1"/>
      <x:c r="D157" s="1"/>
      <x:c r="E157" s="1"/>
      <x:c r="F157" s="1"/>
      <x:c r="G157" s="1"/>
      <x:c r="H157" s="1"/>
      <x:c r="I157" s="1"/>
      <x:c r="J157" s="1"/>
      <x:c r="K157" s="1"/>
      <x:c r="L157" s="1"/>
      <x:c r="M157" s="1"/>
      <x:c r="N157" s="1"/>
      <x:c r="O157" s="1"/>
      <x:c r="P157" s="1"/>
      <x:c r="Q157" s="1"/>
      <x:c r="R157" s="1"/>
      <x:c r="S157" s="1"/>
      <x:c r="T157" s="1"/>
    </x:row>
    <x:row r="158" ht="18" customHeight="1">
      <x:c r="A158" s="1"/>
      <x:c r="B158" s="1"/>
      <x:c r="C158" s="1"/>
      <x:c r="D158" s="1"/>
      <x:c r="E158" s="1"/>
      <x:c r="F158" s="1"/>
      <x:c r="G158" s="1"/>
      <x:c r="H158" s="1"/>
      <x:c r="I158" s="1"/>
      <x:c r="J158" s="1"/>
      <x:c r="K158" s="1"/>
      <x:c r="L158" s="1"/>
      <x:c r="M158" s="1"/>
      <x:c r="N158" s="1"/>
      <x:c r="O158" s="1"/>
      <x:c r="P158" s="1"/>
      <x:c r="Q158" s="1"/>
      <x:c r="R158" s="1"/>
      <x:c r="S158" s="1"/>
      <x:c r="T158" s="1"/>
    </x:row>
    <x:row r="159" ht="18" customHeight="1">
      <x:c r="A159" s="1"/>
      <x:c r="B159" s="1"/>
      <x:c r="C159" s="1"/>
      <x:c r="D159" s="1"/>
      <x:c r="E159" s="1"/>
      <x:c r="F159" s="1"/>
      <x:c r="G159" s="1"/>
      <x:c r="H159" s="1"/>
      <x:c r="I159" s="1"/>
      <x:c r="J159" s="1"/>
      <x:c r="K159" s="1"/>
      <x:c r="L159" s="1"/>
      <x:c r="M159" s="1"/>
      <x:c r="N159" s="1"/>
      <x:c r="O159" s="1"/>
      <x:c r="P159" s="1"/>
      <x:c r="Q159" s="1"/>
      <x:c r="R159" s="1"/>
      <x:c r="S159" s="1"/>
      <x:c r="T159" s="1"/>
    </x:row>
    <x:row r="160" ht="18" customHeight="1">
      <x:c r="A160" s="1"/>
      <x:c r="B160" s="1"/>
      <x:c r="C160" s="1"/>
      <x:c r="D160" s="1"/>
      <x:c r="E160" s="1"/>
      <x:c r="F160" s="1"/>
      <x:c r="G160" s="1"/>
      <x:c r="H160" s="1"/>
      <x:c r="I160" s="1"/>
      <x:c r="J160" s="1"/>
      <x:c r="K160" s="1"/>
      <x:c r="L160" s="1"/>
      <x:c r="M160" s="1"/>
      <x:c r="N160" s="1"/>
      <x:c r="O160" s="1"/>
      <x:c r="P160" s="1"/>
      <x:c r="Q160" s="1"/>
      <x:c r="R160" s="1"/>
      <x:c r="S160" s="1"/>
      <x:c r="T160" s="1"/>
    </x:row>
    <x:row r="161" ht="18" customHeight="1">
      <x:c r="A161" s="1"/>
      <x:c r="B161" s="1"/>
      <x:c r="C161" s="1"/>
      <x:c r="D161" s="1"/>
      <x:c r="E161" s="1"/>
      <x:c r="F161" s="1"/>
      <x:c r="G161" s="1"/>
      <x:c r="H161" s="1"/>
      <x:c r="I161" s="1"/>
      <x:c r="J161" s="1"/>
      <x:c r="K161" s="1"/>
      <x:c r="L161" s="1"/>
      <x:c r="M161" s="1"/>
      <x:c r="N161" s="1"/>
      <x:c r="O161" s="1"/>
      <x:c r="P161" s="1"/>
      <x:c r="Q161" s="1"/>
      <x:c r="R161" s="1"/>
      <x:c r="S161" s="1"/>
      <x:c r="T161" s="1"/>
    </x:row>
    <x:row r="162" ht="18" customHeight="1">
      <x:c r="A162" s="1"/>
      <x:c r="B162" s="1"/>
      <x:c r="C162" s="1"/>
      <x:c r="D162" s="1"/>
      <x:c r="E162" s="1"/>
      <x:c r="F162" s="1"/>
      <x:c r="G162" s="1"/>
      <x:c r="H162" s="1"/>
      <x:c r="I162" s="1"/>
      <x:c r="J162" s="1"/>
      <x:c r="K162" s="1"/>
      <x:c r="L162" s="1"/>
      <x:c r="M162" s="1"/>
      <x:c r="N162" s="1"/>
      <x:c r="O162" s="1"/>
      <x:c r="P162" s="1"/>
      <x:c r="Q162" s="1"/>
      <x:c r="R162" s="1"/>
      <x:c r="S162" s="1"/>
      <x:c r="T162" s="1"/>
    </x:row>
    <x:row r="163" ht="18" customHeight="1">
      <x:c r="A163" s="1"/>
      <x:c r="B163" s="1"/>
      <x:c r="C163" s="1"/>
      <x:c r="D163" s="1"/>
      <x:c r="E163" s="1"/>
      <x:c r="F163" s="1"/>
      <x:c r="G163" s="1"/>
      <x:c r="H163" s="1"/>
      <x:c r="I163" s="1"/>
      <x:c r="J163" s="1"/>
      <x:c r="K163" s="1"/>
      <x:c r="L163" s="1"/>
      <x:c r="M163" s="1"/>
      <x:c r="N163" s="1"/>
      <x:c r="O163" s="1"/>
      <x:c r="P163" s="1"/>
      <x:c r="Q163" s="1"/>
      <x:c r="R163" s="1"/>
      <x:c r="S163" s="1"/>
      <x:c r="T163" s="1"/>
    </x:row>
    <x:row r="164" ht="18" customHeight="1">
      <x:c r="A164" s="1"/>
      <x:c r="B164" s="1"/>
      <x:c r="C164" s="1"/>
      <x:c r="D164" s="1"/>
      <x:c r="E164" s="1"/>
      <x:c r="F164" s="1"/>
      <x:c r="G164" s="1"/>
      <x:c r="H164" s="1"/>
      <x:c r="I164" s="1"/>
      <x:c r="J164" s="1"/>
      <x:c r="K164" s="1"/>
      <x:c r="L164" s="1"/>
      <x:c r="M164" s="1"/>
      <x:c r="N164" s="1"/>
      <x:c r="O164" s="1"/>
      <x:c r="P164" s="1"/>
      <x:c r="Q164" s="1"/>
      <x:c r="R164" s="1"/>
      <x:c r="S164" s="1"/>
      <x:c r="T164" s="1"/>
    </x:row>
    <x:row r="165" ht="18" customHeight="1">
      <x:c r="A165" s="1"/>
      <x:c r="B165" s="1"/>
      <x:c r="C165" s="1"/>
      <x:c r="D165" s="1"/>
      <x:c r="E165" s="1"/>
      <x:c r="F165" s="1"/>
      <x:c r="G165" s="1"/>
      <x:c r="H165" s="1"/>
      <x:c r="I165" s="1"/>
      <x:c r="J165" s="1"/>
      <x:c r="K165" s="1"/>
      <x:c r="L165" s="1"/>
      <x:c r="M165" s="1"/>
      <x:c r="N165" s="1"/>
      <x:c r="O165" s="1"/>
      <x:c r="P165" s="1"/>
      <x:c r="Q165" s="1"/>
      <x:c r="R165" s="1"/>
      <x:c r="S165" s="1"/>
      <x:c r="T165" s="1"/>
    </x:row>
    <x:row r="166" ht="18" customHeight="1">
      <x:c r="A166" s="1"/>
      <x:c r="B166" s="1"/>
      <x:c r="C166" s="1"/>
      <x:c r="D166" s="1"/>
      <x:c r="E166" s="1"/>
      <x:c r="F166" s="1"/>
      <x:c r="G166" s="1"/>
      <x:c r="H166" s="1"/>
      <x:c r="I166" s="1"/>
      <x:c r="J166" s="1"/>
      <x:c r="K166" s="1"/>
      <x:c r="L166" s="1"/>
      <x:c r="M166" s="1"/>
      <x:c r="N166" s="1"/>
      <x:c r="O166" s="1"/>
      <x:c r="P166" s="1"/>
      <x:c r="Q166" s="1"/>
      <x:c r="R166" s="1"/>
      <x:c r="S166" s="1"/>
      <x:c r="T166" s="1"/>
    </x:row>
    <x:row r="167" ht="18" customHeight="1">
      <x:c r="A167" s="1"/>
      <x:c r="B167" s="1"/>
      <x:c r="C167" s="1"/>
      <x:c r="D167" s="1"/>
      <x:c r="E167" s="1"/>
      <x:c r="F167" s="1"/>
      <x:c r="G167" s="1"/>
      <x:c r="H167" s="1"/>
      <x:c r="I167" s="1"/>
      <x:c r="J167" s="1"/>
      <x:c r="K167" s="1"/>
      <x:c r="L167" s="1"/>
      <x:c r="M167" s="1"/>
      <x:c r="N167" s="1"/>
      <x:c r="O167" s="1"/>
      <x:c r="P167" s="1"/>
      <x:c r="Q167" s="1"/>
      <x:c r="R167" s="1"/>
      <x:c r="S167" s="1"/>
      <x:c r="T167" s="1"/>
    </x:row>
    <x:row r="168" ht="18" customHeight="1">
      <x:c r="A168" s="1"/>
      <x:c r="B168" s="1"/>
      <x:c r="C168" s="1"/>
      <x:c r="D168" s="1"/>
      <x:c r="E168" s="1"/>
      <x:c r="F168" s="1"/>
      <x:c r="G168" s="1"/>
      <x:c r="H168" s="1"/>
      <x:c r="I168" s="1"/>
      <x:c r="J168" s="1"/>
      <x:c r="K168" s="1"/>
      <x:c r="L168" s="1"/>
      <x:c r="M168" s="1"/>
      <x:c r="N168" s="1"/>
      <x:c r="O168" s="1"/>
      <x:c r="P168" s="1"/>
      <x:c r="Q168" s="1"/>
      <x:c r="R168" s="1"/>
      <x:c r="S168" s="1"/>
      <x:c r="T168" s="1"/>
    </x:row>
    <x:row r="169" ht="18" customHeight="1">
      <x:c r="A169" s="1"/>
      <x:c r="B169" s="1"/>
      <x:c r="C169" s="1"/>
      <x:c r="D169" s="1"/>
      <x:c r="E169" s="1"/>
      <x:c r="F169" s="1"/>
      <x:c r="G169" s="1"/>
      <x:c r="H169" s="1"/>
      <x:c r="I169" s="1"/>
      <x:c r="J169" s="1"/>
      <x:c r="K169" s="1"/>
      <x:c r="L169" s="1"/>
      <x:c r="M169" s="1"/>
      <x:c r="N169" s="1"/>
      <x:c r="O169" s="1"/>
      <x:c r="P169" s="1"/>
      <x:c r="Q169" s="1"/>
      <x:c r="R169" s="1"/>
      <x:c r="S169" s="1"/>
      <x:c r="T169" s="1"/>
    </x:row>
    <x:row r="170" ht="18" customHeight="1">
      <x:c r="A170" s="1"/>
      <x:c r="B170" s="1"/>
      <x:c r="C170" s="1"/>
      <x:c r="D170" s="1"/>
      <x:c r="E170" s="1"/>
      <x:c r="F170" s="1"/>
      <x:c r="G170" s="1"/>
      <x:c r="H170" s="1"/>
      <x:c r="I170" s="1"/>
      <x:c r="J170" s="1"/>
      <x:c r="K170" s="1"/>
      <x:c r="L170" s="1"/>
      <x:c r="M170" s="1"/>
      <x:c r="N170" s="1"/>
      <x:c r="O170" s="1"/>
      <x:c r="P170" s="1"/>
      <x:c r="Q170" s="1"/>
      <x:c r="R170" s="1"/>
      <x:c r="S170" s="1"/>
      <x:c r="T170" s="1"/>
    </x:row>
    <x:row r="171" ht="18" customHeight="1">
      <x:c r="A171" s="1"/>
      <x:c r="B171" s="1"/>
      <x:c r="C171" s="1"/>
      <x:c r="D171" s="1"/>
      <x:c r="E171" s="1"/>
      <x:c r="F171" s="1"/>
      <x:c r="G171" s="1"/>
      <x:c r="H171" s="1"/>
      <x:c r="I171" s="1"/>
      <x:c r="J171" s="1"/>
      <x:c r="K171" s="1"/>
      <x:c r="L171" s="1"/>
      <x:c r="M171" s="1"/>
      <x:c r="N171" s="1"/>
      <x:c r="O171" s="1"/>
      <x:c r="P171" s="1"/>
      <x:c r="Q171" s="1"/>
      <x:c r="R171" s="1"/>
      <x:c r="S171" s="1"/>
      <x:c r="T171" s="1"/>
    </x:row>
    <x:row r="172" ht="18" customHeight="1">
      <x:c r="A172" s="1"/>
      <x:c r="B172" s="1"/>
      <x:c r="C172" s="1"/>
      <x:c r="D172" s="1"/>
      <x:c r="E172" s="1"/>
      <x:c r="F172" s="1"/>
      <x:c r="G172" s="1"/>
      <x:c r="H172" s="1"/>
      <x:c r="I172" s="1"/>
      <x:c r="J172" s="1"/>
      <x:c r="K172" s="1"/>
      <x:c r="L172" s="1"/>
      <x:c r="M172" s="1"/>
      <x:c r="N172" s="1"/>
      <x:c r="O172" s="1"/>
      <x:c r="P172" s="1"/>
      <x:c r="Q172" s="1"/>
      <x:c r="R172" s="1"/>
      <x:c r="S172" s="1"/>
      <x:c r="T172" s="1"/>
    </x:row>
    <x:row r="173" ht="18" customHeight="1">
      <x:c r="A173" s="1"/>
      <x:c r="B173" s="1"/>
      <x:c r="C173" s="1"/>
      <x:c r="D173" s="1"/>
      <x:c r="E173" s="1"/>
      <x:c r="F173" s="1"/>
      <x:c r="G173" s="1"/>
      <x:c r="H173" s="1"/>
      <x:c r="I173" s="1"/>
      <x:c r="J173" s="1"/>
      <x:c r="K173" s="1"/>
      <x:c r="L173" s="1"/>
      <x:c r="M173" s="1"/>
      <x:c r="N173" s="1"/>
      <x:c r="O173" s="1"/>
      <x:c r="P173" s="1"/>
      <x:c r="Q173" s="1"/>
      <x:c r="R173" s="1"/>
      <x:c r="S173" s="1"/>
      <x:c r="T173" s="1"/>
    </x:row>
    <x:row r="174" ht="18" customHeight="1">
      <x:c r="A174" s="1"/>
      <x:c r="B174" s="1"/>
      <x:c r="C174" s="1"/>
      <x:c r="D174" s="1"/>
      <x:c r="E174" s="1"/>
      <x:c r="F174" s="1"/>
      <x:c r="G174" s="1"/>
      <x:c r="H174" s="1"/>
      <x:c r="I174" s="1"/>
      <x:c r="J174" s="1"/>
      <x:c r="K174" s="1"/>
      <x:c r="L174" s="1"/>
      <x:c r="M174" s="1"/>
      <x:c r="N174" s="1"/>
      <x:c r="O174" s="1"/>
      <x:c r="P174" s="1"/>
      <x:c r="Q174" s="1"/>
      <x:c r="R174" s="1"/>
      <x:c r="S174" s="1"/>
      <x:c r="T174" s="1"/>
    </x:row>
    <x:row r="175" ht="18" customHeight="1">
      <x:c r="A175" s="1"/>
      <x:c r="B175" s="1"/>
      <x:c r="C175" s="1"/>
      <x:c r="D175" s="1"/>
      <x:c r="E175" s="1"/>
      <x:c r="F175" s="1"/>
      <x:c r="G175" s="1"/>
      <x:c r="H175" s="1"/>
      <x:c r="I175" s="1"/>
      <x:c r="J175" s="1"/>
      <x:c r="K175" s="1"/>
      <x:c r="L175" s="1"/>
      <x:c r="M175" s="1"/>
      <x:c r="N175" s="1"/>
      <x:c r="O175" s="1"/>
      <x:c r="P175" s="1"/>
      <x:c r="Q175" s="1"/>
      <x:c r="R175" s="1"/>
      <x:c r="S175" s="1"/>
      <x:c r="T175" s="1"/>
    </x:row>
    <x:row r="176" ht="18" customHeight="1">
      <x:c r="A176" s="1"/>
      <x:c r="B176" s="1"/>
      <x:c r="C176" s="1"/>
      <x:c r="D176" s="1"/>
      <x:c r="E176" s="1"/>
      <x:c r="F176" s="1"/>
      <x:c r="G176" s="1"/>
      <x:c r="H176" s="1"/>
      <x:c r="I176" s="1"/>
      <x:c r="J176" s="1"/>
      <x:c r="K176" s="1"/>
      <x:c r="L176" s="1"/>
      <x:c r="M176" s="1"/>
      <x:c r="N176" s="1"/>
      <x:c r="O176" s="1"/>
      <x:c r="P176" s="1"/>
      <x:c r="Q176" s="1"/>
      <x:c r="R176" s="1"/>
      <x:c r="S176" s="1"/>
      <x:c r="T176" s="1"/>
    </x:row>
    <x:row r="177" ht="18" customHeight="1">
      <x:c r="A177" s="1"/>
      <x:c r="B177" s="1"/>
      <x:c r="C177" s="1"/>
      <x:c r="D177" s="1"/>
      <x:c r="E177" s="1"/>
      <x:c r="F177" s="1"/>
      <x:c r="G177" s="1"/>
      <x:c r="H177" s="1"/>
      <x:c r="I177" s="1"/>
      <x:c r="J177" s="1"/>
      <x:c r="K177" s="1"/>
      <x:c r="L177" s="1"/>
      <x:c r="M177" s="1"/>
      <x:c r="N177" s="1"/>
      <x:c r="O177" s="1"/>
      <x:c r="P177" s="1"/>
      <x:c r="Q177" s="1"/>
      <x:c r="R177" s="1"/>
      <x:c r="S177" s="1"/>
      <x:c r="T177" s="1"/>
    </x:row>
    <x:row r="178" ht="18" customHeight="1">
      <x:c r="A178" s="1"/>
      <x:c r="B178" s="1"/>
      <x:c r="C178" s="1"/>
      <x:c r="D178" s="1"/>
      <x:c r="E178" s="1"/>
      <x:c r="F178" s="1"/>
      <x:c r="G178" s="1"/>
      <x:c r="H178" s="1"/>
      <x:c r="I178" s="1"/>
      <x:c r="J178" s="1"/>
      <x:c r="K178" s="1"/>
      <x:c r="L178" s="1"/>
      <x:c r="M178" s="1"/>
      <x:c r="N178" s="1"/>
      <x:c r="O178" s="1"/>
      <x:c r="P178" s="1"/>
      <x:c r="Q178" s="1"/>
      <x:c r="R178" s="1"/>
      <x:c r="S178" s="1"/>
      <x:c r="T178" s="1"/>
    </x:row>
    <x:row r="179" ht="18" customHeight="1">
      <x:c r="A179" s="1"/>
      <x:c r="B179" s="1"/>
      <x:c r="C179" s="1"/>
      <x:c r="D179" s="1"/>
      <x:c r="E179" s="1"/>
      <x:c r="F179" s="1"/>
      <x:c r="G179" s="1"/>
      <x:c r="H179" s="1"/>
      <x:c r="I179" s="1"/>
      <x:c r="J179" s="1"/>
      <x:c r="K179" s="1"/>
      <x:c r="L179" s="1"/>
      <x:c r="M179" s="1"/>
      <x:c r="N179" s="1"/>
      <x:c r="O179" s="1"/>
      <x:c r="P179" s="1"/>
      <x:c r="Q179" s="1"/>
      <x:c r="R179" s="1"/>
      <x:c r="S179" s="1"/>
      <x:c r="T179" s="1"/>
    </x:row>
    <x:row r="180" ht="18" customHeight="1">
      <x:c r="A180" s="1"/>
      <x:c r="B180" s="1"/>
      <x:c r="C180" s="1"/>
      <x:c r="D180" s="1"/>
      <x:c r="E180" s="1"/>
      <x:c r="F180" s="1"/>
      <x:c r="G180" s="1"/>
      <x:c r="H180" s="1"/>
      <x:c r="I180" s="1"/>
      <x:c r="J180" s="1"/>
      <x:c r="K180" s="1"/>
      <x:c r="L180" s="1"/>
      <x:c r="M180" s="1"/>
      <x:c r="N180" s="1"/>
      <x:c r="O180" s="1"/>
      <x:c r="P180" s="1"/>
      <x:c r="Q180" s="1"/>
      <x:c r="R180" s="1"/>
      <x:c r="S180" s="1"/>
      <x:c r="T180" s="1"/>
    </x:row>
    <x:row r="181" ht="18" customHeight="1">
      <x:c r="A181" s="1"/>
      <x:c r="B181" s="1"/>
      <x:c r="C181" s="1"/>
      <x:c r="D181" s="1"/>
      <x:c r="E181" s="1"/>
      <x:c r="F181" s="1"/>
      <x:c r="G181" s="1"/>
      <x:c r="H181" s="1"/>
      <x:c r="I181" s="1"/>
      <x:c r="J181" s="1"/>
      <x:c r="K181" s="1"/>
      <x:c r="L181" s="1"/>
      <x:c r="M181" s="1"/>
      <x:c r="N181" s="1"/>
      <x:c r="O181" s="1"/>
      <x:c r="P181" s="1"/>
      <x:c r="Q181" s="1"/>
      <x:c r="R181" s="1"/>
      <x:c r="S181" s="1"/>
      <x:c r="T181" s="1"/>
    </x:row>
    <x:row r="182" ht="18" customHeight="1">
      <x:c r="A182" s="1"/>
      <x:c r="B182" s="1"/>
      <x:c r="C182" s="1"/>
      <x:c r="D182" s="1"/>
      <x:c r="E182" s="1"/>
      <x:c r="F182" s="1"/>
      <x:c r="G182" s="1"/>
      <x:c r="H182" s="1"/>
      <x:c r="I182" s="1"/>
      <x:c r="J182" s="1"/>
      <x:c r="K182" s="1"/>
      <x:c r="L182" s="1"/>
      <x:c r="M182" s="1"/>
      <x:c r="N182" s="1"/>
      <x:c r="O182" s="1"/>
      <x:c r="P182" s="1"/>
      <x:c r="Q182" s="1"/>
      <x:c r="R182" s="1"/>
      <x:c r="S182" s="1"/>
      <x:c r="T182" s="1"/>
    </x:row>
    <x:row r="183" ht="18" customHeight="1">
      <x:c r="A183" s="1"/>
      <x:c r="B183" s="1"/>
      <x:c r="C183" s="1"/>
      <x:c r="D183" s="1"/>
      <x:c r="E183" s="1"/>
      <x:c r="F183" s="1"/>
      <x:c r="G183" s="1"/>
      <x:c r="H183" s="1"/>
      <x:c r="I183" s="1"/>
      <x:c r="J183" s="1"/>
      <x:c r="K183" s="1"/>
      <x:c r="L183" s="1"/>
      <x:c r="M183" s="1"/>
      <x:c r="N183" s="1"/>
      <x:c r="O183" s="1"/>
      <x:c r="P183" s="1"/>
      <x:c r="Q183" s="1"/>
      <x:c r="R183" s="1"/>
      <x:c r="S183" s="1"/>
      <x:c r="T183" s="1"/>
    </x:row>
    <x:row r="184" ht="18" customHeight="1">
      <x:c r="A184" s="1"/>
      <x:c r="B184" s="1"/>
      <x:c r="C184" s="1"/>
      <x:c r="D184" s="1"/>
      <x:c r="E184" s="1"/>
      <x:c r="F184" s="1"/>
      <x:c r="G184" s="1"/>
      <x:c r="H184" s="1"/>
      <x:c r="I184" s="1"/>
      <x:c r="J184" s="1"/>
      <x:c r="K184" s="1"/>
      <x:c r="L184" s="1"/>
      <x:c r="M184" s="1"/>
      <x:c r="N184" s="1"/>
      <x:c r="O184" s="1"/>
      <x:c r="P184" s="1"/>
      <x:c r="Q184" s="1"/>
      <x:c r="R184" s="1"/>
      <x:c r="S184" s="1"/>
      <x:c r="T184" s="1"/>
    </x:row>
    <x:row r="185" ht="18" customHeight="1">
      <x:c r="A185" s="1"/>
      <x:c r="B185" s="1"/>
      <x:c r="C185" s="1"/>
      <x:c r="D185" s="1"/>
      <x:c r="E185" s="1"/>
      <x:c r="F185" s="1"/>
      <x:c r="G185" s="1"/>
      <x:c r="H185" s="1"/>
      <x:c r="I185" s="1"/>
      <x:c r="J185" s="1"/>
      <x:c r="K185" s="1"/>
      <x:c r="L185" s="1"/>
      <x:c r="M185" s="1"/>
      <x:c r="N185" s="1"/>
      <x:c r="O185" s="1"/>
      <x:c r="P185" s="1"/>
      <x:c r="Q185" s="1"/>
      <x:c r="R185" s="1"/>
      <x:c r="S185" s="1"/>
      <x:c r="T185" s="1"/>
    </x:row>
    <x:row r="186" ht="18" customHeight="1">
      <x:c r="A186" s="1"/>
      <x:c r="B186" s="1"/>
      <x:c r="C186" s="1"/>
      <x:c r="D186" s="1"/>
      <x:c r="E186" s="1"/>
      <x:c r="F186" s="1"/>
      <x:c r="G186" s="1"/>
      <x:c r="H186" s="1"/>
      <x:c r="I186" s="1"/>
      <x:c r="J186" s="1"/>
      <x:c r="K186" s="1"/>
      <x:c r="L186" s="1"/>
      <x:c r="M186" s="1"/>
      <x:c r="N186" s="1"/>
      <x:c r="O186" s="1"/>
      <x:c r="P186" s="1"/>
      <x:c r="Q186" s="1"/>
      <x:c r="R186" s="1"/>
      <x:c r="S186" s="1"/>
      <x:c r="T186" s="1"/>
    </x:row>
    <x:row r="187" ht="18" customHeight="1">
      <x:c r="A187" s="1"/>
      <x:c r="B187" s="1"/>
      <x:c r="C187" s="1"/>
      <x:c r="D187" s="1"/>
      <x:c r="E187" s="1"/>
      <x:c r="F187" s="1"/>
      <x:c r="G187" s="1"/>
      <x:c r="H187" s="1"/>
      <x:c r="I187" s="1"/>
      <x:c r="J187" s="1"/>
      <x:c r="K187" s="1"/>
      <x:c r="L187" s="1"/>
      <x:c r="M187" s="1"/>
      <x:c r="N187" s="1"/>
      <x:c r="O187" s="1"/>
      <x:c r="P187" s="1"/>
      <x:c r="Q187" s="1"/>
      <x:c r="R187" s="1"/>
      <x:c r="S187" s="1"/>
      <x:c r="T187" s="1"/>
    </x:row>
    <x:row r="188" ht="18" customHeight="1">
      <x:c r="A188" s="1"/>
      <x:c r="B188" s="1"/>
      <x:c r="C188" s="1"/>
      <x:c r="D188" s="1"/>
      <x:c r="E188" s="1"/>
      <x:c r="F188" s="1"/>
      <x:c r="G188" s="1"/>
      <x:c r="H188" s="1"/>
      <x:c r="I188" s="1"/>
      <x:c r="J188" s="1"/>
      <x:c r="K188" s="1"/>
      <x:c r="L188" s="1"/>
      <x:c r="M188" s="1"/>
      <x:c r="N188" s="1"/>
      <x:c r="O188" s="1"/>
      <x:c r="P188" s="1"/>
      <x:c r="Q188" s="1"/>
      <x:c r="R188" s="1"/>
      <x:c r="S188" s="1"/>
      <x:c r="T188" s="1"/>
    </x:row>
    <x:row r="189" ht="18" customHeight="1">
      <x:c r="A189" s="1"/>
      <x:c r="B189" s="1"/>
      <x:c r="C189" s="1"/>
      <x:c r="D189" s="1"/>
      <x:c r="E189" s="1"/>
      <x:c r="F189" s="1"/>
      <x:c r="G189" s="1"/>
      <x:c r="H189" s="1"/>
      <x:c r="I189" s="1"/>
      <x:c r="J189" s="1"/>
      <x:c r="K189" s="1"/>
      <x:c r="L189" s="1"/>
      <x:c r="M189" s="1"/>
      <x:c r="N189" s="1"/>
      <x:c r="O189" s="1"/>
      <x:c r="P189" s="1"/>
      <x:c r="Q189" s="1"/>
      <x:c r="R189" s="1"/>
      <x:c r="S189" s="1"/>
      <x:c r="T189" s="1"/>
    </x:row>
    <x:row r="190" ht="18" customHeight="1">
      <x:c r="A190" s="1"/>
      <x:c r="B190" s="1"/>
      <x:c r="C190" s="1"/>
      <x:c r="D190" s="1"/>
      <x:c r="E190" s="1"/>
      <x:c r="F190" s="1"/>
      <x:c r="G190" s="1"/>
      <x:c r="H190" s="1"/>
      <x:c r="I190" s="1"/>
      <x:c r="J190" s="1"/>
      <x:c r="K190" s="1"/>
      <x:c r="L190" s="1"/>
      <x:c r="M190" s="1"/>
      <x:c r="N190" s="1"/>
      <x:c r="O190" s="1"/>
      <x:c r="P190" s="1"/>
      <x:c r="Q190" s="1"/>
      <x:c r="R190" s="1"/>
      <x:c r="S190" s="1"/>
      <x:c r="T190" s="1"/>
    </x:row>
    <x:row r="191" ht="18" customHeight="1">
      <x:c r="A191" s="1"/>
      <x:c r="B191" s="1"/>
      <x:c r="C191" s="1"/>
      <x:c r="D191" s="1"/>
      <x:c r="E191" s="1"/>
      <x:c r="F191" s="1"/>
      <x:c r="G191" s="1"/>
      <x:c r="H191" s="1"/>
      <x:c r="I191" s="1"/>
      <x:c r="J191" s="1"/>
      <x:c r="K191" s="1"/>
      <x:c r="L191" s="1"/>
      <x:c r="M191" s="1"/>
      <x:c r="N191" s="1"/>
      <x:c r="O191" s="1"/>
      <x:c r="P191" s="1"/>
      <x:c r="Q191" s="1"/>
      <x:c r="R191" s="1"/>
      <x:c r="S191" s="1"/>
      <x:c r="T191" s="1"/>
    </x:row>
    <x:row r="192" ht="18" customHeight="1">
      <x:c r="A192" s="1"/>
      <x:c r="B192" s="1"/>
      <x:c r="C192" s="1"/>
      <x:c r="D192" s="1"/>
      <x:c r="E192" s="1"/>
      <x:c r="F192" s="1"/>
      <x:c r="G192" s="1"/>
      <x:c r="H192" s="1"/>
      <x:c r="I192" s="1"/>
      <x:c r="J192" s="1"/>
      <x:c r="K192" s="1"/>
      <x:c r="L192" s="1"/>
      <x:c r="M192" s="1"/>
      <x:c r="N192" s="1"/>
      <x:c r="O192" s="1"/>
      <x:c r="P192" s="1"/>
      <x:c r="Q192" s="1"/>
      <x:c r="R192" s="1"/>
      <x:c r="S192" s="1"/>
      <x:c r="T192" s="1"/>
    </x:row>
    <x:row r="193" ht="18" customHeight="1">
      <x:c r="A193" s="1"/>
      <x:c r="B193" s="1"/>
      <x:c r="C193" s="1"/>
      <x:c r="D193" s="1"/>
      <x:c r="E193" s="1"/>
      <x:c r="F193" s="1"/>
      <x:c r="G193" s="1"/>
      <x:c r="H193" s="1"/>
      <x:c r="I193" s="1"/>
      <x:c r="J193" s="1"/>
      <x:c r="K193" s="1"/>
      <x:c r="L193" s="1"/>
      <x:c r="M193" s="1"/>
      <x:c r="N193" s="1"/>
      <x:c r="O193" s="1"/>
      <x:c r="P193" s="1"/>
      <x:c r="Q193" s="1"/>
      <x:c r="R193" s="1"/>
      <x:c r="S193" s="1"/>
      <x:c r="T193" s="1"/>
    </x:row>
    <x:row r="194" ht="18" customHeight="1">
      <x:c r="A194" s="1"/>
      <x:c r="B194" s="1"/>
      <x:c r="C194" s="1"/>
      <x:c r="D194" s="1"/>
      <x:c r="E194" s="1"/>
      <x:c r="F194" s="1"/>
      <x:c r="G194" s="1"/>
      <x:c r="H194" s="1"/>
      <x:c r="I194" s="1"/>
      <x:c r="J194" s="1"/>
      <x:c r="K194" s="1"/>
      <x:c r="L194" s="1"/>
      <x:c r="M194" s="1"/>
      <x:c r="N194" s="1"/>
      <x:c r="O194" s="1"/>
      <x:c r="P194" s="1"/>
      <x:c r="Q194" s="1"/>
      <x:c r="R194" s="1"/>
      <x:c r="S194" s="1"/>
      <x:c r="T194" s="1"/>
    </x:row>
    <x:row r="195" ht="18" customHeight="1">
      <x:c r="A195" s="1"/>
      <x:c r="B195" s="1"/>
      <x:c r="C195" s="1"/>
      <x:c r="D195" s="1"/>
      <x:c r="E195" s="1"/>
      <x:c r="F195" s="1"/>
      <x:c r="G195" s="1"/>
      <x:c r="H195" s="1"/>
      <x:c r="I195" s="1"/>
      <x:c r="J195" s="1"/>
      <x:c r="K195" s="1"/>
      <x:c r="L195" s="1"/>
      <x:c r="M195" s="1"/>
      <x:c r="N195" s="1"/>
      <x:c r="O195" s="1"/>
      <x:c r="P195" s="1"/>
      <x:c r="Q195" s="1"/>
      <x:c r="R195" s="1"/>
      <x:c r="S195" s="1"/>
      <x:c r="T195" s="1"/>
    </x:row>
    <x:row r="196" ht="18" customHeight="1">
      <x:c r="A196" s="1"/>
      <x:c r="B196" s="1"/>
      <x:c r="C196" s="1"/>
      <x:c r="D196" s="1"/>
      <x:c r="E196" s="1"/>
      <x:c r="F196" s="1"/>
      <x:c r="G196" s="1"/>
      <x:c r="H196" s="1"/>
      <x:c r="I196" s="1"/>
      <x:c r="J196" s="1"/>
      <x:c r="K196" s="1"/>
      <x:c r="L196" s="1"/>
      <x:c r="M196" s="1"/>
      <x:c r="N196" s="1"/>
      <x:c r="O196" s="1"/>
      <x:c r="P196" s="1"/>
      <x:c r="Q196" s="1"/>
      <x:c r="R196" s="1"/>
      <x:c r="S196" s="1"/>
      <x:c r="T196" s="1"/>
    </x:row>
    <x:row r="197" ht="18" customHeight="1">
      <x:c r="A197" s="1"/>
      <x:c r="B197" s="1"/>
      <x:c r="C197" s="1"/>
      <x:c r="D197" s="1"/>
      <x:c r="E197" s="1"/>
      <x:c r="F197" s="1"/>
      <x:c r="G197" s="1"/>
      <x:c r="H197" s="1"/>
      <x:c r="I197" s="1"/>
      <x:c r="J197" s="1"/>
      <x:c r="K197" s="1"/>
      <x:c r="L197" s="1"/>
      <x:c r="M197" s="1"/>
      <x:c r="N197" s="1"/>
      <x:c r="O197" s="1"/>
      <x:c r="P197" s="1"/>
      <x:c r="Q197" s="1"/>
      <x:c r="R197" s="1"/>
      <x:c r="S197" s="1"/>
      <x:c r="T197" s="1"/>
    </x:row>
    <x:row r="198" ht="18" customHeight="1">
      <x:c r="A198" s="1"/>
      <x:c r="B198" s="1"/>
      <x:c r="C198" s="1"/>
      <x:c r="D198" s="1"/>
      <x:c r="E198" s="1"/>
      <x:c r="F198" s="1"/>
      <x:c r="G198" s="1"/>
      <x:c r="H198" s="1"/>
      <x:c r="I198" s="1"/>
      <x:c r="J198" s="1"/>
      <x:c r="K198" s="1"/>
      <x:c r="L198" s="1"/>
      <x:c r="M198" s="1"/>
      <x:c r="N198" s="1"/>
      <x:c r="O198" s="1"/>
      <x:c r="P198" s="1"/>
      <x:c r="Q198" s="1"/>
      <x:c r="R198" s="1"/>
      <x:c r="S198" s="1"/>
      <x:c r="T198" s="1"/>
    </x:row>
    <x:row r="199" ht="18" customHeight="1">
      <x:c r="A199" s="1"/>
      <x:c r="B199" s="1"/>
      <x:c r="C199" s="1"/>
      <x:c r="D199" s="1"/>
      <x:c r="E199" s="1"/>
      <x:c r="F199" s="1"/>
      <x:c r="G199" s="1"/>
      <x:c r="H199" s="1"/>
      <x:c r="I199" s="1"/>
      <x:c r="J199" s="1"/>
      <x:c r="K199" s="1"/>
      <x:c r="L199" s="1"/>
      <x:c r="M199" s="1"/>
      <x:c r="N199" s="1"/>
      <x:c r="O199" s="1"/>
      <x:c r="P199" s="1"/>
      <x:c r="Q199" s="1"/>
      <x:c r="R199" s="1"/>
      <x:c r="S199" s="1"/>
      <x:c r="T199" s="1"/>
    </x:row>
    <x:row r="200" ht="18" customHeight="1">
      <x:c r="A200" s="1"/>
      <x:c r="B200" s="1"/>
      <x:c r="C200" s="1"/>
      <x:c r="D200" s="1"/>
      <x:c r="E200" s="1"/>
      <x:c r="F200" s="1"/>
      <x:c r="G200" s="1"/>
      <x:c r="H200" s="1"/>
      <x:c r="I200" s="1"/>
      <x:c r="J200" s="1"/>
      <x:c r="K200" s="1"/>
      <x:c r="L200" s="1"/>
      <x:c r="M200" s="1"/>
      <x:c r="N200" s="1"/>
      <x:c r="O200" s="1"/>
      <x:c r="P200" s="1"/>
      <x:c r="Q200" s="1"/>
      <x:c r="R200" s="1"/>
      <x:c r="S200" s="1"/>
      <x:c r="T200" s="1"/>
    </x:row>
    <x:row r="201" ht="18" customHeight="1">
      <x:c r="A201" s="1"/>
      <x:c r="B201" s="1"/>
      <x:c r="C201" s="1"/>
      <x:c r="D201" s="1"/>
      <x:c r="E201" s="1"/>
      <x:c r="F201" s="1"/>
      <x:c r="G201" s="1"/>
      <x:c r="H201" s="1"/>
      <x:c r="I201" s="1"/>
      <x:c r="J201" s="1"/>
      <x:c r="K201" s="1"/>
      <x:c r="L201" s="1"/>
      <x:c r="M201" s="1"/>
      <x:c r="N201" s="1"/>
      <x:c r="O201" s="1"/>
      <x:c r="P201" s="1"/>
      <x:c r="Q201" s="1"/>
      <x:c r="R201" s="1"/>
      <x:c r="S201" s="1"/>
      <x:c r="T201" s="1"/>
    </x:row>
    <x:row r="202" ht="18" customHeight="1">
      <x:c r="A202" s="1"/>
      <x:c r="B202" s="1"/>
      <x:c r="C202" s="1"/>
      <x:c r="D202" s="1"/>
      <x:c r="E202" s="1"/>
      <x:c r="F202" s="1"/>
      <x:c r="G202" s="1"/>
      <x:c r="H202" s="1"/>
      <x:c r="I202" s="1"/>
      <x:c r="J202" s="1"/>
      <x:c r="K202" s="1"/>
      <x:c r="L202" s="1"/>
      <x:c r="M202" s="1"/>
      <x:c r="N202" s="1"/>
      <x:c r="O202" s="1"/>
      <x:c r="P202" s="1"/>
      <x:c r="Q202" s="1"/>
      <x:c r="R202" s="1"/>
      <x:c r="S202" s="1"/>
      <x:c r="T202" s="1"/>
    </x:row>
    <x:row r="203" ht="18" customHeight="1">
      <x:c r="A203" s="1"/>
      <x:c r="B203" s="1"/>
      <x:c r="C203" s="1"/>
      <x:c r="D203" s="1"/>
      <x:c r="E203" s="1"/>
      <x:c r="F203" s="1"/>
      <x:c r="G203" s="1"/>
      <x:c r="H203" s="1"/>
      <x:c r="I203" s="1"/>
      <x:c r="J203" s="1"/>
      <x:c r="K203" s="1"/>
      <x:c r="L203" s="1"/>
      <x:c r="M203" s="1"/>
      <x:c r="N203" s="1"/>
      <x:c r="O203" s="1"/>
      <x:c r="P203" s="1"/>
      <x:c r="Q203" s="1"/>
      <x:c r="R203" s="1"/>
      <x:c r="S203" s="1"/>
      <x:c r="T203" s="1"/>
    </x:row>
    <x:row r="204" ht="18" customHeight="1">
      <x:c r="A204" s="1"/>
      <x:c r="B204" s="1"/>
      <x:c r="C204" s="1"/>
      <x:c r="D204" s="1"/>
      <x:c r="E204" s="1"/>
      <x:c r="F204" s="1"/>
      <x:c r="G204" s="1"/>
      <x:c r="H204" s="1"/>
      <x:c r="I204" s="1"/>
      <x:c r="J204" s="1"/>
      <x:c r="K204" s="1"/>
      <x:c r="L204" s="1"/>
      <x:c r="M204" s="1"/>
      <x:c r="N204" s="1"/>
      <x:c r="O204" s="1"/>
      <x:c r="P204" s="1"/>
      <x:c r="Q204" s="1"/>
      <x:c r="R204" s="1"/>
      <x:c r="S204" s="1"/>
      <x:c r="T204" s="1"/>
    </x:row>
    <x:row r="205" ht="18" customHeight="1">
      <x:c r="A205" s="1"/>
      <x:c r="B205" s="1"/>
      <x:c r="C205" s="1"/>
      <x:c r="D205" s="1"/>
      <x:c r="E205" s="1"/>
      <x:c r="F205" s="1"/>
      <x:c r="G205" s="1"/>
      <x:c r="H205" s="1"/>
      <x:c r="I205" s="1"/>
      <x:c r="J205" s="1"/>
      <x:c r="K205" s="1"/>
      <x:c r="L205" s="1"/>
      <x:c r="M205" s="1"/>
      <x:c r="N205" s="1"/>
      <x:c r="O205" s="1"/>
      <x:c r="P205" s="1"/>
      <x:c r="Q205" s="1"/>
      <x:c r="R205" s="1"/>
      <x:c r="S205" s="1"/>
      <x:c r="T205" s="1"/>
    </x:row>
    <x:row r="206" ht="18" customHeight="1">
      <x:c r="A206" s="1"/>
      <x:c r="B206" s="1"/>
      <x:c r="C206" s="1"/>
      <x:c r="D206" s="1"/>
      <x:c r="E206" s="1"/>
      <x:c r="F206" s="1"/>
      <x:c r="G206" s="1"/>
      <x:c r="H206" s="1"/>
      <x:c r="I206" s="1"/>
      <x:c r="J206" s="1"/>
      <x:c r="K206" s="1"/>
      <x:c r="L206" s="1"/>
      <x:c r="M206" s="1"/>
      <x:c r="N206" s="1"/>
      <x:c r="O206" s="1"/>
      <x:c r="P206" s="1"/>
      <x:c r="Q206" s="1"/>
      <x:c r="R206" s="1"/>
      <x:c r="S206" s="1"/>
      <x:c r="T206" s="1"/>
    </x:row>
    <x:row r="207" ht="18" customHeight="1">
      <x:c r="A207" s="1"/>
      <x:c r="B207" s="1"/>
      <x:c r="C207" s="1"/>
      <x:c r="D207" s="1"/>
      <x:c r="E207" s="1"/>
      <x:c r="F207" s="1"/>
      <x:c r="G207" s="1"/>
      <x:c r="H207" s="1"/>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sheetData>
  <x:mergeCells>
    <x:mergeCell ref="B3:H3"/>
    <x:mergeCell ref="B4:H4"/>
  </x:mergeCells>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6" hidden="0" customWidth="1"/>
    <x:col min="3" max="3" width="13" hidden="0" customWidth="1"/>
    <x:col min="4" max="4" width="43.0099983215332" hidden="0" customWidth="1"/>
    <x:col min="5" max="5" width="15" hidden="0" customWidth="1"/>
    <x:col min="6" max="6" width="12" hidden="0" customWidth="1"/>
    <x:col min="7" max="7" width="22" hidden="0" customWidth="1"/>
    <x:col min="8" max="8" width="35.0099983215332"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Veranstaltungen</x:v>
      </x:c>
      <x:c r="C3" s="5"/>
      <x:c r="D3" s="5"/>
      <x:c r="E3" s="5"/>
      <x:c r="F3" s="5"/>
      <x:c r="G3" s="5"/>
      <x:c r="H3" s="5"/>
      <x:c r="I3" s="1"/>
      <x:c r="J3" s="1"/>
      <x:c r="K3" s="1"/>
      <x:c r="L3" s="1"/>
      <x:c r="M3" s="1"/>
      <x:c r="N3" s="1"/>
      <x:c r="O3" s="1"/>
      <x:c r="P3" s="1"/>
      <x:c r="Q3" s="1"/>
      <x:c r="R3" s="1"/>
      <x:c r="S3" s="1"/>
      <x:c r="T3" s="1"/>
    </x:row>
    <x:row r="4" ht="20.017499923706055" customHeight="1">
      <x:c r="A4" s="1"/>
      <x:c r="B4" s="8" t="str">
        <x:v>Ausflüge, Wandertage, Klassenreisen und sonstige Vorhaben</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14" t="str">
        <x:v>Nr.</x:v>
      </x:c>
      <x:c r="C7" s="14" t="str">
        <x:v>Datum</x:v>
      </x:c>
      <x:c r="D7" s="14" t="str">
        <x:v>Veranstaltung</x:v>
      </x:c>
      <x:c r="E7" s="14" t="str">
        <x:v>Ort</x:v>
      </x:c>
      <x:c r="F7" s="14" t="str">
        <x:v>Status</x:v>
      </x:c>
      <x:c r="G7" s="14" t="str">
        <x:v>Ablage</x:v>
      </x:c>
      <x:c r="H7" s="14" t="str">
        <x:v>Notiz</x:v>
      </x:c>
      <x:c r="I7" s="1"/>
      <x:c r="J7" s="1"/>
      <x:c r="K7" s="1"/>
      <x:c r="L7" s="1"/>
      <x:c r="M7" s="1"/>
      <x:c r="N7" s="1"/>
      <x:c r="O7" s="1"/>
      <x:c r="P7" s="1"/>
      <x:c r="Q7" s="1"/>
      <x:c r="R7" s="1"/>
      <x:c r="S7" s="1"/>
      <x:c r="T7" s="1"/>
    </x:row>
    <x:row r="8" ht="18" customHeight="1">
      <x:c r="A8" s="1"/>
      <x:c r="B8" s="19" t="n">
        <x:v>1</x:v>
      </x:c>
      <x:c r="C8" s="56"/>
      <x:c r="D8" s="27"/>
      <x:c r="E8" s="27"/>
      <x:c r="F8" s="27"/>
      <x:c r="G8" s="27"/>
      <x:c r="H8" s="27"/>
      <x:c r="I8" s="1"/>
      <x:c r="J8" s="1"/>
      <x:c r="K8" s="1"/>
      <x:c r="L8" s="1"/>
      <x:c r="M8" s="1"/>
      <x:c r="N8" s="1"/>
      <x:c r="O8" s="1"/>
      <x:c r="P8" s="1"/>
      <x:c r="Q8" s="1"/>
      <x:c r="R8" s="1"/>
      <x:c r="S8" s="1"/>
      <x:c r="T8" s="1"/>
    </x:row>
    <x:row r="9" ht="18" customHeight="1">
      <x:c r="A9" s="1"/>
      <x:c r="B9" s="19" t="n">
        <x:v>2</x:v>
      </x:c>
      <x:c r="C9" s="56"/>
      <x:c r="D9" s="27"/>
      <x:c r="E9" s="27"/>
      <x:c r="F9" s="27"/>
      <x:c r="G9" s="27"/>
      <x:c r="H9" s="27"/>
      <x:c r="I9" s="1"/>
      <x:c r="J9" s="1"/>
      <x:c r="K9" s="1"/>
      <x:c r="L9" s="1"/>
      <x:c r="M9" s="1"/>
      <x:c r="N9" s="1"/>
      <x:c r="O9" s="1"/>
      <x:c r="P9" s="1"/>
      <x:c r="Q9" s="1"/>
      <x:c r="R9" s="1"/>
      <x:c r="S9" s="1"/>
      <x:c r="T9" s="1"/>
    </x:row>
    <x:row r="10" ht="18" customHeight="1">
      <x:c r="A10" s="1"/>
      <x:c r="B10" s="19" t="n">
        <x:v>3</x:v>
      </x:c>
      <x:c r="C10" s="56"/>
      <x:c r="D10" s="27"/>
      <x:c r="E10" s="27"/>
      <x:c r="F10" s="27"/>
      <x:c r="G10" s="27"/>
      <x:c r="H10" s="27"/>
      <x:c r="I10" s="1"/>
      <x:c r="J10" s="1"/>
      <x:c r="K10" s="1"/>
      <x:c r="L10" s="1"/>
      <x:c r="M10" s="1"/>
      <x:c r="N10" s="1"/>
      <x:c r="O10" s="1"/>
      <x:c r="P10" s="1"/>
      <x:c r="Q10" s="1"/>
      <x:c r="R10" s="1"/>
      <x:c r="S10" s="1"/>
      <x:c r="T10" s="1"/>
    </x:row>
    <x:row r="11" ht="18" customHeight="1">
      <x:c r="A11" s="1"/>
      <x:c r="B11" s="19" t="n">
        <x:v>4</x:v>
      </x:c>
      <x:c r="C11" s="56"/>
      <x:c r="D11" s="27"/>
      <x:c r="E11" s="27"/>
      <x:c r="F11" s="27"/>
      <x:c r="G11" s="27"/>
      <x:c r="H11" s="27"/>
      <x:c r="I11" s="1"/>
      <x:c r="J11" s="1"/>
      <x:c r="K11" s="1"/>
      <x:c r="L11" s="1"/>
      <x:c r="M11" s="1"/>
      <x:c r="N11" s="1"/>
      <x:c r="O11" s="1"/>
      <x:c r="P11" s="1"/>
      <x:c r="Q11" s="1"/>
      <x:c r="R11" s="1"/>
      <x:c r="S11" s="1"/>
      <x:c r="T11" s="1"/>
    </x:row>
    <x:row r="12" ht="18" customHeight="1">
      <x:c r="A12" s="1"/>
      <x:c r="B12" s="19" t="n">
        <x:v>5</x:v>
      </x:c>
      <x:c r="C12" s="56"/>
      <x:c r="D12" s="27"/>
      <x:c r="E12" s="27"/>
      <x:c r="F12" s="27"/>
      <x:c r="G12" s="27"/>
      <x:c r="H12" s="27"/>
      <x:c r="I12" s="1"/>
      <x:c r="J12" s="1"/>
      <x:c r="K12" s="1"/>
      <x:c r="L12" s="1"/>
      <x:c r="M12" s="1"/>
      <x:c r="N12" s="1"/>
      <x:c r="O12" s="1"/>
      <x:c r="P12" s="1"/>
      <x:c r="Q12" s="1"/>
      <x:c r="R12" s="1"/>
      <x:c r="S12" s="1"/>
      <x:c r="T12" s="1"/>
    </x:row>
    <x:row r="13" ht="18" customHeight="1">
      <x:c r="A13" s="1"/>
      <x:c r="B13" s="19" t="n">
        <x:v>6</x:v>
      </x:c>
      <x:c r="C13" s="56"/>
      <x:c r="D13" s="27"/>
      <x:c r="E13" s="27"/>
      <x:c r="F13" s="27"/>
      <x:c r="G13" s="27"/>
      <x:c r="H13" s="27"/>
      <x:c r="I13" s="1"/>
      <x:c r="J13" s="1"/>
      <x:c r="K13" s="1"/>
      <x:c r="L13" s="1"/>
      <x:c r="M13" s="1"/>
      <x:c r="N13" s="1"/>
      <x:c r="O13" s="1"/>
      <x:c r="P13" s="1"/>
      <x:c r="Q13" s="1"/>
      <x:c r="R13" s="1"/>
      <x:c r="S13" s="1"/>
      <x:c r="T13" s="1"/>
    </x:row>
    <x:row r="14" ht="18" customHeight="1">
      <x:c r="A14" s="1"/>
      <x:c r="B14" s="19" t="n">
        <x:v>7</x:v>
      </x:c>
      <x:c r="C14" s="56"/>
      <x:c r="D14" s="27"/>
      <x:c r="E14" s="27"/>
      <x:c r="F14" s="27"/>
      <x:c r="G14" s="27"/>
      <x:c r="H14" s="27"/>
      <x:c r="I14" s="1"/>
      <x:c r="J14" s="1"/>
      <x:c r="K14" s="1"/>
      <x:c r="L14" s="1"/>
      <x:c r="M14" s="1"/>
      <x:c r="N14" s="1"/>
      <x:c r="O14" s="1"/>
      <x:c r="P14" s="1"/>
      <x:c r="Q14" s="1"/>
      <x:c r="R14" s="1"/>
      <x:c r="S14" s="1"/>
      <x:c r="T14" s="1"/>
    </x:row>
    <x:row r="15" ht="18" customHeight="1">
      <x:c r="A15" s="1"/>
      <x:c r="B15" s="19" t="n">
        <x:v>8</x:v>
      </x:c>
      <x:c r="C15" s="56"/>
      <x:c r="D15" s="27"/>
      <x:c r="E15" s="27"/>
      <x:c r="F15" s="27"/>
      <x:c r="G15" s="27"/>
      <x:c r="H15" s="27"/>
      <x:c r="I15" s="1"/>
      <x:c r="J15" s="1"/>
      <x:c r="K15" s="1"/>
      <x:c r="L15" s="1"/>
      <x:c r="M15" s="1"/>
      <x:c r="N15" s="1"/>
      <x:c r="O15" s="1"/>
      <x:c r="P15" s="1"/>
      <x:c r="Q15" s="1"/>
      <x:c r="R15" s="1"/>
      <x:c r="S15" s="1"/>
      <x:c r="T15" s="1"/>
    </x:row>
    <x:row r="16" ht="18" customHeight="1">
      <x:c r="A16" s="1"/>
      <x:c r="B16" s="19" t="n">
        <x:v>9</x:v>
      </x:c>
      <x:c r="C16" s="56"/>
      <x:c r="D16" s="27"/>
      <x:c r="E16" s="27"/>
      <x:c r="F16" s="27"/>
      <x:c r="G16" s="27"/>
      <x:c r="H16" s="27"/>
      <x:c r="I16" s="1"/>
      <x:c r="J16" s="1"/>
      <x:c r="K16" s="1"/>
      <x:c r="L16" s="1"/>
      <x:c r="M16" s="1"/>
      <x:c r="N16" s="1"/>
      <x:c r="O16" s="1"/>
      <x:c r="P16" s="1"/>
      <x:c r="Q16" s="1"/>
      <x:c r="R16" s="1"/>
      <x:c r="S16" s="1"/>
      <x:c r="T16" s="1"/>
    </x:row>
    <x:row r="17" ht="18" customHeight="1">
      <x:c r="A17" s="1"/>
      <x:c r="B17" s="19" t="n">
        <x:v>10</x:v>
      </x:c>
      <x:c r="C17" s="56"/>
      <x:c r="D17" s="27"/>
      <x:c r="E17" s="27"/>
      <x:c r="F17" s="27"/>
      <x:c r="G17" s="27"/>
      <x:c r="H17" s="27"/>
      <x:c r="I17" s="1"/>
      <x:c r="J17" s="1"/>
      <x:c r="K17" s="1"/>
      <x:c r="L17" s="1"/>
      <x:c r="M17" s="1"/>
      <x:c r="N17" s="1"/>
      <x:c r="O17" s="1"/>
      <x:c r="P17" s="1"/>
      <x:c r="Q17" s="1"/>
      <x:c r="R17" s="1"/>
      <x:c r="S17" s="1"/>
      <x:c r="T17" s="1"/>
    </x:row>
    <x:row r="18" ht="18" customHeight="1">
      <x:c r="A18" s="1"/>
      <x:c r="B18" s="19" t="n">
        <x:v>11</x:v>
      </x:c>
      <x:c r="C18" s="56"/>
      <x:c r="D18" s="27"/>
      <x:c r="E18" s="27"/>
      <x:c r="F18" s="27"/>
      <x:c r="G18" s="27"/>
      <x:c r="H18" s="27"/>
      <x:c r="I18" s="1"/>
      <x:c r="J18" s="1"/>
      <x:c r="K18" s="1"/>
      <x:c r="L18" s="1"/>
      <x:c r="M18" s="1"/>
      <x:c r="N18" s="1"/>
      <x:c r="O18" s="1"/>
      <x:c r="P18" s="1"/>
      <x:c r="Q18" s="1"/>
      <x:c r="R18" s="1"/>
      <x:c r="S18" s="1"/>
      <x:c r="T18" s="1"/>
    </x:row>
    <x:row r="19" ht="18" customHeight="1">
      <x:c r="A19" s="1"/>
      <x:c r="B19" s="19" t="n">
        <x:v>12</x:v>
      </x:c>
      <x:c r="C19" s="56"/>
      <x:c r="D19" s="27"/>
      <x:c r="E19" s="27"/>
      <x:c r="F19" s="27"/>
      <x:c r="G19" s="27"/>
      <x:c r="H19" s="27"/>
      <x:c r="I19" s="1"/>
      <x:c r="J19" s="1"/>
      <x:c r="K19" s="1"/>
      <x:c r="L19" s="1"/>
      <x:c r="M19" s="1"/>
      <x:c r="N19" s="1"/>
      <x:c r="O19" s="1"/>
      <x:c r="P19" s="1"/>
      <x:c r="Q19" s="1"/>
      <x:c r="R19" s="1"/>
      <x:c r="S19" s="1"/>
      <x:c r="T19" s="1"/>
    </x:row>
    <x:row r="20" ht="18" customHeight="1">
      <x:c r="A20" s="1"/>
      <x:c r="B20" s="19" t="n">
        <x:v>13</x:v>
      </x:c>
      <x:c r="C20" s="56"/>
      <x:c r="D20" s="27"/>
      <x:c r="E20" s="27"/>
      <x:c r="F20" s="27"/>
      <x:c r="G20" s="27"/>
      <x:c r="H20" s="27"/>
      <x:c r="I20" s="1"/>
      <x:c r="J20" s="1"/>
      <x:c r="K20" s="1"/>
      <x:c r="L20" s="1"/>
      <x:c r="M20" s="1"/>
      <x:c r="N20" s="1"/>
      <x:c r="O20" s="1"/>
      <x:c r="P20" s="1"/>
      <x:c r="Q20" s="1"/>
      <x:c r="R20" s="1"/>
      <x:c r="S20" s="1"/>
      <x:c r="T20" s="1"/>
    </x:row>
    <x:row r="21" ht="18" customHeight="1">
      <x:c r="A21" s="1"/>
      <x:c r="B21" s="19" t="n">
        <x:v>14</x:v>
      </x:c>
      <x:c r="C21" s="56"/>
      <x:c r="D21" s="27"/>
      <x:c r="E21" s="27"/>
      <x:c r="F21" s="27"/>
      <x:c r="G21" s="27"/>
      <x:c r="H21" s="27"/>
      <x:c r="I21" s="1"/>
      <x:c r="J21" s="1"/>
      <x:c r="K21" s="1"/>
      <x:c r="L21" s="1"/>
      <x:c r="M21" s="1"/>
      <x:c r="N21" s="1"/>
      <x:c r="O21" s="1"/>
      <x:c r="P21" s="1"/>
      <x:c r="Q21" s="1"/>
      <x:c r="R21" s="1"/>
      <x:c r="S21" s="1"/>
      <x:c r="T21" s="1"/>
    </x:row>
    <x:row r="22" ht="18" customHeight="1">
      <x:c r="A22" s="1"/>
      <x:c r="B22" s="19" t="n">
        <x:v>15</x:v>
      </x:c>
      <x:c r="C22" s="56"/>
      <x:c r="D22" s="27"/>
      <x:c r="E22" s="27"/>
      <x:c r="F22" s="27"/>
      <x:c r="G22" s="27"/>
      <x:c r="H22" s="27"/>
      <x:c r="I22" s="1"/>
      <x:c r="J22" s="1"/>
      <x:c r="K22" s="1"/>
      <x:c r="L22" s="1"/>
      <x:c r="M22" s="1"/>
      <x:c r="N22" s="1"/>
      <x:c r="O22" s="1"/>
      <x:c r="P22" s="1"/>
      <x:c r="Q22" s="1"/>
      <x:c r="R22" s="1"/>
      <x:c r="S22" s="1"/>
      <x:c r="T22" s="1"/>
    </x:row>
    <x:row r="23" ht="18" customHeight="1">
      <x:c r="A23" s="1"/>
      <x:c r="B23" s="19" t="n">
        <x:v>16</x:v>
      </x:c>
      <x:c r="C23" s="56"/>
      <x:c r="D23" s="27"/>
      <x:c r="E23" s="27"/>
      <x:c r="F23" s="27"/>
      <x:c r="G23" s="27"/>
      <x:c r="H23" s="27"/>
      <x:c r="I23" s="1"/>
      <x:c r="J23" s="1"/>
      <x:c r="K23" s="1"/>
      <x:c r="L23" s="1"/>
      <x:c r="M23" s="1"/>
      <x:c r="N23" s="1"/>
      <x:c r="O23" s="1"/>
      <x:c r="P23" s="1"/>
      <x:c r="Q23" s="1"/>
      <x:c r="R23" s="1"/>
      <x:c r="S23" s="1"/>
      <x:c r="T23" s="1"/>
    </x:row>
    <x:row r="24" ht="18" customHeight="1">
      <x:c r="A24" s="1"/>
      <x:c r="B24" s="19" t="n">
        <x:v>17</x:v>
      </x:c>
      <x:c r="C24" s="56"/>
      <x:c r="D24" s="27"/>
      <x:c r="E24" s="27"/>
      <x:c r="F24" s="27"/>
      <x:c r="G24" s="27"/>
      <x:c r="H24" s="27"/>
      <x:c r="I24" s="1"/>
      <x:c r="J24" s="1"/>
      <x:c r="K24" s="1"/>
      <x:c r="L24" s="1"/>
      <x:c r="M24" s="1"/>
      <x:c r="N24" s="1"/>
      <x:c r="O24" s="1"/>
      <x:c r="P24" s="1"/>
      <x:c r="Q24" s="1"/>
      <x:c r="R24" s="1"/>
      <x:c r="S24" s="1"/>
      <x:c r="T24" s="1"/>
    </x:row>
    <x:row r="25" ht="18" customHeight="1">
      <x:c r="A25" s="1"/>
      <x:c r="B25" s="19" t="n">
        <x:v>18</x:v>
      </x:c>
      <x:c r="C25" s="56"/>
      <x:c r="D25" s="27"/>
      <x:c r="E25" s="27"/>
      <x:c r="F25" s="27"/>
      <x:c r="G25" s="27"/>
      <x:c r="H25" s="27"/>
      <x:c r="I25" s="1"/>
      <x:c r="J25" s="1"/>
      <x:c r="K25" s="1"/>
      <x:c r="L25" s="1"/>
      <x:c r="M25" s="1"/>
      <x:c r="N25" s="1"/>
      <x:c r="O25" s="1"/>
      <x:c r="P25" s="1"/>
      <x:c r="Q25" s="1"/>
      <x:c r="R25" s="1"/>
      <x:c r="S25" s="1"/>
      <x:c r="T25" s="1"/>
    </x:row>
    <x:row r="26" ht="18" customHeight="1">
      <x:c r="A26" s="1"/>
      <x:c r="B26" s="19" t="n">
        <x:v>19</x:v>
      </x:c>
      <x:c r="C26" s="56"/>
      <x:c r="D26" s="27"/>
      <x:c r="E26" s="27"/>
      <x:c r="F26" s="27"/>
      <x:c r="G26" s="27"/>
      <x:c r="H26" s="27"/>
      <x:c r="I26" s="1"/>
      <x:c r="J26" s="1"/>
      <x:c r="K26" s="1"/>
      <x:c r="L26" s="1"/>
      <x:c r="M26" s="1"/>
      <x:c r="N26" s="1"/>
      <x:c r="O26" s="1"/>
      <x:c r="P26" s="1"/>
      <x:c r="Q26" s="1"/>
      <x:c r="R26" s="1"/>
      <x:c r="S26" s="1"/>
      <x:c r="T26" s="1"/>
    </x:row>
    <x:row r="27" ht="18" customHeight="1">
      <x:c r="A27" s="1"/>
      <x:c r="B27" s="19" t="n">
        <x:v>20</x:v>
      </x:c>
      <x:c r="C27" s="56"/>
      <x:c r="D27" s="27"/>
      <x:c r="E27" s="27"/>
      <x:c r="F27" s="27"/>
      <x:c r="G27" s="27"/>
      <x:c r="H27" s="27"/>
      <x:c r="I27" s="1"/>
      <x:c r="J27" s="1"/>
      <x:c r="K27" s="1"/>
      <x:c r="L27" s="1"/>
      <x:c r="M27" s="1"/>
      <x:c r="N27" s="1"/>
      <x:c r="O27" s="1"/>
      <x:c r="P27" s="1"/>
      <x:c r="Q27" s="1"/>
      <x:c r="R27" s="1"/>
      <x:c r="S27" s="1"/>
      <x:c r="T27" s="1"/>
    </x:row>
    <x:row r="28" ht="18" customHeight="1">
      <x:c r="A28" s="1"/>
      <x:c r="B28" s="19" t="n">
        <x:v>21</x:v>
      </x:c>
      <x:c r="C28" s="56"/>
      <x:c r="D28" s="27"/>
      <x:c r="E28" s="27"/>
      <x:c r="F28" s="27"/>
      <x:c r="G28" s="27"/>
      <x:c r="H28" s="27"/>
      <x:c r="I28" s="1"/>
      <x:c r="J28" s="1"/>
      <x:c r="K28" s="1"/>
      <x:c r="L28" s="1"/>
      <x:c r="M28" s="1"/>
      <x:c r="N28" s="1"/>
      <x:c r="O28" s="1"/>
      <x:c r="P28" s="1"/>
      <x:c r="Q28" s="1"/>
      <x:c r="R28" s="1"/>
      <x:c r="S28" s="1"/>
      <x:c r="T28" s="1"/>
    </x:row>
    <x:row r="29" ht="18" customHeight="1">
      <x:c r="A29" s="1"/>
      <x:c r="B29" s="19" t="n">
        <x:v>22</x:v>
      </x:c>
      <x:c r="C29" s="56"/>
      <x:c r="D29" s="27"/>
      <x:c r="E29" s="27"/>
      <x:c r="F29" s="27"/>
      <x:c r="G29" s="27"/>
      <x:c r="H29" s="27"/>
      <x:c r="I29" s="1"/>
      <x:c r="J29" s="1"/>
      <x:c r="K29" s="1"/>
      <x:c r="L29" s="1"/>
      <x:c r="M29" s="1"/>
      <x:c r="N29" s="1"/>
      <x:c r="O29" s="1"/>
      <x:c r="P29" s="1"/>
      <x:c r="Q29" s="1"/>
      <x:c r="R29" s="1"/>
      <x:c r="S29" s="1"/>
      <x:c r="T29" s="1"/>
    </x:row>
    <x:row r="30" ht="18" customHeight="1">
      <x:c r="A30" s="1"/>
      <x:c r="B30" s="19" t="n">
        <x:v>23</x:v>
      </x:c>
      <x:c r="C30" s="56"/>
      <x:c r="D30" s="27"/>
      <x:c r="E30" s="27"/>
      <x:c r="F30" s="27"/>
      <x:c r="G30" s="27"/>
      <x:c r="H30" s="27"/>
      <x:c r="I30" s="1"/>
      <x:c r="J30" s="1"/>
      <x:c r="K30" s="1"/>
      <x:c r="L30" s="1"/>
      <x:c r="M30" s="1"/>
      <x:c r="N30" s="1"/>
      <x:c r="O30" s="1"/>
      <x:c r="P30" s="1"/>
      <x:c r="Q30" s="1"/>
      <x:c r="R30" s="1"/>
      <x:c r="S30" s="1"/>
      <x:c r="T30" s="1"/>
    </x:row>
    <x:row r="31" ht="18" customHeight="1">
      <x:c r="A31" s="1"/>
      <x:c r="B31" s="19" t="n">
        <x:v>24</x:v>
      </x:c>
      <x:c r="C31" s="56"/>
      <x:c r="D31" s="27"/>
      <x:c r="E31" s="27"/>
      <x:c r="F31" s="27"/>
      <x:c r="G31" s="27"/>
      <x:c r="H31" s="27"/>
      <x:c r="I31" s="1"/>
      <x:c r="J31" s="1"/>
      <x:c r="K31" s="1"/>
      <x:c r="L31" s="1"/>
      <x:c r="M31" s="1"/>
      <x:c r="N31" s="1"/>
      <x:c r="O31" s="1"/>
      <x:c r="P31" s="1"/>
      <x:c r="Q31" s="1"/>
      <x:c r="R31" s="1"/>
      <x:c r="S31" s="1"/>
      <x:c r="T31" s="1"/>
    </x:row>
    <x:row r="32" ht="18" customHeight="1">
      <x:c r="A32" s="1"/>
      <x:c r="B32" s="19" t="n">
        <x:v>25</x:v>
      </x:c>
      <x:c r="C32" s="56"/>
      <x:c r="D32" s="27"/>
      <x:c r="E32" s="27"/>
      <x:c r="F32" s="27"/>
      <x:c r="G32" s="27"/>
      <x:c r="H32" s="27"/>
      <x:c r="I32" s="1"/>
      <x:c r="J32" s="1"/>
      <x:c r="K32" s="1"/>
      <x:c r="L32" s="1"/>
      <x:c r="M32" s="1"/>
      <x:c r="N32" s="1"/>
      <x:c r="O32" s="1"/>
      <x:c r="P32" s="1"/>
      <x:c r="Q32" s="1"/>
      <x:c r="R32" s="1"/>
      <x:c r="S32" s="1"/>
      <x:c r="T32" s="1"/>
    </x:row>
    <x:row r="33" ht="18" customHeight="1">
      <x:c r="A33" s="1"/>
      <x:c r="B33" s="19" t="n">
        <x:v>26</x:v>
      </x:c>
      <x:c r="C33" s="56"/>
      <x:c r="D33" s="27"/>
      <x:c r="E33" s="27"/>
      <x:c r="F33" s="27"/>
      <x:c r="G33" s="27"/>
      <x:c r="H33" s="27"/>
      <x:c r="I33" s="1"/>
      <x:c r="J33" s="1"/>
      <x:c r="K33" s="1"/>
      <x:c r="L33" s="1"/>
      <x:c r="M33" s="1"/>
      <x:c r="N33" s="1"/>
      <x:c r="O33" s="1"/>
      <x:c r="P33" s="1"/>
      <x:c r="Q33" s="1"/>
      <x:c r="R33" s="1"/>
      <x:c r="S33" s="1"/>
      <x:c r="T33" s="1"/>
    </x:row>
    <x:row r="34" ht="18" customHeight="1">
      <x:c r="A34" s="1"/>
      <x:c r="B34" s="19" t="n">
        <x:v>27</x:v>
      </x:c>
      <x:c r="C34" s="56"/>
      <x:c r="D34" s="27"/>
      <x:c r="E34" s="27"/>
      <x:c r="F34" s="27"/>
      <x:c r="G34" s="27"/>
      <x:c r="H34" s="27"/>
      <x:c r="I34" s="1"/>
      <x:c r="J34" s="1"/>
      <x:c r="K34" s="1"/>
      <x:c r="L34" s="1"/>
      <x:c r="M34" s="1"/>
      <x:c r="N34" s="1"/>
      <x:c r="O34" s="1"/>
      <x:c r="P34" s="1"/>
      <x:c r="Q34" s="1"/>
      <x:c r="R34" s="1"/>
      <x:c r="S34" s="1"/>
      <x:c r="T34" s="1"/>
    </x:row>
    <x:row r="35" ht="18" customHeight="1">
      <x:c r="A35" s="1"/>
      <x:c r="B35" s="19" t="n">
        <x:v>28</x:v>
      </x:c>
      <x:c r="C35" s="56"/>
      <x:c r="D35" s="27"/>
      <x:c r="E35" s="27"/>
      <x:c r="F35" s="27"/>
      <x:c r="G35" s="27"/>
      <x:c r="H35" s="27"/>
      <x:c r="I35" s="1"/>
      <x:c r="J35" s="1"/>
      <x:c r="K35" s="1"/>
      <x:c r="L35" s="1"/>
      <x:c r="M35" s="1"/>
      <x:c r="N35" s="1"/>
      <x:c r="O35" s="1"/>
      <x:c r="P35" s="1"/>
      <x:c r="Q35" s="1"/>
      <x:c r="R35" s="1"/>
      <x:c r="S35" s="1"/>
      <x:c r="T35" s="1"/>
    </x:row>
    <x:row r="36" ht="18" customHeight="1">
      <x:c r="A36" s="1"/>
      <x:c r="B36" s="19" t="n">
        <x:v>29</x:v>
      </x:c>
      <x:c r="C36" s="56"/>
      <x:c r="D36" s="27"/>
      <x:c r="E36" s="27"/>
      <x:c r="F36" s="27"/>
      <x:c r="G36" s="27"/>
      <x:c r="H36" s="27"/>
      <x:c r="I36" s="1"/>
      <x:c r="J36" s="1"/>
      <x:c r="K36" s="1"/>
      <x:c r="L36" s="1"/>
      <x:c r="M36" s="1"/>
      <x:c r="N36" s="1"/>
      <x:c r="O36" s="1"/>
      <x:c r="P36" s="1"/>
      <x:c r="Q36" s="1"/>
      <x:c r="R36" s="1"/>
      <x:c r="S36" s="1"/>
      <x:c r="T36" s="1"/>
    </x:row>
    <x:row r="37" ht="18" customHeight="1">
      <x:c r="A37" s="1"/>
      <x:c r="B37" s="19" t="n">
        <x:v>30</x:v>
      </x:c>
      <x:c r="C37" s="56"/>
      <x:c r="D37" s="27"/>
      <x:c r="E37" s="27"/>
      <x:c r="F37" s="27"/>
      <x:c r="G37" s="27"/>
      <x:c r="H37" s="27"/>
      <x:c r="I37" s="1"/>
      <x:c r="J37" s="1"/>
      <x:c r="K37" s="1"/>
      <x:c r="L37" s="1"/>
      <x:c r="M37" s="1"/>
      <x:c r="N37" s="1"/>
      <x:c r="O37" s="1"/>
      <x:c r="P37" s="1"/>
      <x:c r="Q37" s="1"/>
      <x:c r="R37" s="1"/>
      <x:c r="S37" s="1"/>
      <x:c r="T37" s="1"/>
    </x:row>
    <x:row r="38" ht="18" customHeight="1">
      <x:c r="A38" s="1"/>
      <x:c r="B38" s="19" t="n">
        <x:v>31</x:v>
      </x:c>
      <x:c r="C38" s="56"/>
      <x:c r="D38" s="27"/>
      <x:c r="E38" s="27"/>
      <x:c r="F38" s="27"/>
      <x:c r="G38" s="27"/>
      <x:c r="H38" s="27"/>
      <x:c r="I38" s="1"/>
      <x:c r="J38" s="1"/>
      <x:c r="K38" s="1"/>
      <x:c r="L38" s="1"/>
      <x:c r="M38" s="1"/>
      <x:c r="N38" s="1"/>
      <x:c r="O38" s="1"/>
      <x:c r="P38" s="1"/>
      <x:c r="Q38" s="1"/>
      <x:c r="R38" s="1"/>
      <x:c r="S38" s="1"/>
      <x:c r="T38" s="1"/>
    </x:row>
    <x:row r="39" ht="18" customHeight="1">
      <x:c r="A39" s="1"/>
      <x:c r="B39" s="19" t="n">
        <x:v>32</x:v>
      </x:c>
      <x:c r="C39" s="56"/>
      <x:c r="D39" s="27"/>
      <x:c r="E39" s="27"/>
      <x:c r="F39" s="27"/>
      <x:c r="G39" s="27"/>
      <x:c r="H39" s="27"/>
      <x:c r="I39" s="1"/>
      <x:c r="J39" s="1"/>
      <x:c r="K39" s="1"/>
      <x:c r="L39" s="1"/>
      <x:c r="M39" s="1"/>
      <x:c r="N39" s="1"/>
      <x:c r="O39" s="1"/>
      <x:c r="P39" s="1"/>
      <x:c r="Q39" s="1"/>
      <x:c r="R39" s="1"/>
      <x:c r="S39" s="1"/>
      <x:c r="T39" s="1"/>
    </x:row>
    <x:row r="40" ht="18" customHeight="1">
      <x:c r="A40" s="1"/>
      <x:c r="B40" s="19" t="n">
        <x:v>33</x:v>
      </x:c>
      <x:c r="C40" s="56"/>
      <x:c r="D40" s="27"/>
      <x:c r="E40" s="27"/>
      <x:c r="F40" s="27"/>
      <x:c r="G40" s="27"/>
      <x:c r="H40" s="27"/>
      <x:c r="I40" s="1"/>
      <x:c r="J40" s="1"/>
      <x:c r="K40" s="1"/>
      <x:c r="L40" s="1"/>
      <x:c r="M40" s="1"/>
      <x:c r="N40" s="1"/>
      <x:c r="O40" s="1"/>
      <x:c r="P40" s="1"/>
      <x:c r="Q40" s="1"/>
      <x:c r="R40" s="1"/>
      <x:c r="S40" s="1"/>
      <x:c r="T40" s="1"/>
    </x:row>
    <x:row r="41" ht="18" customHeight="1">
      <x:c r="A41" s="1"/>
      <x:c r="B41" s="19" t="n">
        <x:v>34</x:v>
      </x:c>
      <x:c r="C41" s="56"/>
      <x:c r="D41" s="27"/>
      <x:c r="E41" s="27"/>
      <x:c r="F41" s="27"/>
      <x:c r="G41" s="27"/>
      <x:c r="H41" s="27"/>
      <x:c r="I41" s="1"/>
      <x:c r="J41" s="1"/>
      <x:c r="K41" s="1"/>
      <x:c r="L41" s="1"/>
      <x:c r="M41" s="1"/>
      <x:c r="N41" s="1"/>
      <x:c r="O41" s="1"/>
      <x:c r="P41" s="1"/>
      <x:c r="Q41" s="1"/>
      <x:c r="R41" s="1"/>
      <x:c r="S41" s="1"/>
      <x:c r="T41" s="1"/>
    </x:row>
    <x:row r="42" ht="18" customHeight="1">
      <x:c r="A42" s="1"/>
      <x:c r="B42" s="19" t="n">
        <x:v>35</x:v>
      </x:c>
      <x:c r="C42" s="56"/>
      <x:c r="D42" s="27"/>
      <x:c r="E42" s="27"/>
      <x:c r="F42" s="27"/>
      <x:c r="G42" s="27"/>
      <x:c r="H42" s="27"/>
      <x:c r="I42" s="1"/>
      <x:c r="J42" s="1"/>
      <x:c r="K42" s="1"/>
      <x:c r="L42" s="1"/>
      <x:c r="M42" s="1"/>
      <x:c r="N42" s="1"/>
      <x:c r="O42" s="1"/>
      <x:c r="P42" s="1"/>
      <x:c r="Q42" s="1"/>
      <x:c r="R42" s="1"/>
      <x:c r="S42" s="1"/>
      <x:c r="T42" s="1"/>
    </x:row>
    <x:row r="43" ht="18" customHeight="1">
      <x:c r="A43" s="1"/>
      <x:c r="B43" s="19" t="n">
        <x:v>36</x:v>
      </x:c>
      <x:c r="C43" s="56"/>
      <x:c r="D43" s="27"/>
      <x:c r="E43" s="27"/>
      <x:c r="F43" s="27"/>
      <x:c r="G43" s="27"/>
      <x:c r="H43" s="27"/>
      <x:c r="I43" s="1"/>
      <x:c r="J43" s="1"/>
      <x:c r="K43" s="1"/>
      <x:c r="L43" s="1"/>
      <x:c r="M43" s="1"/>
      <x:c r="N43" s="1"/>
      <x:c r="O43" s="1"/>
      <x:c r="P43" s="1"/>
      <x:c r="Q43" s="1"/>
      <x:c r="R43" s="1"/>
      <x:c r="S43" s="1"/>
      <x:c r="T43" s="1"/>
    </x:row>
    <x:row r="44" ht="18" customHeight="1">
      <x:c r="A44" s="1"/>
      <x:c r="B44" s="19" t="n">
        <x:v>37</x:v>
      </x:c>
      <x:c r="C44" s="56"/>
      <x:c r="D44" s="27"/>
      <x:c r="E44" s="27"/>
      <x:c r="F44" s="27"/>
      <x:c r="G44" s="27"/>
      <x:c r="H44" s="27"/>
      <x:c r="I44" s="1"/>
      <x:c r="J44" s="1"/>
      <x:c r="K44" s="1"/>
      <x:c r="L44" s="1"/>
      <x:c r="M44" s="1"/>
      <x:c r="N44" s="1"/>
      <x:c r="O44" s="1"/>
      <x:c r="P44" s="1"/>
      <x:c r="Q44" s="1"/>
      <x:c r="R44" s="1"/>
      <x:c r="S44" s="1"/>
      <x:c r="T44" s="1"/>
    </x:row>
    <x:row r="45" ht="18" customHeight="1">
      <x:c r="A45" s="1"/>
      <x:c r="B45" s="19" t="n">
        <x:v>38</x:v>
      </x:c>
      <x:c r="C45" s="56"/>
      <x:c r="D45" s="27"/>
      <x:c r="E45" s="27"/>
      <x:c r="F45" s="27"/>
      <x:c r="G45" s="27"/>
      <x:c r="H45" s="27"/>
      <x:c r="I45" s="1"/>
      <x:c r="J45" s="1"/>
      <x:c r="K45" s="1"/>
      <x:c r="L45" s="1"/>
      <x:c r="M45" s="1"/>
      <x:c r="N45" s="1"/>
      <x:c r="O45" s="1"/>
      <x:c r="P45" s="1"/>
      <x:c r="Q45" s="1"/>
      <x:c r="R45" s="1"/>
      <x:c r="S45" s="1"/>
      <x:c r="T45" s="1"/>
    </x:row>
    <x:row r="46" ht="18" customHeight="1">
      <x:c r="A46" s="1"/>
      <x:c r="B46" s="19" t="n">
        <x:v>39</x:v>
      </x:c>
      <x:c r="C46" s="56"/>
      <x:c r="D46" s="27"/>
      <x:c r="E46" s="27"/>
      <x:c r="F46" s="27"/>
      <x:c r="G46" s="27"/>
      <x:c r="H46" s="27"/>
      <x:c r="I46" s="1"/>
      <x:c r="J46" s="1"/>
      <x:c r="K46" s="1"/>
      <x:c r="L46" s="1"/>
      <x:c r="M46" s="1"/>
      <x:c r="N46" s="1"/>
      <x:c r="O46" s="1"/>
      <x:c r="P46" s="1"/>
      <x:c r="Q46" s="1"/>
      <x:c r="R46" s="1"/>
      <x:c r="S46" s="1"/>
      <x:c r="T46" s="1"/>
    </x:row>
    <x:row r="47" ht="18" customHeight="1">
      <x:c r="A47" s="1"/>
      <x:c r="B47" s="19" t="n">
        <x:v>40</x:v>
      </x:c>
      <x:c r="C47" s="56"/>
      <x:c r="D47" s="27"/>
      <x:c r="E47" s="27"/>
      <x:c r="F47" s="27"/>
      <x:c r="G47" s="27"/>
      <x:c r="H47" s="27"/>
      <x:c r="I47" s="1"/>
      <x:c r="J47" s="1"/>
      <x:c r="K47" s="1"/>
      <x:c r="L47" s="1"/>
      <x:c r="M47" s="1"/>
      <x:c r="N47" s="1"/>
      <x:c r="O47" s="1"/>
      <x:c r="P47" s="1"/>
      <x:c r="Q47" s="1"/>
      <x:c r="R47" s="1"/>
      <x:c r="S47" s="1"/>
      <x:c r="T47" s="1"/>
    </x:row>
    <x:row r="48" ht="18" customHeight="1">
      <x:c r="A48" s="1"/>
      <x:c r="B48" s="19" t="n">
        <x:v>41</x:v>
      </x:c>
      <x:c r="C48" s="56"/>
      <x:c r="D48" s="27"/>
      <x:c r="E48" s="27"/>
      <x:c r="F48" s="27"/>
      <x:c r="G48" s="27"/>
      <x:c r="H48" s="27"/>
      <x:c r="I48" s="1"/>
      <x:c r="J48" s="1"/>
      <x:c r="K48" s="1"/>
      <x:c r="L48" s="1"/>
      <x:c r="M48" s="1"/>
      <x:c r="N48" s="1"/>
      <x:c r="O48" s="1"/>
      <x:c r="P48" s="1"/>
      <x:c r="Q48" s="1"/>
      <x:c r="R48" s="1"/>
      <x:c r="S48" s="1"/>
      <x:c r="T48" s="1"/>
    </x:row>
    <x:row r="49" ht="18" customHeight="1">
      <x:c r="A49" s="1"/>
      <x:c r="B49" s="19" t="n">
        <x:v>42</x:v>
      </x:c>
      <x:c r="C49" s="56"/>
      <x:c r="D49" s="27"/>
      <x:c r="E49" s="27"/>
      <x:c r="F49" s="27"/>
      <x:c r="G49" s="27"/>
      <x:c r="H49" s="27"/>
      <x:c r="I49" s="1"/>
      <x:c r="J49" s="1"/>
      <x:c r="K49" s="1"/>
      <x:c r="L49" s="1"/>
      <x:c r="M49" s="1"/>
      <x:c r="N49" s="1"/>
      <x:c r="O49" s="1"/>
      <x:c r="P49" s="1"/>
      <x:c r="Q49" s="1"/>
      <x:c r="R49" s="1"/>
      <x:c r="S49" s="1"/>
      <x:c r="T49" s="1"/>
    </x:row>
    <x:row r="50" ht="18" customHeight="1">
      <x:c r="A50" s="1"/>
      <x:c r="B50" s="19" t="n">
        <x:v>43</x:v>
      </x:c>
      <x:c r="C50" s="56"/>
      <x:c r="D50" s="27"/>
      <x:c r="E50" s="27"/>
      <x:c r="F50" s="27"/>
      <x:c r="G50" s="27"/>
      <x:c r="H50" s="27"/>
      <x:c r="I50" s="1"/>
      <x:c r="J50" s="1"/>
      <x:c r="K50" s="1"/>
      <x:c r="L50" s="1"/>
      <x:c r="M50" s="1"/>
      <x:c r="N50" s="1"/>
      <x:c r="O50" s="1"/>
      <x:c r="P50" s="1"/>
      <x:c r="Q50" s="1"/>
      <x:c r="R50" s="1"/>
      <x:c r="S50" s="1"/>
      <x:c r="T50" s="1"/>
    </x:row>
    <x:row r="51" ht="18" customHeight="1">
      <x:c r="A51" s="1"/>
      <x:c r="B51" s="19" t="n">
        <x:v>44</x:v>
      </x:c>
      <x:c r="C51" s="56"/>
      <x:c r="D51" s="27"/>
      <x:c r="E51" s="27"/>
      <x:c r="F51" s="27"/>
      <x:c r="G51" s="27"/>
      <x:c r="H51" s="27"/>
      <x:c r="I51" s="1"/>
      <x:c r="J51" s="1"/>
      <x:c r="K51" s="1"/>
      <x:c r="L51" s="1"/>
      <x:c r="M51" s="1"/>
      <x:c r="N51" s="1"/>
      <x:c r="O51" s="1"/>
      <x:c r="P51" s="1"/>
      <x:c r="Q51" s="1"/>
      <x:c r="R51" s="1"/>
      <x:c r="S51" s="1"/>
      <x:c r="T51" s="1"/>
    </x:row>
    <x:row r="52" ht="18" customHeight="1">
      <x:c r="A52" s="1"/>
      <x:c r="B52" s="19" t="n">
        <x:v>45</x:v>
      </x:c>
      <x:c r="C52" s="56"/>
      <x:c r="D52" s="27"/>
      <x:c r="E52" s="27"/>
      <x:c r="F52" s="27"/>
      <x:c r="G52" s="27"/>
      <x:c r="H52" s="27"/>
      <x:c r="I52" s="1"/>
      <x:c r="J52" s="1"/>
      <x:c r="K52" s="1"/>
      <x:c r="L52" s="1"/>
      <x:c r="M52" s="1"/>
      <x:c r="N52" s="1"/>
      <x:c r="O52" s="1"/>
      <x:c r="P52" s="1"/>
      <x:c r="Q52" s="1"/>
      <x:c r="R52" s="1"/>
      <x:c r="S52" s="1"/>
      <x:c r="T52" s="1"/>
    </x:row>
    <x:row r="53" ht="18" customHeight="1">
      <x:c r="A53" s="1"/>
      <x:c r="B53" s="19" t="n">
        <x:v>46</x:v>
      </x:c>
      <x:c r="C53" s="56"/>
      <x:c r="D53" s="27"/>
      <x:c r="E53" s="27"/>
      <x:c r="F53" s="27"/>
      <x:c r="G53" s="27"/>
      <x:c r="H53" s="27"/>
      <x:c r="I53" s="1"/>
      <x:c r="J53" s="1"/>
      <x:c r="K53" s="1"/>
      <x:c r="L53" s="1"/>
      <x:c r="M53" s="1"/>
      <x:c r="N53" s="1"/>
      <x:c r="O53" s="1"/>
      <x:c r="P53" s="1"/>
      <x:c r="Q53" s="1"/>
      <x:c r="R53" s="1"/>
      <x:c r="S53" s="1"/>
      <x:c r="T53" s="1"/>
    </x:row>
    <x:row r="54" ht="18" customHeight="1">
      <x:c r="A54" s="1"/>
      <x:c r="B54" s="19" t="n">
        <x:v>47</x:v>
      </x:c>
      <x:c r="C54" s="56"/>
      <x:c r="D54" s="27"/>
      <x:c r="E54" s="27"/>
      <x:c r="F54" s="27"/>
      <x:c r="G54" s="27"/>
      <x:c r="H54" s="27"/>
      <x:c r="I54" s="1"/>
      <x:c r="J54" s="1"/>
      <x:c r="K54" s="1"/>
      <x:c r="L54" s="1"/>
      <x:c r="M54" s="1"/>
      <x:c r="N54" s="1"/>
      <x:c r="O54" s="1"/>
      <x:c r="P54" s="1"/>
      <x:c r="Q54" s="1"/>
      <x:c r="R54" s="1"/>
      <x:c r="S54" s="1"/>
      <x:c r="T54" s="1"/>
    </x:row>
    <x:row r="55" ht="18" customHeight="1">
      <x:c r="A55" s="1"/>
      <x:c r="B55" s="19" t="n">
        <x:v>48</x:v>
      </x:c>
      <x:c r="C55" s="56"/>
      <x:c r="D55" s="27"/>
      <x:c r="E55" s="27"/>
      <x:c r="F55" s="27"/>
      <x:c r="G55" s="27"/>
      <x:c r="H55" s="27"/>
      <x:c r="I55" s="1"/>
      <x:c r="J55" s="1"/>
      <x:c r="K55" s="1"/>
      <x:c r="L55" s="1"/>
      <x:c r="M55" s="1"/>
      <x:c r="N55" s="1"/>
      <x:c r="O55" s="1"/>
      <x:c r="P55" s="1"/>
      <x:c r="Q55" s="1"/>
      <x:c r="R55" s="1"/>
      <x:c r="S55" s="1"/>
      <x:c r="T55" s="1"/>
    </x:row>
    <x:row r="56" ht="18" customHeight="1">
      <x:c r="A56" s="1"/>
      <x:c r="B56" s="19" t="n">
        <x:v>49</x:v>
      </x:c>
      <x:c r="C56" s="56"/>
      <x:c r="D56" s="27"/>
      <x:c r="E56" s="27"/>
      <x:c r="F56" s="27"/>
      <x:c r="G56" s="27"/>
      <x:c r="H56" s="27"/>
      <x:c r="I56" s="1"/>
      <x:c r="J56" s="1"/>
      <x:c r="K56" s="1"/>
      <x:c r="L56" s="1"/>
      <x:c r="M56" s="1"/>
      <x:c r="N56" s="1"/>
      <x:c r="O56" s="1"/>
      <x:c r="P56" s="1"/>
      <x:c r="Q56" s="1"/>
      <x:c r="R56" s="1"/>
      <x:c r="S56" s="1"/>
      <x:c r="T56" s="1"/>
    </x:row>
    <x:row r="57" ht="18" customHeight="1">
      <x:c r="A57" s="1"/>
      <x:c r="B57" s="19" t="n">
        <x:v>50</x:v>
      </x:c>
      <x:c r="C57" s="56"/>
      <x:c r="D57" s="27"/>
      <x:c r="E57" s="27"/>
      <x:c r="F57" s="27"/>
      <x:c r="G57" s="27"/>
      <x:c r="H57" s="27"/>
      <x:c r="I57" s="1"/>
      <x:c r="J57" s="1"/>
      <x:c r="K57" s="1"/>
      <x:c r="L57" s="1"/>
      <x:c r="M57" s="1"/>
      <x:c r="N57" s="1"/>
      <x:c r="O57" s="1"/>
      <x:c r="P57" s="1"/>
      <x:c r="Q57" s="1"/>
      <x:c r="R57" s="1"/>
      <x:c r="S57" s="1"/>
      <x:c r="T57" s="1"/>
    </x:row>
    <x:row r="58" ht="18" customHeight="1">
      <x:c r="A58" s="1"/>
      <x:c r="B58" s="19" t="n">
        <x:v>51</x:v>
      </x:c>
      <x:c r="C58" s="56"/>
      <x:c r="D58" s="27"/>
      <x:c r="E58" s="27"/>
      <x:c r="F58" s="27"/>
      <x:c r="G58" s="27"/>
      <x:c r="H58" s="27"/>
      <x:c r="I58" s="1"/>
      <x:c r="J58" s="1"/>
      <x:c r="K58" s="1"/>
      <x:c r="L58" s="1"/>
      <x:c r="M58" s="1"/>
      <x:c r="N58" s="1"/>
      <x:c r="O58" s="1"/>
      <x:c r="P58" s="1"/>
      <x:c r="Q58" s="1"/>
      <x:c r="R58" s="1"/>
      <x:c r="S58" s="1"/>
      <x:c r="T58" s="1"/>
    </x:row>
    <x:row r="59" ht="18" customHeight="1">
      <x:c r="A59" s="1"/>
      <x:c r="B59" s="19" t="n">
        <x:v>52</x:v>
      </x:c>
      <x:c r="C59" s="56"/>
      <x:c r="D59" s="27"/>
      <x:c r="E59" s="27"/>
      <x:c r="F59" s="27"/>
      <x:c r="G59" s="27"/>
      <x:c r="H59" s="27"/>
      <x:c r="I59" s="1"/>
      <x:c r="J59" s="1"/>
      <x:c r="K59" s="1"/>
      <x:c r="L59" s="1"/>
      <x:c r="M59" s="1"/>
      <x:c r="N59" s="1"/>
      <x:c r="O59" s="1"/>
      <x:c r="P59" s="1"/>
      <x:c r="Q59" s="1"/>
      <x:c r="R59" s="1"/>
      <x:c r="S59" s="1"/>
      <x:c r="T59" s="1"/>
    </x:row>
    <x:row r="60" ht="18" customHeight="1">
      <x:c r="A60" s="1"/>
      <x:c r="B60" s="19" t="n">
        <x:v>53</x:v>
      </x:c>
      <x:c r="C60" s="56"/>
      <x:c r="D60" s="27"/>
      <x:c r="E60" s="27"/>
      <x:c r="F60" s="27"/>
      <x:c r="G60" s="27"/>
      <x:c r="H60" s="27"/>
      <x:c r="I60" s="1"/>
      <x:c r="J60" s="1"/>
      <x:c r="K60" s="1"/>
      <x:c r="L60" s="1"/>
      <x:c r="M60" s="1"/>
      <x:c r="N60" s="1"/>
      <x:c r="O60" s="1"/>
      <x:c r="P60" s="1"/>
      <x:c r="Q60" s="1"/>
      <x:c r="R60" s="1"/>
      <x:c r="S60" s="1"/>
      <x:c r="T60" s="1"/>
    </x:row>
    <x:row r="61" ht="18" customHeight="1">
      <x:c r="A61" s="1"/>
      <x:c r="B61" s="19" t="n">
        <x:v>54</x:v>
      </x:c>
      <x:c r="C61" s="56"/>
      <x:c r="D61" s="27"/>
      <x:c r="E61" s="27"/>
      <x:c r="F61" s="27"/>
      <x:c r="G61" s="27"/>
      <x:c r="H61" s="27"/>
      <x:c r="I61" s="1"/>
      <x:c r="J61" s="1"/>
      <x:c r="K61" s="1"/>
      <x:c r="L61" s="1"/>
      <x:c r="M61" s="1"/>
      <x:c r="N61" s="1"/>
      <x:c r="O61" s="1"/>
      <x:c r="P61" s="1"/>
      <x:c r="Q61" s="1"/>
      <x:c r="R61" s="1"/>
      <x:c r="S61" s="1"/>
      <x:c r="T61" s="1"/>
    </x:row>
    <x:row r="62" ht="18" customHeight="1">
      <x:c r="A62" s="1"/>
      <x:c r="B62" s="19" t="n">
        <x:v>55</x:v>
      </x:c>
      <x:c r="C62" s="56"/>
      <x:c r="D62" s="27"/>
      <x:c r="E62" s="27"/>
      <x:c r="F62" s="27"/>
      <x:c r="G62" s="27"/>
      <x:c r="H62" s="27"/>
      <x:c r="I62" s="1"/>
      <x:c r="J62" s="1"/>
      <x:c r="K62" s="1"/>
      <x:c r="L62" s="1"/>
      <x:c r="M62" s="1"/>
      <x:c r="N62" s="1"/>
      <x:c r="O62" s="1"/>
      <x:c r="P62" s="1"/>
      <x:c r="Q62" s="1"/>
      <x:c r="R62" s="1"/>
      <x:c r="S62" s="1"/>
      <x:c r="T62" s="1"/>
    </x:row>
    <x:row r="63" ht="18" customHeight="1">
      <x:c r="A63" s="1"/>
      <x:c r="B63" s="19" t="n">
        <x:v>56</x:v>
      </x:c>
      <x:c r="C63" s="56"/>
      <x:c r="D63" s="27"/>
      <x:c r="E63" s="27"/>
      <x:c r="F63" s="27"/>
      <x:c r="G63" s="27"/>
      <x:c r="H63" s="27"/>
      <x:c r="I63" s="1"/>
      <x:c r="J63" s="1"/>
      <x:c r="K63" s="1"/>
      <x:c r="L63" s="1"/>
      <x:c r="M63" s="1"/>
      <x:c r="N63" s="1"/>
      <x:c r="O63" s="1"/>
      <x:c r="P63" s="1"/>
      <x:c r="Q63" s="1"/>
      <x:c r="R63" s="1"/>
      <x:c r="S63" s="1"/>
      <x:c r="T63" s="1"/>
    </x:row>
    <x:row r="64" ht="18" customHeight="1">
      <x:c r="A64" s="1"/>
      <x:c r="B64" s="19" t="n">
        <x:v>57</x:v>
      </x:c>
      <x:c r="C64" s="56"/>
      <x:c r="D64" s="27"/>
      <x:c r="E64" s="27"/>
      <x:c r="F64" s="27"/>
      <x:c r="G64" s="27"/>
      <x:c r="H64" s="27"/>
      <x:c r="I64" s="1"/>
      <x:c r="J64" s="1"/>
      <x:c r="K64" s="1"/>
      <x:c r="L64" s="1"/>
      <x:c r="M64" s="1"/>
      <x:c r="N64" s="1"/>
      <x:c r="O64" s="1"/>
      <x:c r="P64" s="1"/>
      <x:c r="Q64" s="1"/>
      <x:c r="R64" s="1"/>
      <x:c r="S64" s="1"/>
      <x:c r="T64" s="1"/>
    </x:row>
    <x:row r="65" ht="18" customHeight="1">
      <x:c r="A65" s="1"/>
      <x:c r="B65" s="19" t="n">
        <x:v>58</x:v>
      </x:c>
      <x:c r="C65" s="56"/>
      <x:c r="D65" s="27"/>
      <x:c r="E65" s="27"/>
      <x:c r="F65" s="27"/>
      <x:c r="G65" s="27"/>
      <x:c r="H65" s="27"/>
      <x:c r="I65" s="1"/>
      <x:c r="J65" s="1"/>
      <x:c r="K65" s="1"/>
      <x:c r="L65" s="1"/>
      <x:c r="M65" s="1"/>
      <x:c r="N65" s="1"/>
      <x:c r="O65" s="1"/>
      <x:c r="P65" s="1"/>
      <x:c r="Q65" s="1"/>
      <x:c r="R65" s="1"/>
      <x:c r="S65" s="1"/>
      <x:c r="T65" s="1"/>
    </x:row>
    <x:row r="66" ht="18" customHeight="1">
      <x:c r="A66" s="1"/>
      <x:c r="B66" s="19" t="n">
        <x:v>59</x:v>
      </x:c>
      <x:c r="C66" s="56"/>
      <x:c r="D66" s="27"/>
      <x:c r="E66" s="27"/>
      <x:c r="F66" s="27"/>
      <x:c r="G66" s="27"/>
      <x:c r="H66" s="27"/>
      <x:c r="I66" s="1"/>
      <x:c r="J66" s="1"/>
      <x:c r="K66" s="1"/>
      <x:c r="L66" s="1"/>
      <x:c r="M66" s="1"/>
      <x:c r="N66" s="1"/>
      <x:c r="O66" s="1"/>
      <x:c r="P66" s="1"/>
      <x:c r="Q66" s="1"/>
      <x:c r="R66" s="1"/>
      <x:c r="S66" s="1"/>
      <x:c r="T66" s="1"/>
    </x:row>
    <x:row r="67" ht="18" customHeight="1">
      <x:c r="A67" s="1"/>
      <x:c r="B67" s="19" t="n">
        <x:v>60</x:v>
      </x:c>
      <x:c r="C67" s="56"/>
      <x:c r="D67" s="27"/>
      <x:c r="E67" s="27"/>
      <x:c r="F67" s="27"/>
      <x:c r="G67" s="27"/>
      <x:c r="H67" s="27"/>
      <x:c r="I67" s="1"/>
      <x:c r="J67" s="1"/>
      <x:c r="K67" s="1"/>
      <x:c r="L67" s="1"/>
      <x:c r="M67" s="1"/>
      <x:c r="N67" s="1"/>
      <x:c r="O67" s="1"/>
      <x:c r="P67" s="1"/>
      <x:c r="Q67" s="1"/>
      <x:c r="R67" s="1"/>
      <x:c r="S67" s="1"/>
      <x:c r="T67" s="1"/>
    </x:row>
    <x:row r="68" ht="18" customHeight="1">
      <x:c r="A68" s="1"/>
      <x:c r="B68" s="19" t="n">
        <x:v>61</x:v>
      </x:c>
      <x:c r="C68" s="56"/>
      <x:c r="D68" s="27"/>
      <x:c r="E68" s="27"/>
      <x:c r="F68" s="27"/>
      <x:c r="G68" s="27"/>
      <x:c r="H68" s="27"/>
      <x:c r="I68" s="1"/>
      <x:c r="J68" s="1"/>
      <x:c r="K68" s="1"/>
      <x:c r="L68" s="1"/>
      <x:c r="M68" s="1"/>
      <x:c r="N68" s="1"/>
      <x:c r="O68" s="1"/>
      <x:c r="P68" s="1"/>
      <x:c r="Q68" s="1"/>
      <x:c r="R68" s="1"/>
      <x:c r="S68" s="1"/>
      <x:c r="T68" s="1"/>
    </x:row>
    <x:row r="69" ht="18" customHeight="1">
      <x:c r="A69" s="1"/>
      <x:c r="B69" s="19" t="n">
        <x:v>62</x:v>
      </x:c>
      <x:c r="C69" s="56"/>
      <x:c r="D69" s="27"/>
      <x:c r="E69" s="27"/>
      <x:c r="F69" s="27"/>
      <x:c r="G69" s="27"/>
      <x:c r="H69" s="27"/>
      <x:c r="I69" s="1"/>
      <x:c r="J69" s="1"/>
      <x:c r="K69" s="1"/>
      <x:c r="L69" s="1"/>
      <x:c r="M69" s="1"/>
      <x:c r="N69" s="1"/>
      <x:c r="O69" s="1"/>
      <x:c r="P69" s="1"/>
      <x:c r="Q69" s="1"/>
      <x:c r="R69" s="1"/>
      <x:c r="S69" s="1"/>
      <x:c r="T69" s="1"/>
    </x:row>
    <x:row r="70" ht="18" customHeight="1">
      <x:c r="A70" s="1"/>
      <x:c r="B70" s="19" t="n">
        <x:v>63</x:v>
      </x:c>
      <x:c r="C70" s="56"/>
      <x:c r="D70" s="27"/>
      <x:c r="E70" s="27"/>
      <x:c r="F70" s="27"/>
      <x:c r="G70" s="27"/>
      <x:c r="H70" s="27"/>
      <x:c r="I70" s="1"/>
      <x:c r="J70" s="1"/>
      <x:c r="K70" s="1"/>
      <x:c r="L70" s="1"/>
      <x:c r="M70" s="1"/>
      <x:c r="N70" s="1"/>
      <x:c r="O70" s="1"/>
      <x:c r="P70" s="1"/>
      <x:c r="Q70" s="1"/>
      <x:c r="R70" s="1"/>
      <x:c r="S70" s="1"/>
      <x:c r="T70" s="1"/>
    </x:row>
    <x:row r="71" ht="18" customHeight="1">
      <x:c r="A71" s="1"/>
      <x:c r="B71" s="19" t="n">
        <x:v>64</x:v>
      </x:c>
      <x:c r="C71" s="56"/>
      <x:c r="D71" s="27"/>
      <x:c r="E71" s="27"/>
      <x:c r="F71" s="27"/>
      <x:c r="G71" s="27"/>
      <x:c r="H71" s="27"/>
      <x:c r="I71" s="1"/>
      <x:c r="J71" s="1"/>
      <x:c r="K71" s="1"/>
      <x:c r="L71" s="1"/>
      <x:c r="M71" s="1"/>
      <x:c r="N71" s="1"/>
      <x:c r="O71" s="1"/>
      <x:c r="P71" s="1"/>
      <x:c r="Q71" s="1"/>
      <x:c r="R71" s="1"/>
      <x:c r="S71" s="1"/>
      <x:c r="T71" s="1"/>
    </x:row>
    <x:row r="72" ht="18" customHeight="1">
      <x:c r="A72" s="1"/>
      <x:c r="B72" s="19" t="n">
        <x:v>65</x:v>
      </x:c>
      <x:c r="C72" s="56"/>
      <x:c r="D72" s="27"/>
      <x:c r="E72" s="27"/>
      <x:c r="F72" s="27"/>
      <x:c r="G72" s="27"/>
      <x:c r="H72" s="27"/>
      <x:c r="I72" s="1"/>
      <x:c r="J72" s="1"/>
      <x:c r="K72" s="1"/>
      <x:c r="L72" s="1"/>
      <x:c r="M72" s="1"/>
      <x:c r="N72" s="1"/>
      <x:c r="O72" s="1"/>
      <x:c r="P72" s="1"/>
      <x:c r="Q72" s="1"/>
      <x:c r="R72" s="1"/>
      <x:c r="S72" s="1"/>
      <x:c r="T72" s="1"/>
    </x:row>
    <x:row r="73" ht="18" customHeight="1">
      <x:c r="A73" s="1"/>
      <x:c r="B73" s="19" t="n">
        <x:v>66</x:v>
      </x:c>
      <x:c r="C73" s="56"/>
      <x:c r="D73" s="27"/>
      <x:c r="E73" s="27"/>
      <x:c r="F73" s="27"/>
      <x:c r="G73" s="27"/>
      <x:c r="H73" s="27"/>
      <x:c r="I73" s="1"/>
      <x:c r="J73" s="1"/>
      <x:c r="K73" s="1"/>
      <x:c r="L73" s="1"/>
      <x:c r="M73" s="1"/>
      <x:c r="N73" s="1"/>
      <x:c r="O73" s="1"/>
      <x:c r="P73" s="1"/>
      <x:c r="Q73" s="1"/>
      <x:c r="R73" s="1"/>
      <x:c r="S73" s="1"/>
      <x:c r="T73" s="1"/>
    </x:row>
    <x:row r="74" ht="18" customHeight="1">
      <x:c r="A74" s="1"/>
      <x:c r="B74" s="19" t="n">
        <x:v>67</x:v>
      </x:c>
      <x:c r="C74" s="56"/>
      <x:c r="D74" s="27"/>
      <x:c r="E74" s="27"/>
      <x:c r="F74" s="27"/>
      <x:c r="G74" s="27"/>
      <x:c r="H74" s="27"/>
      <x:c r="I74" s="1"/>
      <x:c r="J74" s="1"/>
      <x:c r="K74" s="1"/>
      <x:c r="L74" s="1"/>
      <x:c r="M74" s="1"/>
      <x:c r="N74" s="1"/>
      <x:c r="O74" s="1"/>
      <x:c r="P74" s="1"/>
      <x:c r="Q74" s="1"/>
      <x:c r="R74" s="1"/>
      <x:c r="S74" s="1"/>
      <x:c r="T74" s="1"/>
    </x:row>
    <x:row r="75" ht="18" customHeight="1">
      <x:c r="A75" s="1"/>
      <x:c r="B75" s="19" t="n">
        <x:v>68</x:v>
      </x:c>
      <x:c r="C75" s="56"/>
      <x:c r="D75" s="27"/>
      <x:c r="E75" s="27"/>
      <x:c r="F75" s="27"/>
      <x:c r="G75" s="27"/>
      <x:c r="H75" s="27"/>
      <x:c r="I75" s="1"/>
      <x:c r="J75" s="1"/>
      <x:c r="K75" s="1"/>
      <x:c r="L75" s="1"/>
      <x:c r="M75" s="1"/>
      <x:c r="N75" s="1"/>
      <x:c r="O75" s="1"/>
      <x:c r="P75" s="1"/>
      <x:c r="Q75" s="1"/>
      <x:c r="R75" s="1"/>
      <x:c r="S75" s="1"/>
      <x:c r="T75" s="1"/>
    </x:row>
    <x:row r="76" ht="18" customHeight="1">
      <x:c r="A76" s="1"/>
      <x:c r="B76" s="19" t="n">
        <x:v>69</x:v>
      </x:c>
      <x:c r="C76" s="56"/>
      <x:c r="D76" s="27"/>
      <x:c r="E76" s="27"/>
      <x:c r="F76" s="27"/>
      <x:c r="G76" s="27"/>
      <x:c r="H76" s="27"/>
      <x:c r="I76" s="1"/>
      <x:c r="J76" s="1"/>
      <x:c r="K76" s="1"/>
      <x:c r="L76" s="1"/>
      <x:c r="M76" s="1"/>
      <x:c r="N76" s="1"/>
      <x:c r="O76" s="1"/>
      <x:c r="P76" s="1"/>
      <x:c r="Q76" s="1"/>
      <x:c r="R76" s="1"/>
      <x:c r="S76" s="1"/>
      <x:c r="T76" s="1"/>
    </x:row>
    <x:row r="77" ht="18" customHeight="1">
      <x:c r="A77" s="1"/>
      <x:c r="B77" s="19" t="n">
        <x:v>70</x:v>
      </x:c>
      <x:c r="C77" s="56"/>
      <x:c r="D77" s="27"/>
      <x:c r="E77" s="27"/>
      <x:c r="F77" s="27"/>
      <x:c r="G77" s="27"/>
      <x:c r="H77" s="27"/>
      <x:c r="I77" s="1"/>
      <x:c r="J77" s="1"/>
      <x:c r="K77" s="1"/>
      <x:c r="L77" s="1"/>
      <x:c r="M77" s="1"/>
      <x:c r="N77" s="1"/>
      <x:c r="O77" s="1"/>
      <x:c r="P77" s="1"/>
      <x:c r="Q77" s="1"/>
      <x:c r="R77" s="1"/>
      <x:c r="S77" s="1"/>
      <x:c r="T77" s="1"/>
    </x:row>
    <x:row r="78" ht="18" customHeight="1">
      <x:c r="A78" s="1"/>
      <x:c r="B78" s="19" t="n">
        <x:v>71</x:v>
      </x:c>
      <x:c r="C78" s="56"/>
      <x:c r="D78" s="27"/>
      <x:c r="E78" s="27"/>
      <x:c r="F78" s="27"/>
      <x:c r="G78" s="27"/>
      <x:c r="H78" s="27"/>
      <x:c r="I78" s="1"/>
      <x:c r="J78" s="1"/>
      <x:c r="K78" s="1"/>
      <x:c r="L78" s="1"/>
      <x:c r="M78" s="1"/>
      <x:c r="N78" s="1"/>
      <x:c r="O78" s="1"/>
      <x:c r="P78" s="1"/>
      <x:c r="Q78" s="1"/>
      <x:c r="R78" s="1"/>
      <x:c r="S78" s="1"/>
      <x:c r="T78" s="1"/>
    </x:row>
    <x:row r="79" ht="18" customHeight="1">
      <x:c r="A79" s="1"/>
      <x:c r="B79" s="19" t="n">
        <x:v>72</x:v>
      </x:c>
      <x:c r="C79" s="56"/>
      <x:c r="D79" s="27"/>
      <x:c r="E79" s="27"/>
      <x:c r="F79" s="27"/>
      <x:c r="G79" s="27"/>
      <x:c r="H79" s="27"/>
      <x:c r="I79" s="1"/>
      <x:c r="J79" s="1"/>
      <x:c r="K79" s="1"/>
      <x:c r="L79" s="1"/>
      <x:c r="M79" s="1"/>
      <x:c r="N79" s="1"/>
      <x:c r="O79" s="1"/>
      <x:c r="P79" s="1"/>
      <x:c r="Q79" s="1"/>
      <x:c r="R79" s="1"/>
      <x:c r="S79" s="1"/>
      <x:c r="T79" s="1"/>
    </x:row>
    <x:row r="80" ht="18" customHeight="1">
      <x:c r="A80" s="1"/>
      <x:c r="B80" s="19" t="n">
        <x:v>73</x:v>
      </x:c>
      <x:c r="C80" s="56"/>
      <x:c r="D80" s="27"/>
      <x:c r="E80" s="27"/>
      <x:c r="F80" s="27"/>
      <x:c r="G80" s="27"/>
      <x:c r="H80" s="27"/>
      <x:c r="I80" s="1"/>
      <x:c r="J80" s="1"/>
      <x:c r="K80" s="1"/>
      <x:c r="L80" s="1"/>
      <x:c r="M80" s="1"/>
      <x:c r="N80" s="1"/>
      <x:c r="O80" s="1"/>
      <x:c r="P80" s="1"/>
      <x:c r="Q80" s="1"/>
      <x:c r="R80" s="1"/>
      <x:c r="S80" s="1"/>
      <x:c r="T80" s="1"/>
    </x:row>
    <x:row r="81" ht="18" customHeight="1">
      <x:c r="A81" s="1"/>
      <x:c r="B81" s="19" t="n">
        <x:v>74</x:v>
      </x:c>
      <x:c r="C81" s="56"/>
      <x:c r="D81" s="27"/>
      <x:c r="E81" s="27"/>
      <x:c r="F81" s="27"/>
      <x:c r="G81" s="27"/>
      <x:c r="H81" s="27"/>
      <x:c r="I81" s="1"/>
      <x:c r="J81" s="1"/>
      <x:c r="K81" s="1"/>
      <x:c r="L81" s="1"/>
      <x:c r="M81" s="1"/>
      <x:c r="N81" s="1"/>
      <x:c r="O81" s="1"/>
      <x:c r="P81" s="1"/>
      <x:c r="Q81" s="1"/>
      <x:c r="R81" s="1"/>
      <x:c r="S81" s="1"/>
      <x:c r="T81" s="1"/>
    </x:row>
    <x:row r="82" ht="18" customHeight="1">
      <x:c r="A82" s="1"/>
      <x:c r="B82" s="19" t="n">
        <x:v>75</x:v>
      </x:c>
      <x:c r="C82" s="56"/>
      <x:c r="D82" s="27"/>
      <x:c r="E82" s="27"/>
      <x:c r="F82" s="27"/>
      <x:c r="G82" s="27"/>
      <x:c r="H82" s="27"/>
      <x:c r="I82" s="1"/>
      <x:c r="J82" s="1"/>
      <x:c r="K82" s="1"/>
      <x:c r="L82" s="1"/>
      <x:c r="M82" s="1"/>
      <x:c r="N82" s="1"/>
      <x:c r="O82" s="1"/>
      <x:c r="P82" s="1"/>
      <x:c r="Q82" s="1"/>
      <x:c r="R82" s="1"/>
      <x:c r="S82" s="1"/>
      <x:c r="T82" s="1"/>
    </x:row>
    <x:row r="83" ht="18" customHeight="1">
      <x:c r="A83" s="1"/>
      <x:c r="B83" s="19" t="n">
        <x:v>76</x:v>
      </x:c>
      <x:c r="C83" s="56"/>
      <x:c r="D83" s="27"/>
      <x:c r="E83" s="27"/>
      <x:c r="F83" s="27"/>
      <x:c r="G83" s="27"/>
      <x:c r="H83" s="27"/>
      <x:c r="I83" s="1"/>
      <x:c r="J83" s="1"/>
      <x:c r="K83" s="1"/>
      <x:c r="L83" s="1"/>
      <x:c r="M83" s="1"/>
      <x:c r="N83" s="1"/>
      <x:c r="O83" s="1"/>
      <x:c r="P83" s="1"/>
      <x:c r="Q83" s="1"/>
      <x:c r="R83" s="1"/>
      <x:c r="S83" s="1"/>
      <x:c r="T83" s="1"/>
    </x:row>
    <x:row r="84" ht="18" customHeight="1">
      <x:c r="A84" s="1"/>
      <x:c r="B84" s="19" t="n">
        <x:v>77</x:v>
      </x:c>
      <x:c r="C84" s="56"/>
      <x:c r="D84" s="27"/>
      <x:c r="E84" s="27"/>
      <x:c r="F84" s="27"/>
      <x:c r="G84" s="27"/>
      <x:c r="H84" s="27"/>
      <x:c r="I84" s="1"/>
      <x:c r="J84" s="1"/>
      <x:c r="K84" s="1"/>
      <x:c r="L84" s="1"/>
      <x:c r="M84" s="1"/>
      <x:c r="N84" s="1"/>
      <x:c r="O84" s="1"/>
      <x:c r="P84" s="1"/>
      <x:c r="Q84" s="1"/>
      <x:c r="R84" s="1"/>
      <x:c r="S84" s="1"/>
      <x:c r="T84" s="1"/>
    </x:row>
    <x:row r="85" ht="18" customHeight="1">
      <x:c r="A85" s="1"/>
      <x:c r="B85" s="19" t="n">
        <x:v>78</x:v>
      </x:c>
      <x:c r="C85" s="56"/>
      <x:c r="D85" s="27"/>
      <x:c r="E85" s="27"/>
      <x:c r="F85" s="27"/>
      <x:c r="G85" s="27"/>
      <x:c r="H85" s="27"/>
      <x:c r="I85" s="1"/>
      <x:c r="J85" s="1"/>
      <x:c r="K85" s="1"/>
      <x:c r="L85" s="1"/>
      <x:c r="M85" s="1"/>
      <x:c r="N85" s="1"/>
      <x:c r="O85" s="1"/>
      <x:c r="P85" s="1"/>
      <x:c r="Q85" s="1"/>
      <x:c r="R85" s="1"/>
      <x:c r="S85" s="1"/>
      <x:c r="T85" s="1"/>
    </x:row>
    <x:row r="86" ht="18" customHeight="1">
      <x:c r="A86" s="1"/>
      <x:c r="B86" s="19" t="n">
        <x:v>79</x:v>
      </x:c>
      <x:c r="C86" s="56"/>
      <x:c r="D86" s="27"/>
      <x:c r="E86" s="27"/>
      <x:c r="F86" s="27"/>
      <x:c r="G86" s="27"/>
      <x:c r="H86" s="27"/>
      <x:c r="I86" s="1"/>
      <x:c r="J86" s="1"/>
      <x:c r="K86" s="1"/>
      <x:c r="L86" s="1"/>
      <x:c r="M86" s="1"/>
      <x:c r="N86" s="1"/>
      <x:c r="O86" s="1"/>
      <x:c r="P86" s="1"/>
      <x:c r="Q86" s="1"/>
      <x:c r="R86" s="1"/>
      <x:c r="S86" s="1"/>
      <x:c r="T86" s="1"/>
    </x:row>
    <x:row r="87" ht="18" customHeight="1">
      <x:c r="A87" s="1"/>
      <x:c r="B87" s="19" t="n">
        <x:v>80</x:v>
      </x:c>
      <x:c r="C87" s="56"/>
      <x:c r="D87" s="27"/>
      <x:c r="E87" s="27"/>
      <x:c r="F87" s="27"/>
      <x:c r="G87" s="27"/>
      <x:c r="H87" s="27"/>
      <x:c r="I87" s="1"/>
      <x:c r="J87" s="1"/>
      <x:c r="K87" s="1"/>
      <x:c r="L87" s="1"/>
      <x:c r="M87" s="1"/>
      <x:c r="N87" s="1"/>
      <x:c r="O87" s="1"/>
      <x:c r="P87" s="1"/>
      <x:c r="Q87" s="1"/>
      <x:c r="R87" s="1"/>
      <x:c r="S87" s="1"/>
      <x:c r="T87" s="1"/>
    </x:row>
    <x:row r="88" ht="18" customHeight="1">
      <x:c r="A88" s="1"/>
      <x:c r="B88" s="19" t="n">
        <x:v>81</x:v>
      </x:c>
      <x:c r="C88" s="56"/>
      <x:c r="D88" s="27"/>
      <x:c r="E88" s="27"/>
      <x:c r="F88" s="27"/>
      <x:c r="G88" s="27"/>
      <x:c r="H88" s="27"/>
      <x:c r="I88" s="1"/>
      <x:c r="J88" s="1"/>
      <x:c r="K88" s="1"/>
      <x:c r="L88" s="1"/>
      <x:c r="M88" s="1"/>
      <x:c r="N88" s="1"/>
      <x:c r="O88" s="1"/>
      <x:c r="P88" s="1"/>
      <x:c r="Q88" s="1"/>
      <x:c r="R88" s="1"/>
      <x:c r="S88" s="1"/>
      <x:c r="T88" s="1"/>
    </x:row>
    <x:row r="89" ht="18" customHeight="1">
      <x:c r="A89" s="1"/>
      <x:c r="B89" s="19" t="n">
        <x:v>82</x:v>
      </x:c>
      <x:c r="C89" s="56"/>
      <x:c r="D89" s="27"/>
      <x:c r="E89" s="27"/>
      <x:c r="F89" s="27"/>
      <x:c r="G89" s="27"/>
      <x:c r="H89" s="27"/>
      <x:c r="I89" s="1"/>
      <x:c r="J89" s="1"/>
      <x:c r="K89" s="1"/>
      <x:c r="L89" s="1"/>
      <x:c r="M89" s="1"/>
      <x:c r="N89" s="1"/>
      <x:c r="O89" s="1"/>
      <x:c r="P89" s="1"/>
      <x:c r="Q89" s="1"/>
      <x:c r="R89" s="1"/>
      <x:c r="S89" s="1"/>
      <x:c r="T89" s="1"/>
    </x:row>
    <x:row r="90" ht="18" customHeight="1">
      <x:c r="A90" s="1"/>
      <x:c r="B90" s="19" t="n">
        <x:v>83</x:v>
      </x:c>
      <x:c r="C90" s="56"/>
      <x:c r="D90" s="27"/>
      <x:c r="E90" s="27"/>
      <x:c r="F90" s="27"/>
      <x:c r="G90" s="27"/>
      <x:c r="H90" s="27"/>
      <x:c r="I90" s="1"/>
      <x:c r="J90" s="1"/>
      <x:c r="K90" s="1"/>
      <x:c r="L90" s="1"/>
      <x:c r="M90" s="1"/>
      <x:c r="N90" s="1"/>
      <x:c r="O90" s="1"/>
      <x:c r="P90" s="1"/>
      <x:c r="Q90" s="1"/>
      <x:c r="R90" s="1"/>
      <x:c r="S90" s="1"/>
      <x:c r="T90" s="1"/>
    </x:row>
    <x:row r="91" ht="18" customHeight="1">
      <x:c r="A91" s="1"/>
      <x:c r="B91" s="19" t="n">
        <x:v>84</x:v>
      </x:c>
      <x:c r="C91" s="56"/>
      <x:c r="D91" s="27"/>
      <x:c r="E91" s="27"/>
      <x:c r="F91" s="27"/>
      <x:c r="G91" s="27"/>
      <x:c r="H91" s="27"/>
      <x:c r="I91" s="1"/>
      <x:c r="J91" s="1"/>
      <x:c r="K91" s="1"/>
      <x:c r="L91" s="1"/>
      <x:c r="M91" s="1"/>
      <x:c r="N91" s="1"/>
      <x:c r="O91" s="1"/>
      <x:c r="P91" s="1"/>
      <x:c r="Q91" s="1"/>
      <x:c r="R91" s="1"/>
      <x:c r="S91" s="1"/>
      <x:c r="T91" s="1"/>
    </x:row>
    <x:row r="92" ht="18" customHeight="1">
      <x:c r="A92" s="1"/>
      <x:c r="B92" s="19" t="n">
        <x:v>85</x:v>
      </x:c>
      <x:c r="C92" s="56"/>
      <x:c r="D92" s="27"/>
      <x:c r="E92" s="27"/>
      <x:c r="F92" s="27"/>
      <x:c r="G92" s="27"/>
      <x:c r="H92" s="27"/>
      <x:c r="I92" s="1"/>
      <x:c r="J92" s="1"/>
      <x:c r="K92" s="1"/>
      <x:c r="L92" s="1"/>
      <x:c r="M92" s="1"/>
      <x:c r="N92" s="1"/>
      <x:c r="O92" s="1"/>
      <x:c r="P92" s="1"/>
      <x:c r="Q92" s="1"/>
      <x:c r="R92" s="1"/>
      <x:c r="S92" s="1"/>
      <x:c r="T92" s="1"/>
    </x:row>
    <x:row r="93" ht="18" customHeight="1">
      <x:c r="A93" s="1"/>
      <x:c r="B93" s="19" t="n">
        <x:v>86</x:v>
      </x:c>
      <x:c r="C93" s="56"/>
      <x:c r="D93" s="27"/>
      <x:c r="E93" s="27"/>
      <x:c r="F93" s="27"/>
      <x:c r="G93" s="27"/>
      <x:c r="H93" s="27"/>
      <x:c r="I93" s="1"/>
      <x:c r="J93" s="1"/>
      <x:c r="K93" s="1"/>
      <x:c r="L93" s="1"/>
      <x:c r="M93" s="1"/>
      <x:c r="N93" s="1"/>
      <x:c r="O93" s="1"/>
      <x:c r="P93" s="1"/>
      <x:c r="Q93" s="1"/>
      <x:c r="R93" s="1"/>
      <x:c r="S93" s="1"/>
      <x:c r="T93" s="1"/>
    </x:row>
    <x:row r="94" ht="18" customHeight="1">
      <x:c r="A94" s="1"/>
      <x:c r="B94" s="19" t="n">
        <x:v>87</x:v>
      </x:c>
      <x:c r="C94" s="56"/>
      <x:c r="D94" s="27"/>
      <x:c r="E94" s="27"/>
      <x:c r="F94" s="27"/>
      <x:c r="G94" s="27"/>
      <x:c r="H94" s="27"/>
      <x:c r="I94" s="1"/>
      <x:c r="J94" s="1"/>
      <x:c r="K94" s="1"/>
      <x:c r="L94" s="1"/>
      <x:c r="M94" s="1"/>
      <x:c r="N94" s="1"/>
      <x:c r="O94" s="1"/>
      <x:c r="P94" s="1"/>
      <x:c r="Q94" s="1"/>
      <x:c r="R94" s="1"/>
      <x:c r="S94" s="1"/>
      <x:c r="T94" s="1"/>
    </x:row>
    <x:row r="95" ht="18" customHeight="1">
      <x:c r="A95" s="1"/>
      <x:c r="B95" s="19" t="n">
        <x:v>88</x:v>
      </x:c>
      <x:c r="C95" s="56"/>
      <x:c r="D95" s="27"/>
      <x:c r="E95" s="27"/>
      <x:c r="F95" s="27"/>
      <x:c r="G95" s="27"/>
      <x:c r="H95" s="27"/>
      <x:c r="I95" s="1"/>
      <x:c r="J95" s="1"/>
      <x:c r="K95" s="1"/>
      <x:c r="L95" s="1"/>
      <x:c r="M95" s="1"/>
      <x:c r="N95" s="1"/>
      <x:c r="O95" s="1"/>
      <x:c r="P95" s="1"/>
      <x:c r="Q95" s="1"/>
      <x:c r="R95" s="1"/>
      <x:c r="S95" s="1"/>
      <x:c r="T95" s="1"/>
    </x:row>
    <x:row r="96" ht="18" customHeight="1">
      <x:c r="A96" s="1"/>
      <x:c r="B96" s="19" t="n">
        <x:v>89</x:v>
      </x:c>
      <x:c r="C96" s="56"/>
      <x:c r="D96" s="27"/>
      <x:c r="E96" s="27"/>
      <x:c r="F96" s="27"/>
      <x:c r="G96" s="27"/>
      <x:c r="H96" s="27"/>
      <x:c r="I96" s="1"/>
      <x:c r="J96" s="1"/>
      <x:c r="K96" s="1"/>
      <x:c r="L96" s="1"/>
      <x:c r="M96" s="1"/>
      <x:c r="N96" s="1"/>
      <x:c r="O96" s="1"/>
      <x:c r="P96" s="1"/>
      <x:c r="Q96" s="1"/>
      <x:c r="R96" s="1"/>
      <x:c r="S96" s="1"/>
      <x:c r="T96" s="1"/>
    </x:row>
    <x:row r="97" ht="18" customHeight="1">
      <x:c r="A97" s="1"/>
      <x:c r="B97" s="19" t="n">
        <x:v>90</x:v>
      </x:c>
      <x:c r="C97" s="56"/>
      <x:c r="D97" s="27"/>
      <x:c r="E97" s="27"/>
      <x:c r="F97" s="27"/>
      <x:c r="G97" s="27"/>
      <x:c r="H97" s="27"/>
      <x:c r="I97" s="1"/>
      <x:c r="J97" s="1"/>
      <x:c r="K97" s="1"/>
      <x:c r="L97" s="1"/>
      <x:c r="M97" s="1"/>
      <x:c r="N97" s="1"/>
      <x:c r="O97" s="1"/>
      <x:c r="P97" s="1"/>
      <x:c r="Q97" s="1"/>
      <x:c r="R97" s="1"/>
      <x:c r="S97" s="1"/>
      <x:c r="T97" s="1"/>
    </x:row>
    <x:row r="98" ht="18" customHeight="1">
      <x:c r="A98" s="1"/>
      <x:c r="B98" s="19" t="n">
        <x:v>91</x:v>
      </x:c>
      <x:c r="C98" s="56"/>
      <x:c r="D98" s="27"/>
      <x:c r="E98" s="27"/>
      <x:c r="F98" s="27"/>
      <x:c r="G98" s="27"/>
      <x:c r="H98" s="27"/>
      <x:c r="I98" s="1"/>
      <x:c r="J98" s="1"/>
      <x:c r="K98" s="1"/>
      <x:c r="L98" s="1"/>
      <x:c r="M98" s="1"/>
      <x:c r="N98" s="1"/>
      <x:c r="O98" s="1"/>
      <x:c r="P98" s="1"/>
      <x:c r="Q98" s="1"/>
      <x:c r="R98" s="1"/>
      <x:c r="S98" s="1"/>
      <x:c r="T98" s="1"/>
    </x:row>
    <x:row r="99" ht="18" customHeight="1">
      <x:c r="A99" s="1"/>
      <x:c r="B99" s="19" t="n">
        <x:v>92</x:v>
      </x:c>
      <x:c r="C99" s="56"/>
      <x:c r="D99" s="27"/>
      <x:c r="E99" s="27"/>
      <x:c r="F99" s="27"/>
      <x:c r="G99" s="27"/>
      <x:c r="H99" s="27"/>
      <x:c r="I99" s="1"/>
      <x:c r="J99" s="1"/>
      <x:c r="K99" s="1"/>
      <x:c r="L99" s="1"/>
      <x:c r="M99" s="1"/>
      <x:c r="N99" s="1"/>
      <x:c r="O99" s="1"/>
      <x:c r="P99" s="1"/>
      <x:c r="Q99" s="1"/>
      <x:c r="R99" s="1"/>
      <x:c r="S99" s="1"/>
      <x:c r="T99" s="1"/>
    </x:row>
    <x:row r="100" ht="18" customHeight="1">
      <x:c r="A100" s="1"/>
      <x:c r="B100" s="19" t="n">
        <x:v>93</x:v>
      </x:c>
      <x:c r="C100" s="56"/>
      <x:c r="D100" s="27"/>
      <x:c r="E100" s="27"/>
      <x:c r="F100" s="27"/>
      <x:c r="G100" s="27"/>
      <x:c r="H100" s="27"/>
      <x:c r="I100" s="1"/>
      <x:c r="J100" s="1"/>
      <x:c r="K100" s="1"/>
      <x:c r="L100" s="1"/>
      <x:c r="M100" s="1"/>
      <x:c r="N100" s="1"/>
      <x:c r="O100" s="1"/>
      <x:c r="P100" s="1"/>
      <x:c r="Q100" s="1"/>
      <x:c r="R100" s="1"/>
      <x:c r="S100" s="1"/>
      <x:c r="T100" s="1"/>
    </x:row>
    <x:row r="101" ht="18" customHeight="1">
      <x:c r="A101" s="1"/>
      <x:c r="B101" s="19" t="n">
        <x:v>94</x:v>
      </x:c>
      <x:c r="C101" s="56"/>
      <x:c r="D101" s="27"/>
      <x:c r="E101" s="27"/>
      <x:c r="F101" s="27"/>
      <x:c r="G101" s="27"/>
      <x:c r="H101" s="27"/>
      <x:c r="I101" s="1"/>
      <x:c r="J101" s="1"/>
      <x:c r="K101" s="1"/>
      <x:c r="L101" s="1"/>
      <x:c r="M101" s="1"/>
      <x:c r="N101" s="1"/>
      <x:c r="O101" s="1"/>
      <x:c r="P101" s="1"/>
      <x:c r="Q101" s="1"/>
      <x:c r="R101" s="1"/>
      <x:c r="S101" s="1"/>
      <x:c r="T101" s="1"/>
    </x:row>
    <x:row r="102" ht="18" customHeight="1">
      <x:c r="A102" s="1"/>
      <x:c r="B102" s="19" t="n">
        <x:v>95</x:v>
      </x:c>
      <x:c r="C102" s="56"/>
      <x:c r="D102" s="27"/>
      <x:c r="E102" s="27"/>
      <x:c r="F102" s="27"/>
      <x:c r="G102" s="27"/>
      <x:c r="H102" s="27"/>
      <x:c r="I102" s="1"/>
      <x:c r="J102" s="1"/>
      <x:c r="K102" s="1"/>
      <x:c r="L102" s="1"/>
      <x:c r="M102" s="1"/>
      <x:c r="N102" s="1"/>
      <x:c r="O102" s="1"/>
      <x:c r="P102" s="1"/>
      <x:c r="Q102" s="1"/>
      <x:c r="R102" s="1"/>
      <x:c r="S102" s="1"/>
      <x:c r="T102" s="1"/>
    </x:row>
    <x:row r="103" ht="18" customHeight="1">
      <x:c r="A103" s="1"/>
      <x:c r="B103" s="19" t="n">
        <x:v>96</x:v>
      </x:c>
      <x:c r="C103" s="56"/>
      <x:c r="D103" s="27"/>
      <x:c r="E103" s="27"/>
      <x:c r="F103" s="27"/>
      <x:c r="G103" s="27"/>
      <x:c r="H103" s="27"/>
      <x:c r="I103" s="1"/>
      <x:c r="J103" s="1"/>
      <x:c r="K103" s="1"/>
      <x:c r="L103" s="1"/>
      <x:c r="M103" s="1"/>
      <x:c r="N103" s="1"/>
      <x:c r="O103" s="1"/>
      <x:c r="P103" s="1"/>
      <x:c r="Q103" s="1"/>
      <x:c r="R103" s="1"/>
      <x:c r="S103" s="1"/>
      <x:c r="T103" s="1"/>
    </x:row>
    <x:row r="104" ht="18" customHeight="1">
      <x:c r="A104" s="1"/>
      <x:c r="B104" s="19" t="n">
        <x:v>97</x:v>
      </x:c>
      <x:c r="C104" s="56"/>
      <x:c r="D104" s="27"/>
      <x:c r="E104" s="27"/>
      <x:c r="F104" s="27"/>
      <x:c r="G104" s="27"/>
      <x:c r="H104" s="27"/>
      <x:c r="I104" s="1"/>
      <x:c r="J104" s="1"/>
      <x:c r="K104" s="1"/>
      <x:c r="L104" s="1"/>
      <x:c r="M104" s="1"/>
      <x:c r="N104" s="1"/>
      <x:c r="O104" s="1"/>
      <x:c r="P104" s="1"/>
      <x:c r="Q104" s="1"/>
      <x:c r="R104" s="1"/>
      <x:c r="S104" s="1"/>
      <x:c r="T104" s="1"/>
    </x:row>
    <x:row r="105" ht="18" customHeight="1">
      <x:c r="A105" s="1"/>
      <x:c r="B105" s="19" t="n">
        <x:v>98</x:v>
      </x:c>
      <x:c r="C105" s="56"/>
      <x:c r="D105" s="27"/>
      <x:c r="E105" s="27"/>
      <x:c r="F105" s="27"/>
      <x:c r="G105" s="27"/>
      <x:c r="H105" s="27"/>
      <x:c r="I105" s="1"/>
      <x:c r="J105" s="1"/>
      <x:c r="K105" s="1"/>
      <x:c r="L105" s="1"/>
      <x:c r="M105" s="1"/>
      <x:c r="N105" s="1"/>
      <x:c r="O105" s="1"/>
      <x:c r="P105" s="1"/>
      <x:c r="Q105" s="1"/>
      <x:c r="R105" s="1"/>
      <x:c r="S105" s="1"/>
      <x:c r="T105" s="1"/>
    </x:row>
    <x:row r="106" ht="18" customHeight="1">
      <x:c r="A106" s="1"/>
      <x:c r="B106" s="19" t="n">
        <x:v>99</x:v>
      </x:c>
      <x:c r="C106" s="56"/>
      <x:c r="D106" s="27"/>
      <x:c r="E106" s="27"/>
      <x:c r="F106" s="27"/>
      <x:c r="G106" s="27"/>
      <x:c r="H106" s="27"/>
      <x:c r="I106" s="1"/>
      <x:c r="J106" s="1"/>
      <x:c r="K106" s="1"/>
      <x:c r="L106" s="1"/>
      <x:c r="M106" s="1"/>
      <x:c r="N106" s="1"/>
      <x:c r="O106" s="1"/>
      <x:c r="P106" s="1"/>
      <x:c r="Q106" s="1"/>
      <x:c r="R106" s="1"/>
      <x:c r="S106" s="1"/>
      <x:c r="T106" s="1"/>
    </x:row>
    <x:row r="107" ht="18" customHeight="1">
      <x:c r="A107" s="1"/>
      <x:c r="B107" s="19" t="n">
        <x:v>100</x:v>
      </x:c>
      <x:c r="C107" s="56"/>
      <x:c r="D107" s="27"/>
      <x:c r="E107" s="27"/>
      <x:c r="F107" s="27"/>
      <x:c r="G107" s="27"/>
      <x:c r="H107" s="27"/>
      <x:c r="I107" s="1"/>
      <x:c r="J107" s="1"/>
      <x:c r="K107" s="1"/>
      <x:c r="L107" s="1"/>
      <x:c r="M107" s="1"/>
      <x:c r="N107" s="1"/>
      <x:c r="O107" s="1"/>
      <x:c r="P107" s="1"/>
      <x:c r="Q107" s="1"/>
      <x:c r="R107" s="1"/>
      <x:c r="S107" s="1"/>
      <x:c r="T107" s="1"/>
    </x:row>
    <x:row r="108" ht="18" customHeight="1">
      <x:c r="A108" s="1"/>
      <x:c r="B108" s="1"/>
      <x:c r="C108" s="1"/>
      <x:c r="D108" s="1"/>
      <x:c r="E108" s="1"/>
      <x:c r="F108" s="1"/>
      <x:c r="G108" s="1"/>
      <x:c r="H108" s="1"/>
      <x:c r="I108" s="1"/>
      <x:c r="J108" s="1"/>
      <x:c r="K108" s="1"/>
      <x:c r="L108" s="1"/>
      <x:c r="M108" s="1"/>
      <x:c r="N108" s="1"/>
      <x:c r="O108" s="1"/>
      <x:c r="P108" s="1"/>
      <x:c r="Q108" s="1"/>
      <x:c r="R108" s="1"/>
      <x:c r="S108" s="1"/>
      <x:c r="T108" s="1"/>
    </x:row>
    <x:row r="109" ht="18" customHeight="1">
      <x:c r="A109" s="1"/>
      <x:c r="B109" s="1"/>
      <x:c r="C109" s="1"/>
      <x:c r="D109" s="1"/>
      <x:c r="E109" s="1"/>
      <x:c r="F109" s="1"/>
      <x:c r="G109" s="1"/>
      <x:c r="H109" s="1"/>
      <x:c r="I109" s="1"/>
      <x:c r="J109" s="1"/>
      <x:c r="K109" s="1"/>
      <x:c r="L109" s="1"/>
      <x:c r="M109" s="1"/>
      <x:c r="N109" s="1"/>
      <x:c r="O109" s="1"/>
      <x:c r="P109" s="1"/>
      <x:c r="Q109" s="1"/>
      <x:c r="R109" s="1"/>
      <x:c r="S109" s="1"/>
      <x:c r="T109" s="1"/>
    </x:row>
    <x:row r="110" ht="18" customHeight="1">
      <x:c r="A110" s="1"/>
      <x:c r="B110" s="1"/>
      <x:c r="C110" s="1"/>
      <x:c r="D110" s="1"/>
      <x:c r="E110" s="1"/>
      <x:c r="F110" s="1"/>
      <x:c r="G110" s="1"/>
      <x:c r="H110" s="1"/>
      <x:c r="I110" s="1"/>
      <x:c r="J110" s="1"/>
      <x:c r="K110" s="1"/>
      <x:c r="L110" s="1"/>
      <x:c r="M110" s="1"/>
      <x:c r="N110" s="1"/>
      <x:c r="O110" s="1"/>
      <x:c r="P110" s="1"/>
      <x:c r="Q110" s="1"/>
      <x:c r="R110" s="1"/>
      <x:c r="S110" s="1"/>
      <x:c r="T110" s="1"/>
    </x:row>
    <x:row r="111" ht="18" customHeight="1">
      <x:c r="A111" s="1"/>
      <x:c r="B111" s="1"/>
      <x:c r="C111" s="1"/>
      <x:c r="D111" s="1"/>
      <x:c r="E111" s="1"/>
      <x:c r="F111" s="1"/>
      <x:c r="G111" s="1"/>
      <x:c r="H111" s="1"/>
      <x:c r="I111" s="1"/>
      <x:c r="J111" s="1"/>
      <x:c r="K111" s="1"/>
      <x:c r="L111" s="1"/>
      <x:c r="M111" s="1"/>
      <x:c r="N111" s="1"/>
      <x:c r="O111" s="1"/>
      <x:c r="P111" s="1"/>
      <x:c r="Q111" s="1"/>
      <x:c r="R111" s="1"/>
      <x:c r="S111" s="1"/>
      <x:c r="T111" s="1"/>
    </x:row>
    <x:row r="112" ht="18" customHeight="1">
      <x:c r="A112" s="1"/>
      <x:c r="B112" s="1"/>
      <x:c r="C112" s="1"/>
      <x:c r="D112" s="1"/>
      <x:c r="E112" s="1"/>
      <x:c r="F112" s="1"/>
      <x:c r="G112" s="1"/>
      <x:c r="H112" s="1"/>
      <x:c r="I112" s="1"/>
      <x:c r="J112" s="1"/>
      <x:c r="K112" s="1"/>
      <x:c r="L112" s="1"/>
      <x:c r="M112" s="1"/>
      <x:c r="N112" s="1"/>
      <x:c r="O112" s="1"/>
      <x:c r="P112" s="1"/>
      <x:c r="Q112" s="1"/>
      <x:c r="R112" s="1"/>
      <x:c r="S112" s="1"/>
      <x:c r="T112" s="1"/>
    </x:row>
    <x:row r="113" ht="18" customHeight="1">
      <x:c r="A113" s="1"/>
      <x:c r="B113" s="1"/>
      <x:c r="C113" s="1"/>
      <x:c r="D113" s="1"/>
      <x:c r="E113" s="1"/>
      <x:c r="F113" s="1"/>
      <x:c r="G113" s="1"/>
      <x:c r="H113" s="1"/>
      <x:c r="I113" s="1"/>
      <x:c r="J113" s="1"/>
      <x:c r="K113" s="1"/>
      <x:c r="L113" s="1"/>
      <x:c r="M113" s="1"/>
      <x:c r="N113" s="1"/>
      <x:c r="O113" s="1"/>
      <x:c r="P113" s="1"/>
      <x:c r="Q113" s="1"/>
      <x:c r="R113" s="1"/>
      <x:c r="S113" s="1"/>
      <x:c r="T113" s="1"/>
    </x:row>
    <x:row r="114" ht="18" customHeight="1">
      <x:c r="A114" s="1"/>
      <x:c r="B114" s="1"/>
      <x:c r="C114" s="1"/>
      <x:c r="D114" s="1"/>
      <x:c r="E114" s="1"/>
      <x:c r="F114" s="1"/>
      <x:c r="G114" s="1"/>
      <x:c r="H114" s="1"/>
      <x:c r="I114" s="1"/>
      <x:c r="J114" s="1"/>
      <x:c r="K114" s="1"/>
      <x:c r="L114" s="1"/>
      <x:c r="M114" s="1"/>
      <x:c r="N114" s="1"/>
      <x:c r="O114" s="1"/>
      <x:c r="P114" s="1"/>
      <x:c r="Q114" s="1"/>
      <x:c r="R114" s="1"/>
      <x:c r="S114" s="1"/>
      <x:c r="T114" s="1"/>
    </x:row>
    <x:row r="115" ht="18" customHeight="1">
      <x:c r="A115" s="1"/>
      <x:c r="B115" s="1"/>
      <x:c r="C115" s="1"/>
      <x:c r="D115" s="1"/>
      <x:c r="E115" s="1"/>
      <x:c r="F115" s="1"/>
      <x:c r="G115" s="1"/>
      <x:c r="H115" s="1"/>
      <x:c r="I115" s="1"/>
      <x:c r="J115" s="1"/>
      <x:c r="K115" s="1"/>
      <x:c r="L115" s="1"/>
      <x:c r="M115" s="1"/>
      <x:c r="N115" s="1"/>
      <x:c r="O115" s="1"/>
      <x:c r="P115" s="1"/>
      <x:c r="Q115" s="1"/>
      <x:c r="R115" s="1"/>
      <x:c r="S115" s="1"/>
      <x:c r="T115" s="1"/>
    </x:row>
    <x:row r="116" ht="18" customHeight="1">
      <x:c r="A116" s="1"/>
      <x:c r="B116" s="1"/>
      <x:c r="C116" s="1"/>
      <x:c r="D116" s="1"/>
      <x:c r="E116" s="1"/>
      <x:c r="F116" s="1"/>
      <x:c r="G116" s="1"/>
      <x:c r="H116" s="1"/>
      <x:c r="I116" s="1"/>
      <x:c r="J116" s="1"/>
      <x:c r="K116" s="1"/>
      <x:c r="L116" s="1"/>
      <x:c r="M116" s="1"/>
      <x:c r="N116" s="1"/>
      <x:c r="O116" s="1"/>
      <x:c r="P116" s="1"/>
      <x:c r="Q116" s="1"/>
      <x:c r="R116" s="1"/>
      <x:c r="S116" s="1"/>
      <x:c r="T116" s="1"/>
    </x:row>
    <x:row r="117" ht="18" customHeight="1">
      <x:c r="A117" s="1"/>
      <x:c r="B117" s="1"/>
      <x:c r="C117" s="1"/>
      <x:c r="D117" s="1"/>
      <x:c r="E117" s="1"/>
      <x:c r="F117" s="1"/>
      <x:c r="G117" s="1"/>
      <x:c r="H117" s="1"/>
      <x:c r="I117" s="1"/>
      <x:c r="J117" s="1"/>
      <x:c r="K117" s="1"/>
      <x:c r="L117" s="1"/>
      <x:c r="M117" s="1"/>
      <x:c r="N117" s="1"/>
      <x:c r="O117" s="1"/>
      <x:c r="P117" s="1"/>
      <x:c r="Q117" s="1"/>
      <x:c r="R117" s="1"/>
      <x:c r="S117" s="1"/>
      <x:c r="T117" s="1"/>
    </x:row>
    <x:row r="118" ht="18" customHeight="1">
      <x:c r="A118" s="1"/>
      <x:c r="B118" s="1"/>
      <x:c r="C118" s="1"/>
      <x:c r="D118" s="1"/>
      <x:c r="E118" s="1"/>
      <x:c r="F118" s="1"/>
      <x:c r="G118" s="1"/>
      <x:c r="H118" s="1"/>
      <x:c r="I118" s="1"/>
      <x:c r="J118" s="1"/>
      <x:c r="K118" s="1"/>
      <x:c r="L118" s="1"/>
      <x:c r="M118" s="1"/>
      <x:c r="N118" s="1"/>
      <x:c r="O118" s="1"/>
      <x:c r="P118" s="1"/>
      <x:c r="Q118" s="1"/>
      <x:c r="R118" s="1"/>
      <x:c r="S118" s="1"/>
      <x:c r="T118" s="1"/>
    </x:row>
    <x:row r="119" ht="18" customHeight="1">
      <x:c r="A119" s="1"/>
      <x:c r="B119" s="1"/>
      <x:c r="C119" s="1"/>
      <x:c r="D119" s="1"/>
      <x:c r="E119" s="1"/>
      <x:c r="F119" s="1"/>
      <x:c r="G119" s="1"/>
      <x:c r="H119" s="1"/>
      <x:c r="I119" s="1"/>
      <x:c r="J119" s="1"/>
      <x:c r="K119" s="1"/>
      <x:c r="L119" s="1"/>
      <x:c r="M119" s="1"/>
      <x:c r="N119" s="1"/>
      <x:c r="O119" s="1"/>
      <x:c r="P119" s="1"/>
      <x:c r="Q119" s="1"/>
      <x:c r="R119" s="1"/>
      <x:c r="S119" s="1"/>
      <x:c r="T119" s="1"/>
    </x:row>
    <x:row r="120" ht="18" customHeight="1">
      <x:c r="A120" s="1"/>
      <x:c r="B120" s="1"/>
      <x:c r="C120" s="1"/>
      <x:c r="D120" s="1"/>
      <x:c r="E120" s="1"/>
      <x:c r="F120" s="1"/>
      <x:c r="G120" s="1"/>
      <x:c r="H120" s="1"/>
      <x:c r="I120" s="1"/>
      <x:c r="J120" s="1"/>
      <x:c r="K120" s="1"/>
      <x:c r="L120" s="1"/>
      <x:c r="M120" s="1"/>
      <x:c r="N120" s="1"/>
      <x:c r="O120" s="1"/>
      <x:c r="P120" s="1"/>
      <x:c r="Q120" s="1"/>
      <x:c r="R120" s="1"/>
      <x:c r="S120" s="1"/>
      <x:c r="T120" s="1"/>
    </x:row>
    <x:row r="121" ht="18" customHeight="1">
      <x:c r="A121" s="1"/>
      <x:c r="B121" s="1"/>
      <x:c r="C121" s="1"/>
      <x:c r="D121" s="1"/>
      <x:c r="E121" s="1"/>
      <x:c r="F121" s="1"/>
      <x:c r="G121" s="1"/>
      <x:c r="H121" s="1"/>
      <x:c r="I121" s="1"/>
      <x:c r="J121" s="1"/>
      <x:c r="K121" s="1"/>
      <x:c r="L121" s="1"/>
      <x:c r="M121" s="1"/>
      <x:c r="N121" s="1"/>
      <x:c r="O121" s="1"/>
      <x:c r="P121" s="1"/>
      <x:c r="Q121" s="1"/>
      <x:c r="R121" s="1"/>
      <x:c r="S121" s="1"/>
      <x:c r="T121" s="1"/>
    </x:row>
    <x:row r="122" ht="18" customHeight="1">
      <x:c r="A122" s="1"/>
      <x:c r="B122" s="1"/>
      <x:c r="C122" s="1"/>
      <x:c r="D122" s="1"/>
      <x:c r="E122" s="1"/>
      <x:c r="F122" s="1"/>
      <x:c r="G122" s="1"/>
      <x:c r="H122" s="1"/>
      <x:c r="I122" s="1"/>
      <x:c r="J122" s="1"/>
      <x:c r="K122" s="1"/>
      <x:c r="L122" s="1"/>
      <x:c r="M122" s="1"/>
      <x:c r="N122" s="1"/>
      <x:c r="O122" s="1"/>
      <x:c r="P122" s="1"/>
      <x:c r="Q122" s="1"/>
      <x:c r="R122" s="1"/>
      <x:c r="S122" s="1"/>
      <x:c r="T122" s="1"/>
    </x:row>
    <x:row r="123" ht="18" customHeight="1">
      <x:c r="A123" s="1"/>
      <x:c r="B123" s="1"/>
      <x:c r="C123" s="1"/>
      <x:c r="D123" s="1"/>
      <x:c r="E123" s="1"/>
      <x:c r="F123" s="1"/>
      <x:c r="G123" s="1"/>
      <x:c r="H123" s="1"/>
      <x:c r="I123" s="1"/>
      <x:c r="J123" s="1"/>
      <x:c r="K123" s="1"/>
      <x:c r="L123" s="1"/>
      <x:c r="M123" s="1"/>
      <x:c r="N123" s="1"/>
      <x:c r="O123" s="1"/>
      <x:c r="P123" s="1"/>
      <x:c r="Q123" s="1"/>
      <x:c r="R123" s="1"/>
      <x:c r="S123" s="1"/>
      <x:c r="T123" s="1"/>
    </x:row>
    <x:row r="124" ht="18" customHeight="1">
      <x:c r="A124" s="1"/>
      <x:c r="B124" s="1"/>
      <x:c r="C124" s="1"/>
      <x:c r="D124" s="1"/>
      <x:c r="E124" s="1"/>
      <x:c r="F124" s="1"/>
      <x:c r="G124" s="1"/>
      <x:c r="H124" s="1"/>
      <x:c r="I124" s="1"/>
      <x:c r="J124" s="1"/>
      <x:c r="K124" s="1"/>
      <x:c r="L124" s="1"/>
      <x:c r="M124" s="1"/>
      <x:c r="N124" s="1"/>
      <x:c r="O124" s="1"/>
      <x:c r="P124" s="1"/>
      <x:c r="Q124" s="1"/>
      <x:c r="R124" s="1"/>
      <x:c r="S124" s="1"/>
      <x:c r="T124" s="1"/>
    </x:row>
    <x:row r="125" ht="18" customHeight="1">
      <x:c r="A125" s="1"/>
      <x:c r="B125" s="1"/>
      <x:c r="C125" s="1"/>
      <x:c r="D125" s="1"/>
      <x:c r="E125" s="1"/>
      <x:c r="F125" s="1"/>
      <x:c r="G125" s="1"/>
      <x:c r="H125" s="1"/>
      <x:c r="I125" s="1"/>
      <x:c r="J125" s="1"/>
      <x:c r="K125" s="1"/>
      <x:c r="L125" s="1"/>
      <x:c r="M125" s="1"/>
      <x:c r="N125" s="1"/>
      <x:c r="O125" s="1"/>
      <x:c r="P125" s="1"/>
      <x:c r="Q125" s="1"/>
      <x:c r="R125" s="1"/>
      <x:c r="S125" s="1"/>
      <x:c r="T125" s="1"/>
    </x:row>
    <x:row r="126" ht="18" customHeight="1">
      <x:c r="A126" s="1"/>
      <x:c r="B126" s="1"/>
      <x:c r="C126" s="1"/>
      <x:c r="D126" s="1"/>
      <x:c r="E126" s="1"/>
      <x:c r="F126" s="1"/>
      <x:c r="G126" s="1"/>
      <x:c r="H126" s="1"/>
      <x:c r="I126" s="1"/>
      <x:c r="J126" s="1"/>
      <x:c r="K126" s="1"/>
      <x:c r="L126" s="1"/>
      <x:c r="M126" s="1"/>
      <x:c r="N126" s="1"/>
      <x:c r="O126" s="1"/>
      <x:c r="P126" s="1"/>
      <x:c r="Q126" s="1"/>
      <x:c r="R126" s="1"/>
      <x:c r="S126" s="1"/>
      <x:c r="T126" s="1"/>
    </x:row>
    <x:row r="127" ht="18" customHeight="1">
      <x:c r="A127" s="1"/>
      <x:c r="B127" s="1"/>
      <x:c r="C127" s="1"/>
      <x:c r="D127" s="1"/>
      <x:c r="E127" s="1"/>
      <x:c r="F127" s="1"/>
      <x:c r="G127" s="1"/>
      <x:c r="H127" s="1"/>
      <x:c r="I127" s="1"/>
      <x:c r="J127" s="1"/>
      <x:c r="K127" s="1"/>
      <x:c r="L127" s="1"/>
      <x:c r="M127" s="1"/>
      <x:c r="N127" s="1"/>
      <x:c r="O127" s="1"/>
      <x:c r="P127" s="1"/>
      <x:c r="Q127" s="1"/>
      <x:c r="R127" s="1"/>
      <x:c r="S127" s="1"/>
      <x:c r="T127" s="1"/>
    </x:row>
    <x:row r="128" ht="18" customHeight="1">
      <x:c r="A128" s="1"/>
      <x:c r="B128" s="1"/>
      <x:c r="C128" s="1"/>
      <x:c r="D128" s="1"/>
      <x:c r="E128" s="1"/>
      <x:c r="F128" s="1"/>
      <x:c r="G128" s="1"/>
      <x:c r="H128" s="1"/>
      <x:c r="I128" s="1"/>
      <x:c r="J128" s="1"/>
      <x:c r="K128" s="1"/>
      <x:c r="L128" s="1"/>
      <x:c r="M128" s="1"/>
      <x:c r="N128" s="1"/>
      <x:c r="O128" s="1"/>
      <x:c r="P128" s="1"/>
      <x:c r="Q128" s="1"/>
      <x:c r="R128" s="1"/>
      <x:c r="S128" s="1"/>
      <x:c r="T128" s="1"/>
    </x:row>
    <x:row r="129" ht="18" customHeight="1">
      <x:c r="A129" s="1"/>
      <x:c r="B129" s="1"/>
      <x:c r="C129" s="1"/>
      <x:c r="D129" s="1"/>
      <x:c r="E129" s="1"/>
      <x:c r="F129" s="1"/>
      <x:c r="G129" s="1"/>
      <x:c r="H129" s="1"/>
      <x:c r="I129" s="1"/>
      <x:c r="J129" s="1"/>
      <x:c r="K129" s="1"/>
      <x:c r="L129" s="1"/>
      <x:c r="M129" s="1"/>
      <x:c r="N129" s="1"/>
      <x:c r="O129" s="1"/>
      <x:c r="P129" s="1"/>
      <x:c r="Q129" s="1"/>
      <x:c r="R129" s="1"/>
      <x:c r="S129" s="1"/>
      <x:c r="T129" s="1"/>
    </x:row>
    <x:row r="130" ht="18" customHeight="1">
      <x:c r="A130" s="1"/>
      <x:c r="B130" s="1"/>
      <x:c r="C130" s="1"/>
      <x:c r="D130" s="1"/>
      <x:c r="E130" s="1"/>
      <x:c r="F130" s="1"/>
      <x:c r="G130" s="1"/>
      <x:c r="H130" s="1"/>
      <x:c r="I130" s="1"/>
      <x:c r="J130" s="1"/>
      <x:c r="K130" s="1"/>
      <x:c r="L130" s="1"/>
      <x:c r="M130" s="1"/>
      <x:c r="N130" s="1"/>
      <x:c r="O130" s="1"/>
      <x:c r="P130" s="1"/>
      <x:c r="Q130" s="1"/>
      <x:c r="R130" s="1"/>
      <x:c r="S130" s="1"/>
      <x:c r="T130" s="1"/>
    </x:row>
    <x:row r="131" ht="18" customHeight="1">
      <x:c r="A131" s="1"/>
      <x:c r="B131" s="1"/>
      <x:c r="C131" s="1"/>
      <x:c r="D131" s="1"/>
      <x:c r="E131" s="1"/>
      <x:c r="F131" s="1"/>
      <x:c r="G131" s="1"/>
      <x:c r="H131" s="1"/>
      <x:c r="I131" s="1"/>
      <x:c r="J131" s="1"/>
      <x:c r="K131" s="1"/>
      <x:c r="L131" s="1"/>
      <x:c r="M131" s="1"/>
      <x:c r="N131" s="1"/>
      <x:c r="O131" s="1"/>
      <x:c r="P131" s="1"/>
      <x:c r="Q131" s="1"/>
      <x:c r="R131" s="1"/>
      <x:c r="S131" s="1"/>
      <x:c r="T131" s="1"/>
    </x:row>
    <x:row r="132" ht="18" customHeight="1">
      <x:c r="A132" s="1"/>
      <x:c r="B132" s="1"/>
      <x:c r="C132" s="1"/>
      <x:c r="D132" s="1"/>
      <x:c r="E132" s="1"/>
      <x:c r="F132" s="1"/>
      <x:c r="G132" s="1"/>
      <x:c r="H132" s="1"/>
      <x:c r="I132" s="1"/>
      <x:c r="J132" s="1"/>
      <x:c r="K132" s="1"/>
      <x:c r="L132" s="1"/>
      <x:c r="M132" s="1"/>
      <x:c r="N132" s="1"/>
      <x:c r="O132" s="1"/>
      <x:c r="P132" s="1"/>
      <x:c r="Q132" s="1"/>
      <x:c r="R132" s="1"/>
      <x:c r="S132" s="1"/>
      <x:c r="T132" s="1"/>
    </x:row>
    <x:row r="133" ht="18" customHeight="1">
      <x:c r="A133" s="1"/>
      <x:c r="B133" s="1"/>
      <x:c r="C133" s="1"/>
      <x:c r="D133" s="1"/>
      <x:c r="E133" s="1"/>
      <x:c r="F133" s="1"/>
      <x:c r="G133" s="1"/>
      <x:c r="H133" s="1"/>
      <x:c r="I133" s="1"/>
      <x:c r="J133" s="1"/>
      <x:c r="K133" s="1"/>
      <x:c r="L133" s="1"/>
      <x:c r="M133" s="1"/>
      <x:c r="N133" s="1"/>
      <x:c r="O133" s="1"/>
      <x:c r="P133" s="1"/>
      <x:c r="Q133" s="1"/>
      <x:c r="R133" s="1"/>
      <x:c r="S133" s="1"/>
      <x:c r="T133" s="1"/>
    </x:row>
    <x:row r="134" ht="18" customHeight="1">
      <x:c r="A134" s="1"/>
      <x:c r="B134" s="1"/>
      <x:c r="C134" s="1"/>
      <x:c r="D134" s="1"/>
      <x:c r="E134" s="1"/>
      <x:c r="F134" s="1"/>
      <x:c r="G134" s="1"/>
      <x:c r="H134" s="1"/>
      <x:c r="I134" s="1"/>
      <x:c r="J134" s="1"/>
      <x:c r="K134" s="1"/>
      <x:c r="L134" s="1"/>
      <x:c r="M134" s="1"/>
      <x:c r="N134" s="1"/>
      <x:c r="O134" s="1"/>
      <x:c r="P134" s="1"/>
      <x:c r="Q134" s="1"/>
      <x:c r="R134" s="1"/>
      <x:c r="S134" s="1"/>
      <x:c r="T134" s="1"/>
    </x:row>
    <x:row r="135" ht="18" customHeight="1">
      <x:c r="A135" s="1"/>
      <x:c r="B135" s="1"/>
      <x:c r="C135" s="1"/>
      <x:c r="D135" s="1"/>
      <x:c r="E135" s="1"/>
      <x:c r="F135" s="1"/>
      <x:c r="G135" s="1"/>
      <x:c r="H135" s="1"/>
      <x:c r="I135" s="1"/>
      <x:c r="J135" s="1"/>
      <x:c r="K135" s="1"/>
      <x:c r="L135" s="1"/>
      <x:c r="M135" s="1"/>
      <x:c r="N135" s="1"/>
      <x:c r="O135" s="1"/>
      <x:c r="P135" s="1"/>
      <x:c r="Q135" s="1"/>
      <x:c r="R135" s="1"/>
      <x:c r="S135" s="1"/>
      <x:c r="T135" s="1"/>
    </x:row>
    <x:row r="136" ht="18" customHeight="1">
      <x:c r="A136" s="1"/>
      <x:c r="B136" s="1"/>
      <x:c r="C136" s="1"/>
      <x:c r="D136" s="1"/>
      <x:c r="E136" s="1"/>
      <x:c r="F136" s="1"/>
      <x:c r="G136" s="1"/>
      <x:c r="H136" s="1"/>
      <x:c r="I136" s="1"/>
      <x:c r="J136" s="1"/>
      <x:c r="K136" s="1"/>
      <x:c r="L136" s="1"/>
      <x:c r="M136" s="1"/>
      <x:c r="N136" s="1"/>
      <x:c r="O136" s="1"/>
      <x:c r="P136" s="1"/>
      <x:c r="Q136" s="1"/>
      <x:c r="R136" s="1"/>
      <x:c r="S136" s="1"/>
      <x:c r="T136" s="1"/>
    </x:row>
    <x:row r="137" ht="18" customHeight="1">
      <x:c r="A137" s="1"/>
      <x:c r="B137" s="1"/>
      <x:c r="C137" s="1"/>
      <x:c r="D137" s="1"/>
      <x:c r="E137" s="1"/>
      <x:c r="F137" s="1"/>
      <x:c r="G137" s="1"/>
      <x:c r="H137" s="1"/>
      <x:c r="I137" s="1"/>
      <x:c r="J137" s="1"/>
      <x:c r="K137" s="1"/>
      <x:c r="L137" s="1"/>
      <x:c r="M137" s="1"/>
      <x:c r="N137" s="1"/>
      <x:c r="O137" s="1"/>
      <x:c r="P137" s="1"/>
      <x:c r="Q137" s="1"/>
      <x:c r="R137" s="1"/>
      <x:c r="S137" s="1"/>
      <x:c r="T137" s="1"/>
    </x:row>
    <x:row r="138" ht="18" customHeight="1">
      <x:c r="A138" s="1"/>
      <x:c r="B138" s="1"/>
      <x:c r="C138" s="1"/>
      <x:c r="D138" s="1"/>
      <x:c r="E138" s="1"/>
      <x:c r="F138" s="1"/>
      <x:c r="G138" s="1"/>
      <x:c r="H138" s="1"/>
      <x:c r="I138" s="1"/>
      <x:c r="J138" s="1"/>
      <x:c r="K138" s="1"/>
      <x:c r="L138" s="1"/>
      <x:c r="M138" s="1"/>
      <x:c r="N138" s="1"/>
      <x:c r="O138" s="1"/>
      <x:c r="P138" s="1"/>
      <x:c r="Q138" s="1"/>
      <x:c r="R138" s="1"/>
      <x:c r="S138" s="1"/>
      <x:c r="T138" s="1"/>
    </x:row>
    <x:row r="139" ht="18" customHeight="1">
      <x:c r="A139" s="1"/>
      <x:c r="B139" s="1"/>
      <x:c r="C139" s="1"/>
      <x:c r="D139" s="1"/>
      <x:c r="E139" s="1"/>
      <x:c r="F139" s="1"/>
      <x:c r="G139" s="1"/>
      <x:c r="H139" s="1"/>
      <x:c r="I139" s="1"/>
      <x:c r="J139" s="1"/>
      <x:c r="K139" s="1"/>
      <x:c r="L139" s="1"/>
      <x:c r="M139" s="1"/>
      <x:c r="N139" s="1"/>
      <x:c r="O139" s="1"/>
      <x:c r="P139" s="1"/>
      <x:c r="Q139" s="1"/>
      <x:c r="R139" s="1"/>
      <x:c r="S139" s="1"/>
      <x:c r="T139" s="1"/>
    </x:row>
    <x:row r="140" ht="18" customHeight="1">
      <x:c r="A140" s="1"/>
      <x:c r="B140" s="1"/>
      <x:c r="C140" s="1"/>
      <x:c r="D140" s="1"/>
      <x:c r="E140" s="1"/>
      <x:c r="F140" s="1"/>
      <x:c r="G140" s="1"/>
      <x:c r="H140" s="1"/>
      <x:c r="I140" s="1"/>
      <x:c r="J140" s="1"/>
      <x:c r="K140" s="1"/>
      <x:c r="L140" s="1"/>
      <x:c r="M140" s="1"/>
      <x:c r="N140" s="1"/>
      <x:c r="O140" s="1"/>
      <x:c r="P140" s="1"/>
      <x:c r="Q140" s="1"/>
      <x:c r="R140" s="1"/>
      <x:c r="S140" s="1"/>
      <x:c r="T140" s="1"/>
    </x:row>
    <x:row r="141" ht="18" customHeight="1">
      <x:c r="A141" s="1"/>
      <x:c r="B141" s="1"/>
      <x:c r="C141" s="1"/>
      <x:c r="D141" s="1"/>
      <x:c r="E141" s="1"/>
      <x:c r="F141" s="1"/>
      <x:c r="G141" s="1"/>
      <x:c r="H141" s="1"/>
      <x:c r="I141" s="1"/>
      <x:c r="J141" s="1"/>
      <x:c r="K141" s="1"/>
      <x:c r="L141" s="1"/>
      <x:c r="M141" s="1"/>
      <x:c r="N141" s="1"/>
      <x:c r="O141" s="1"/>
      <x:c r="P141" s="1"/>
      <x:c r="Q141" s="1"/>
      <x:c r="R141" s="1"/>
      <x:c r="S141" s="1"/>
      <x:c r="T141" s="1"/>
    </x:row>
    <x:row r="142" ht="18" customHeight="1">
      <x:c r="A142" s="1"/>
      <x:c r="B142" s="1"/>
      <x:c r="C142" s="1"/>
      <x:c r="D142" s="1"/>
      <x:c r="E142" s="1"/>
      <x:c r="F142" s="1"/>
      <x:c r="G142" s="1"/>
      <x:c r="H142" s="1"/>
      <x:c r="I142" s="1"/>
      <x:c r="J142" s="1"/>
      <x:c r="K142" s="1"/>
      <x:c r="L142" s="1"/>
      <x:c r="M142" s="1"/>
      <x:c r="N142" s="1"/>
      <x:c r="O142" s="1"/>
      <x:c r="P142" s="1"/>
      <x:c r="Q142" s="1"/>
      <x:c r="R142" s="1"/>
      <x:c r="S142" s="1"/>
      <x:c r="T142" s="1"/>
    </x:row>
    <x:row r="143" ht="18" customHeight="1">
      <x:c r="A143" s="1"/>
      <x:c r="B143" s="1"/>
      <x:c r="C143" s="1"/>
      <x:c r="D143" s="1"/>
      <x:c r="E143" s="1"/>
      <x:c r="F143" s="1"/>
      <x:c r="G143" s="1"/>
      <x:c r="H143" s="1"/>
      <x:c r="I143" s="1"/>
      <x:c r="J143" s="1"/>
      <x:c r="K143" s="1"/>
      <x:c r="L143" s="1"/>
      <x:c r="M143" s="1"/>
      <x:c r="N143" s="1"/>
      <x:c r="O143" s="1"/>
      <x:c r="P143" s="1"/>
      <x:c r="Q143" s="1"/>
      <x:c r="R143" s="1"/>
      <x:c r="S143" s="1"/>
      <x:c r="T143" s="1"/>
    </x:row>
    <x:row r="144" ht="18" customHeight="1">
      <x:c r="A144" s="1"/>
      <x:c r="B144" s="1"/>
      <x:c r="C144" s="1"/>
      <x:c r="D144" s="1"/>
      <x:c r="E144" s="1"/>
      <x:c r="F144" s="1"/>
      <x:c r="G144" s="1"/>
      <x:c r="H144" s="1"/>
      <x:c r="I144" s="1"/>
      <x:c r="J144" s="1"/>
      <x:c r="K144" s="1"/>
      <x:c r="L144" s="1"/>
      <x:c r="M144" s="1"/>
      <x:c r="N144" s="1"/>
      <x:c r="O144" s="1"/>
      <x:c r="P144" s="1"/>
      <x:c r="Q144" s="1"/>
      <x:c r="R144" s="1"/>
      <x:c r="S144" s="1"/>
      <x:c r="T144" s="1"/>
    </x:row>
    <x:row r="145" ht="18" customHeight="1">
      <x:c r="A145" s="1"/>
      <x:c r="B145" s="1"/>
      <x:c r="C145" s="1"/>
      <x:c r="D145" s="1"/>
      <x:c r="E145" s="1"/>
      <x:c r="F145" s="1"/>
      <x:c r="G145" s="1"/>
      <x:c r="H145" s="1"/>
      <x:c r="I145" s="1"/>
      <x:c r="J145" s="1"/>
      <x:c r="K145" s="1"/>
      <x:c r="L145" s="1"/>
      <x:c r="M145" s="1"/>
      <x:c r="N145" s="1"/>
      <x:c r="O145" s="1"/>
      <x:c r="P145" s="1"/>
      <x:c r="Q145" s="1"/>
      <x:c r="R145" s="1"/>
      <x:c r="S145" s="1"/>
      <x:c r="T145" s="1"/>
    </x:row>
    <x:row r="146" ht="18" customHeight="1">
      <x:c r="A146" s="1"/>
      <x:c r="B146" s="1"/>
      <x:c r="C146" s="1"/>
      <x:c r="D146" s="1"/>
      <x:c r="E146" s="1"/>
      <x:c r="F146" s="1"/>
      <x:c r="G146" s="1"/>
      <x:c r="H146" s="1"/>
      <x:c r="I146" s="1"/>
      <x:c r="J146" s="1"/>
      <x:c r="K146" s="1"/>
      <x:c r="L146" s="1"/>
      <x:c r="M146" s="1"/>
      <x:c r="N146" s="1"/>
      <x:c r="O146" s="1"/>
      <x:c r="P146" s="1"/>
      <x:c r="Q146" s="1"/>
      <x:c r="R146" s="1"/>
      <x:c r="S146" s="1"/>
      <x:c r="T146" s="1"/>
    </x:row>
    <x:row r="147" ht="18" customHeight="1">
      <x:c r="A147" s="1"/>
      <x:c r="B147" s="1"/>
      <x:c r="C147" s="1"/>
      <x:c r="D147" s="1"/>
      <x:c r="E147" s="1"/>
      <x:c r="F147" s="1"/>
      <x:c r="G147" s="1"/>
      <x:c r="H147" s="1"/>
      <x:c r="I147" s="1"/>
      <x:c r="J147" s="1"/>
      <x:c r="K147" s="1"/>
      <x:c r="L147" s="1"/>
      <x:c r="M147" s="1"/>
      <x:c r="N147" s="1"/>
      <x:c r="O147" s="1"/>
      <x:c r="P147" s="1"/>
      <x:c r="Q147" s="1"/>
      <x:c r="R147" s="1"/>
      <x:c r="S147" s="1"/>
      <x:c r="T147" s="1"/>
    </x:row>
    <x:row r="148" ht="18" customHeight="1">
      <x:c r="A148" s="1"/>
      <x:c r="B148" s="1"/>
      <x:c r="C148" s="1"/>
      <x:c r="D148" s="1"/>
      <x:c r="E148" s="1"/>
      <x:c r="F148" s="1"/>
      <x:c r="G148" s="1"/>
      <x:c r="H148" s="1"/>
      <x:c r="I148" s="1"/>
      <x:c r="J148" s="1"/>
      <x:c r="K148" s="1"/>
      <x:c r="L148" s="1"/>
      <x:c r="M148" s="1"/>
      <x:c r="N148" s="1"/>
      <x:c r="O148" s="1"/>
      <x:c r="P148" s="1"/>
      <x:c r="Q148" s="1"/>
      <x:c r="R148" s="1"/>
      <x:c r="S148" s="1"/>
      <x:c r="T148" s="1"/>
    </x:row>
    <x:row r="149" ht="18" customHeight="1">
      <x:c r="A149" s="1"/>
      <x:c r="B149" s="1"/>
      <x:c r="C149" s="1"/>
      <x:c r="D149" s="1"/>
      <x:c r="E149" s="1"/>
      <x:c r="F149" s="1"/>
      <x:c r="G149" s="1"/>
      <x:c r="H149" s="1"/>
      <x:c r="I149" s="1"/>
      <x:c r="J149" s="1"/>
      <x:c r="K149" s="1"/>
      <x:c r="L149" s="1"/>
      <x:c r="M149" s="1"/>
      <x:c r="N149" s="1"/>
      <x:c r="O149" s="1"/>
      <x:c r="P149" s="1"/>
      <x:c r="Q149" s="1"/>
      <x:c r="R149" s="1"/>
      <x:c r="S149" s="1"/>
      <x:c r="T149" s="1"/>
    </x:row>
    <x:row r="150" ht="18" customHeight="1">
      <x:c r="A150" s="1"/>
      <x:c r="B150" s="1"/>
      <x:c r="C150" s="1"/>
      <x:c r="D150" s="1"/>
      <x:c r="E150" s="1"/>
      <x:c r="F150" s="1"/>
      <x:c r="G150" s="1"/>
      <x:c r="H150" s="1"/>
      <x:c r="I150" s="1"/>
      <x:c r="J150" s="1"/>
      <x:c r="K150" s="1"/>
      <x:c r="L150" s="1"/>
      <x:c r="M150" s="1"/>
      <x:c r="N150" s="1"/>
      <x:c r="O150" s="1"/>
      <x:c r="P150" s="1"/>
      <x:c r="Q150" s="1"/>
      <x:c r="R150" s="1"/>
      <x:c r="S150" s="1"/>
      <x:c r="T150" s="1"/>
    </x:row>
    <x:row r="151" ht="18" customHeight="1">
      <x:c r="A151" s="1"/>
      <x:c r="B151" s="1"/>
      <x:c r="C151" s="1"/>
      <x:c r="D151" s="1"/>
      <x:c r="E151" s="1"/>
      <x:c r="F151" s="1"/>
      <x:c r="G151" s="1"/>
      <x:c r="H151" s="1"/>
      <x:c r="I151" s="1"/>
      <x:c r="J151" s="1"/>
      <x:c r="K151" s="1"/>
      <x:c r="L151" s="1"/>
      <x:c r="M151" s="1"/>
      <x:c r="N151" s="1"/>
      <x:c r="O151" s="1"/>
      <x:c r="P151" s="1"/>
      <x:c r="Q151" s="1"/>
      <x:c r="R151" s="1"/>
      <x:c r="S151" s="1"/>
      <x:c r="T151" s="1"/>
    </x:row>
    <x:row r="152" ht="18" customHeight="1">
      <x:c r="A152" s="1"/>
      <x:c r="B152" s="1"/>
      <x:c r="C152" s="1"/>
      <x:c r="D152" s="1"/>
      <x:c r="E152" s="1"/>
      <x:c r="F152" s="1"/>
      <x:c r="G152" s="1"/>
      <x:c r="H152" s="1"/>
      <x:c r="I152" s="1"/>
      <x:c r="J152" s="1"/>
      <x:c r="K152" s="1"/>
      <x:c r="L152" s="1"/>
      <x:c r="M152" s="1"/>
      <x:c r="N152" s="1"/>
      <x:c r="O152" s="1"/>
      <x:c r="P152" s="1"/>
      <x:c r="Q152" s="1"/>
      <x:c r="R152" s="1"/>
      <x:c r="S152" s="1"/>
      <x:c r="T152" s="1"/>
    </x:row>
    <x:row r="153" ht="18" customHeight="1">
      <x:c r="A153" s="1"/>
      <x:c r="B153" s="1"/>
      <x:c r="C153" s="1"/>
      <x:c r="D153" s="1"/>
      <x:c r="E153" s="1"/>
      <x:c r="F153" s="1"/>
      <x:c r="G153" s="1"/>
      <x:c r="H153" s="1"/>
      <x:c r="I153" s="1"/>
      <x:c r="J153" s="1"/>
      <x:c r="K153" s="1"/>
      <x:c r="L153" s="1"/>
      <x:c r="M153" s="1"/>
      <x:c r="N153" s="1"/>
      <x:c r="O153" s="1"/>
      <x:c r="P153" s="1"/>
      <x:c r="Q153" s="1"/>
      <x:c r="R153" s="1"/>
      <x:c r="S153" s="1"/>
      <x:c r="T153" s="1"/>
    </x:row>
    <x:row r="154" ht="18" customHeight="1">
      <x:c r="A154" s="1"/>
      <x:c r="B154" s="1"/>
      <x:c r="C154" s="1"/>
      <x:c r="D154" s="1"/>
      <x:c r="E154" s="1"/>
      <x:c r="F154" s="1"/>
      <x:c r="G154" s="1"/>
      <x:c r="H154" s="1"/>
      <x:c r="I154" s="1"/>
      <x:c r="J154" s="1"/>
      <x:c r="K154" s="1"/>
      <x:c r="L154" s="1"/>
      <x:c r="M154" s="1"/>
      <x:c r="N154" s="1"/>
      <x:c r="O154" s="1"/>
      <x:c r="P154" s="1"/>
      <x:c r="Q154" s="1"/>
      <x:c r="R154" s="1"/>
      <x:c r="S154" s="1"/>
      <x:c r="T154" s="1"/>
    </x:row>
    <x:row r="155" ht="18" customHeight="1">
      <x:c r="A155" s="1"/>
      <x:c r="B155" s="1"/>
      <x:c r="C155" s="1"/>
      <x:c r="D155" s="1"/>
      <x:c r="E155" s="1"/>
      <x:c r="F155" s="1"/>
      <x:c r="G155" s="1"/>
      <x:c r="H155" s="1"/>
      <x:c r="I155" s="1"/>
      <x:c r="J155" s="1"/>
      <x:c r="K155" s="1"/>
      <x:c r="L155" s="1"/>
      <x:c r="M155" s="1"/>
      <x:c r="N155" s="1"/>
      <x:c r="O155" s="1"/>
      <x:c r="P155" s="1"/>
      <x:c r="Q155" s="1"/>
      <x:c r="R155" s="1"/>
      <x:c r="S155" s="1"/>
      <x:c r="T155" s="1"/>
    </x:row>
    <x:row r="156" ht="18" customHeight="1">
      <x:c r="A156" s="1"/>
      <x:c r="B156" s="1"/>
      <x:c r="C156" s="1"/>
      <x:c r="D156" s="1"/>
      <x:c r="E156" s="1"/>
      <x:c r="F156" s="1"/>
      <x:c r="G156" s="1"/>
      <x:c r="H156" s="1"/>
      <x:c r="I156" s="1"/>
      <x:c r="J156" s="1"/>
      <x:c r="K156" s="1"/>
      <x:c r="L156" s="1"/>
      <x:c r="M156" s="1"/>
      <x:c r="N156" s="1"/>
      <x:c r="O156" s="1"/>
      <x:c r="P156" s="1"/>
      <x:c r="Q156" s="1"/>
      <x:c r="R156" s="1"/>
      <x:c r="S156" s="1"/>
      <x:c r="T156" s="1"/>
    </x:row>
    <x:row r="157" ht="18" customHeight="1">
      <x:c r="A157" s="1"/>
      <x:c r="B157" s="1"/>
      <x:c r="C157" s="1"/>
      <x:c r="D157" s="1"/>
      <x:c r="E157" s="1"/>
      <x:c r="F157" s="1"/>
      <x:c r="G157" s="1"/>
      <x:c r="H157" s="1"/>
      <x:c r="I157" s="1"/>
      <x:c r="J157" s="1"/>
      <x:c r="K157" s="1"/>
      <x:c r="L157" s="1"/>
      <x:c r="M157" s="1"/>
      <x:c r="N157" s="1"/>
      <x:c r="O157" s="1"/>
      <x:c r="P157" s="1"/>
      <x:c r="Q157" s="1"/>
      <x:c r="R157" s="1"/>
      <x:c r="S157" s="1"/>
      <x:c r="T157" s="1"/>
    </x:row>
    <x:row r="158" ht="18" customHeight="1">
      <x:c r="A158" s="1"/>
      <x:c r="B158" s="1"/>
      <x:c r="C158" s="1"/>
      <x:c r="D158" s="1"/>
      <x:c r="E158" s="1"/>
      <x:c r="F158" s="1"/>
      <x:c r="G158" s="1"/>
      <x:c r="H158" s="1"/>
      <x:c r="I158" s="1"/>
      <x:c r="J158" s="1"/>
      <x:c r="K158" s="1"/>
      <x:c r="L158" s="1"/>
      <x:c r="M158" s="1"/>
      <x:c r="N158" s="1"/>
      <x:c r="O158" s="1"/>
      <x:c r="P158" s="1"/>
      <x:c r="Q158" s="1"/>
      <x:c r="R158" s="1"/>
      <x:c r="S158" s="1"/>
      <x:c r="T158" s="1"/>
    </x:row>
    <x:row r="159" ht="18" customHeight="1">
      <x:c r="A159" s="1"/>
      <x:c r="B159" s="1"/>
      <x:c r="C159" s="1"/>
      <x:c r="D159" s="1"/>
      <x:c r="E159" s="1"/>
      <x:c r="F159" s="1"/>
      <x:c r="G159" s="1"/>
      <x:c r="H159" s="1"/>
      <x:c r="I159" s="1"/>
      <x:c r="J159" s="1"/>
      <x:c r="K159" s="1"/>
      <x:c r="L159" s="1"/>
      <x:c r="M159" s="1"/>
      <x:c r="N159" s="1"/>
      <x:c r="O159" s="1"/>
      <x:c r="P159" s="1"/>
      <x:c r="Q159" s="1"/>
      <x:c r="R159" s="1"/>
      <x:c r="S159" s="1"/>
      <x:c r="T159" s="1"/>
    </x:row>
    <x:row r="160" ht="18" customHeight="1">
      <x:c r="A160" s="1"/>
      <x:c r="B160" s="1"/>
      <x:c r="C160" s="1"/>
      <x:c r="D160" s="1"/>
      <x:c r="E160" s="1"/>
      <x:c r="F160" s="1"/>
      <x:c r="G160" s="1"/>
      <x:c r="H160" s="1"/>
      <x:c r="I160" s="1"/>
      <x:c r="J160" s="1"/>
      <x:c r="K160" s="1"/>
      <x:c r="L160" s="1"/>
      <x:c r="M160" s="1"/>
      <x:c r="N160" s="1"/>
      <x:c r="O160" s="1"/>
      <x:c r="P160" s="1"/>
      <x:c r="Q160" s="1"/>
      <x:c r="R160" s="1"/>
      <x:c r="S160" s="1"/>
      <x:c r="T160" s="1"/>
    </x:row>
    <x:row r="161" ht="18" customHeight="1">
      <x:c r="A161" s="1"/>
      <x:c r="B161" s="1"/>
      <x:c r="C161" s="1"/>
      <x:c r="D161" s="1"/>
      <x:c r="E161" s="1"/>
      <x:c r="F161" s="1"/>
      <x:c r="G161" s="1"/>
      <x:c r="H161" s="1"/>
      <x:c r="I161" s="1"/>
      <x:c r="J161" s="1"/>
      <x:c r="K161" s="1"/>
      <x:c r="L161" s="1"/>
      <x:c r="M161" s="1"/>
      <x:c r="N161" s="1"/>
      <x:c r="O161" s="1"/>
      <x:c r="P161" s="1"/>
      <x:c r="Q161" s="1"/>
      <x:c r="R161" s="1"/>
      <x:c r="S161" s="1"/>
      <x:c r="T161" s="1"/>
    </x:row>
    <x:row r="162" ht="18" customHeight="1">
      <x:c r="A162" s="1"/>
      <x:c r="B162" s="1"/>
      <x:c r="C162" s="1"/>
      <x:c r="D162" s="1"/>
      <x:c r="E162" s="1"/>
      <x:c r="F162" s="1"/>
      <x:c r="G162" s="1"/>
      <x:c r="H162" s="1"/>
      <x:c r="I162" s="1"/>
      <x:c r="J162" s="1"/>
      <x:c r="K162" s="1"/>
      <x:c r="L162" s="1"/>
      <x:c r="M162" s="1"/>
      <x:c r="N162" s="1"/>
      <x:c r="O162" s="1"/>
      <x:c r="P162" s="1"/>
      <x:c r="Q162" s="1"/>
      <x:c r="R162" s="1"/>
      <x:c r="S162" s="1"/>
      <x:c r="T162" s="1"/>
    </x:row>
    <x:row r="163" ht="18" customHeight="1">
      <x:c r="A163" s="1"/>
      <x:c r="B163" s="1"/>
      <x:c r="C163" s="1"/>
      <x:c r="D163" s="1"/>
      <x:c r="E163" s="1"/>
      <x:c r="F163" s="1"/>
      <x:c r="G163" s="1"/>
      <x:c r="H163" s="1"/>
      <x:c r="I163" s="1"/>
      <x:c r="J163" s="1"/>
      <x:c r="K163" s="1"/>
      <x:c r="L163" s="1"/>
      <x:c r="M163" s="1"/>
      <x:c r="N163" s="1"/>
      <x:c r="O163" s="1"/>
      <x:c r="P163" s="1"/>
      <x:c r="Q163" s="1"/>
      <x:c r="R163" s="1"/>
      <x:c r="S163" s="1"/>
      <x:c r="T163" s="1"/>
    </x:row>
    <x:row r="164" ht="18" customHeight="1">
      <x:c r="A164" s="1"/>
      <x:c r="B164" s="1"/>
      <x:c r="C164" s="1"/>
      <x:c r="D164" s="1"/>
      <x:c r="E164" s="1"/>
      <x:c r="F164" s="1"/>
      <x:c r="G164" s="1"/>
      <x:c r="H164" s="1"/>
      <x:c r="I164" s="1"/>
      <x:c r="J164" s="1"/>
      <x:c r="K164" s="1"/>
      <x:c r="L164" s="1"/>
      <x:c r="M164" s="1"/>
      <x:c r="N164" s="1"/>
      <x:c r="O164" s="1"/>
      <x:c r="P164" s="1"/>
      <x:c r="Q164" s="1"/>
      <x:c r="R164" s="1"/>
      <x:c r="S164" s="1"/>
      <x:c r="T164" s="1"/>
    </x:row>
    <x:row r="165" ht="18" customHeight="1">
      <x:c r="A165" s="1"/>
      <x:c r="B165" s="1"/>
      <x:c r="C165" s="1"/>
      <x:c r="D165" s="1"/>
      <x:c r="E165" s="1"/>
      <x:c r="F165" s="1"/>
      <x:c r="G165" s="1"/>
      <x:c r="H165" s="1"/>
      <x:c r="I165" s="1"/>
      <x:c r="J165" s="1"/>
      <x:c r="K165" s="1"/>
      <x:c r="L165" s="1"/>
      <x:c r="M165" s="1"/>
      <x:c r="N165" s="1"/>
      <x:c r="O165" s="1"/>
      <x:c r="P165" s="1"/>
      <x:c r="Q165" s="1"/>
      <x:c r="R165" s="1"/>
      <x:c r="S165" s="1"/>
      <x:c r="T165" s="1"/>
    </x:row>
    <x:row r="166" ht="18" customHeight="1">
      <x:c r="A166" s="1"/>
      <x:c r="B166" s="1"/>
      <x:c r="C166" s="1"/>
      <x:c r="D166" s="1"/>
      <x:c r="E166" s="1"/>
      <x:c r="F166" s="1"/>
      <x:c r="G166" s="1"/>
      <x:c r="H166" s="1"/>
      <x:c r="I166" s="1"/>
      <x:c r="J166" s="1"/>
      <x:c r="K166" s="1"/>
      <x:c r="L166" s="1"/>
      <x:c r="M166" s="1"/>
      <x:c r="N166" s="1"/>
      <x:c r="O166" s="1"/>
      <x:c r="P166" s="1"/>
      <x:c r="Q166" s="1"/>
      <x:c r="R166" s="1"/>
      <x:c r="S166" s="1"/>
      <x:c r="T166" s="1"/>
    </x:row>
    <x:row r="167" ht="18" customHeight="1">
      <x:c r="A167" s="1"/>
      <x:c r="B167" s="1"/>
      <x:c r="C167" s="1"/>
      <x:c r="D167" s="1"/>
      <x:c r="E167" s="1"/>
      <x:c r="F167" s="1"/>
      <x:c r="G167" s="1"/>
      <x:c r="H167" s="1"/>
      <x:c r="I167" s="1"/>
      <x:c r="J167" s="1"/>
      <x:c r="K167" s="1"/>
      <x:c r="L167" s="1"/>
      <x:c r="M167" s="1"/>
      <x:c r="N167" s="1"/>
      <x:c r="O167" s="1"/>
      <x:c r="P167" s="1"/>
      <x:c r="Q167" s="1"/>
      <x:c r="R167" s="1"/>
      <x:c r="S167" s="1"/>
      <x:c r="T167" s="1"/>
    </x:row>
    <x:row r="168" ht="18" customHeight="1">
      <x:c r="A168" s="1"/>
      <x:c r="B168" s="1"/>
      <x:c r="C168" s="1"/>
      <x:c r="D168" s="1"/>
      <x:c r="E168" s="1"/>
      <x:c r="F168" s="1"/>
      <x:c r="G168" s="1"/>
      <x:c r="H168" s="1"/>
      <x:c r="I168" s="1"/>
      <x:c r="J168" s="1"/>
      <x:c r="K168" s="1"/>
      <x:c r="L168" s="1"/>
      <x:c r="M168" s="1"/>
      <x:c r="N168" s="1"/>
      <x:c r="O168" s="1"/>
      <x:c r="P168" s="1"/>
      <x:c r="Q168" s="1"/>
      <x:c r="R168" s="1"/>
      <x:c r="S168" s="1"/>
      <x:c r="T168" s="1"/>
    </x:row>
    <x:row r="169" ht="18" customHeight="1">
      <x:c r="A169" s="1"/>
      <x:c r="B169" s="1"/>
      <x:c r="C169" s="1"/>
      <x:c r="D169" s="1"/>
      <x:c r="E169" s="1"/>
      <x:c r="F169" s="1"/>
      <x:c r="G169" s="1"/>
      <x:c r="H169" s="1"/>
      <x:c r="I169" s="1"/>
      <x:c r="J169" s="1"/>
      <x:c r="K169" s="1"/>
      <x:c r="L169" s="1"/>
      <x:c r="M169" s="1"/>
      <x:c r="N169" s="1"/>
      <x:c r="O169" s="1"/>
      <x:c r="P169" s="1"/>
      <x:c r="Q169" s="1"/>
      <x:c r="R169" s="1"/>
      <x:c r="S169" s="1"/>
      <x:c r="T169" s="1"/>
    </x:row>
    <x:row r="170" ht="18" customHeight="1">
      <x:c r="A170" s="1"/>
      <x:c r="B170" s="1"/>
      <x:c r="C170" s="1"/>
      <x:c r="D170" s="1"/>
      <x:c r="E170" s="1"/>
      <x:c r="F170" s="1"/>
      <x:c r="G170" s="1"/>
      <x:c r="H170" s="1"/>
      <x:c r="I170" s="1"/>
      <x:c r="J170" s="1"/>
      <x:c r="K170" s="1"/>
      <x:c r="L170" s="1"/>
      <x:c r="M170" s="1"/>
      <x:c r="N170" s="1"/>
      <x:c r="O170" s="1"/>
      <x:c r="P170" s="1"/>
      <x:c r="Q170" s="1"/>
      <x:c r="R170" s="1"/>
      <x:c r="S170" s="1"/>
      <x:c r="T170" s="1"/>
    </x:row>
    <x:row r="171" ht="18" customHeight="1">
      <x:c r="A171" s="1"/>
      <x:c r="B171" s="1"/>
      <x:c r="C171" s="1"/>
      <x:c r="D171" s="1"/>
      <x:c r="E171" s="1"/>
      <x:c r="F171" s="1"/>
      <x:c r="G171" s="1"/>
      <x:c r="H171" s="1"/>
      <x:c r="I171" s="1"/>
      <x:c r="J171" s="1"/>
      <x:c r="K171" s="1"/>
      <x:c r="L171" s="1"/>
      <x:c r="M171" s="1"/>
      <x:c r="N171" s="1"/>
      <x:c r="O171" s="1"/>
      <x:c r="P171" s="1"/>
      <x:c r="Q171" s="1"/>
      <x:c r="R171" s="1"/>
      <x:c r="S171" s="1"/>
      <x:c r="T171" s="1"/>
    </x:row>
    <x:row r="172" ht="18" customHeight="1">
      <x:c r="A172" s="1"/>
      <x:c r="B172" s="1"/>
      <x:c r="C172" s="1"/>
      <x:c r="D172" s="1"/>
      <x:c r="E172" s="1"/>
      <x:c r="F172" s="1"/>
      <x:c r="G172" s="1"/>
      <x:c r="H172" s="1"/>
      <x:c r="I172" s="1"/>
      <x:c r="J172" s="1"/>
      <x:c r="K172" s="1"/>
      <x:c r="L172" s="1"/>
      <x:c r="M172" s="1"/>
      <x:c r="N172" s="1"/>
      <x:c r="O172" s="1"/>
      <x:c r="P172" s="1"/>
      <x:c r="Q172" s="1"/>
      <x:c r="R172" s="1"/>
      <x:c r="S172" s="1"/>
      <x:c r="T172" s="1"/>
    </x:row>
    <x:row r="173" ht="18" customHeight="1">
      <x:c r="A173" s="1"/>
      <x:c r="B173" s="1"/>
      <x:c r="C173" s="1"/>
      <x:c r="D173" s="1"/>
      <x:c r="E173" s="1"/>
      <x:c r="F173" s="1"/>
      <x:c r="G173" s="1"/>
      <x:c r="H173" s="1"/>
      <x:c r="I173" s="1"/>
      <x:c r="J173" s="1"/>
      <x:c r="K173" s="1"/>
      <x:c r="L173" s="1"/>
      <x:c r="M173" s="1"/>
      <x:c r="N173" s="1"/>
      <x:c r="O173" s="1"/>
      <x:c r="P173" s="1"/>
      <x:c r="Q173" s="1"/>
      <x:c r="R173" s="1"/>
      <x:c r="S173" s="1"/>
      <x:c r="T173" s="1"/>
    </x:row>
    <x:row r="174" ht="18" customHeight="1">
      <x:c r="A174" s="1"/>
      <x:c r="B174" s="1"/>
      <x:c r="C174" s="1"/>
      <x:c r="D174" s="1"/>
      <x:c r="E174" s="1"/>
      <x:c r="F174" s="1"/>
      <x:c r="G174" s="1"/>
      <x:c r="H174" s="1"/>
      <x:c r="I174" s="1"/>
      <x:c r="J174" s="1"/>
      <x:c r="K174" s="1"/>
      <x:c r="L174" s="1"/>
      <x:c r="M174" s="1"/>
      <x:c r="N174" s="1"/>
      <x:c r="O174" s="1"/>
      <x:c r="P174" s="1"/>
      <x:c r="Q174" s="1"/>
      <x:c r="R174" s="1"/>
      <x:c r="S174" s="1"/>
      <x:c r="T174" s="1"/>
    </x:row>
    <x:row r="175" ht="18" customHeight="1">
      <x:c r="A175" s="1"/>
      <x:c r="B175" s="1"/>
      <x:c r="C175" s="1"/>
      <x:c r="D175" s="1"/>
      <x:c r="E175" s="1"/>
      <x:c r="F175" s="1"/>
      <x:c r="G175" s="1"/>
      <x:c r="H175" s="1"/>
      <x:c r="I175" s="1"/>
      <x:c r="J175" s="1"/>
      <x:c r="K175" s="1"/>
      <x:c r="L175" s="1"/>
      <x:c r="M175" s="1"/>
      <x:c r="N175" s="1"/>
      <x:c r="O175" s="1"/>
      <x:c r="P175" s="1"/>
      <x:c r="Q175" s="1"/>
      <x:c r="R175" s="1"/>
      <x:c r="S175" s="1"/>
      <x:c r="T175" s="1"/>
    </x:row>
    <x:row r="176" ht="18" customHeight="1">
      <x:c r="A176" s="1"/>
      <x:c r="B176" s="1"/>
      <x:c r="C176" s="1"/>
      <x:c r="D176" s="1"/>
      <x:c r="E176" s="1"/>
      <x:c r="F176" s="1"/>
      <x:c r="G176" s="1"/>
      <x:c r="H176" s="1"/>
      <x:c r="I176" s="1"/>
      <x:c r="J176" s="1"/>
      <x:c r="K176" s="1"/>
      <x:c r="L176" s="1"/>
      <x:c r="M176" s="1"/>
      <x:c r="N176" s="1"/>
      <x:c r="O176" s="1"/>
      <x:c r="P176" s="1"/>
      <x:c r="Q176" s="1"/>
      <x:c r="R176" s="1"/>
      <x:c r="S176" s="1"/>
      <x:c r="T176" s="1"/>
    </x:row>
    <x:row r="177" ht="18" customHeight="1">
      <x:c r="A177" s="1"/>
      <x:c r="B177" s="1"/>
      <x:c r="C177" s="1"/>
      <x:c r="D177" s="1"/>
      <x:c r="E177" s="1"/>
      <x:c r="F177" s="1"/>
      <x:c r="G177" s="1"/>
      <x:c r="H177" s="1"/>
      <x:c r="I177" s="1"/>
      <x:c r="J177" s="1"/>
      <x:c r="K177" s="1"/>
      <x:c r="L177" s="1"/>
      <x:c r="M177" s="1"/>
      <x:c r="N177" s="1"/>
      <x:c r="O177" s="1"/>
      <x:c r="P177" s="1"/>
      <x:c r="Q177" s="1"/>
      <x:c r="R177" s="1"/>
      <x:c r="S177" s="1"/>
      <x:c r="T177" s="1"/>
    </x:row>
    <x:row r="178" ht="18" customHeight="1">
      <x:c r="A178" s="1"/>
      <x:c r="B178" s="1"/>
      <x:c r="C178" s="1"/>
      <x:c r="D178" s="1"/>
      <x:c r="E178" s="1"/>
      <x:c r="F178" s="1"/>
      <x:c r="G178" s="1"/>
      <x:c r="H178" s="1"/>
      <x:c r="I178" s="1"/>
      <x:c r="J178" s="1"/>
      <x:c r="K178" s="1"/>
      <x:c r="L178" s="1"/>
      <x:c r="M178" s="1"/>
      <x:c r="N178" s="1"/>
      <x:c r="O178" s="1"/>
      <x:c r="P178" s="1"/>
      <x:c r="Q178" s="1"/>
      <x:c r="R178" s="1"/>
      <x:c r="S178" s="1"/>
      <x:c r="T178" s="1"/>
    </x:row>
    <x:row r="179" ht="18" customHeight="1">
      <x:c r="A179" s="1"/>
      <x:c r="B179" s="1"/>
      <x:c r="C179" s="1"/>
      <x:c r="D179" s="1"/>
      <x:c r="E179" s="1"/>
      <x:c r="F179" s="1"/>
      <x:c r="G179" s="1"/>
      <x:c r="H179" s="1"/>
      <x:c r="I179" s="1"/>
      <x:c r="J179" s="1"/>
      <x:c r="K179" s="1"/>
      <x:c r="L179" s="1"/>
      <x:c r="M179" s="1"/>
      <x:c r="N179" s="1"/>
      <x:c r="O179" s="1"/>
      <x:c r="P179" s="1"/>
      <x:c r="Q179" s="1"/>
      <x:c r="R179" s="1"/>
      <x:c r="S179" s="1"/>
      <x:c r="T179" s="1"/>
    </x:row>
    <x:row r="180" ht="18" customHeight="1">
      <x:c r="A180" s="1"/>
      <x:c r="B180" s="1"/>
      <x:c r="C180" s="1"/>
      <x:c r="D180" s="1"/>
      <x:c r="E180" s="1"/>
      <x:c r="F180" s="1"/>
      <x:c r="G180" s="1"/>
      <x:c r="H180" s="1"/>
      <x:c r="I180" s="1"/>
      <x:c r="J180" s="1"/>
      <x:c r="K180" s="1"/>
      <x:c r="L180" s="1"/>
      <x:c r="M180" s="1"/>
      <x:c r="N180" s="1"/>
      <x:c r="O180" s="1"/>
      <x:c r="P180" s="1"/>
      <x:c r="Q180" s="1"/>
      <x:c r="R180" s="1"/>
      <x:c r="S180" s="1"/>
      <x:c r="T180" s="1"/>
    </x:row>
    <x:row r="181" ht="18" customHeight="1">
      <x:c r="A181" s="1"/>
      <x:c r="B181" s="1"/>
      <x:c r="C181" s="1"/>
      <x:c r="D181" s="1"/>
      <x:c r="E181" s="1"/>
      <x:c r="F181" s="1"/>
      <x:c r="G181" s="1"/>
      <x:c r="H181" s="1"/>
      <x:c r="I181" s="1"/>
      <x:c r="J181" s="1"/>
      <x:c r="K181" s="1"/>
      <x:c r="L181" s="1"/>
      <x:c r="M181" s="1"/>
      <x:c r="N181" s="1"/>
      <x:c r="O181" s="1"/>
      <x:c r="P181" s="1"/>
      <x:c r="Q181" s="1"/>
      <x:c r="R181" s="1"/>
      <x:c r="S181" s="1"/>
      <x:c r="T181" s="1"/>
    </x:row>
    <x:row r="182" ht="18" customHeight="1">
      <x:c r="A182" s="1"/>
      <x:c r="B182" s="1"/>
      <x:c r="C182" s="1"/>
      <x:c r="D182" s="1"/>
      <x:c r="E182" s="1"/>
      <x:c r="F182" s="1"/>
      <x:c r="G182" s="1"/>
      <x:c r="H182" s="1"/>
      <x:c r="I182" s="1"/>
      <x:c r="J182" s="1"/>
      <x:c r="K182" s="1"/>
      <x:c r="L182" s="1"/>
      <x:c r="M182" s="1"/>
      <x:c r="N182" s="1"/>
      <x:c r="O182" s="1"/>
      <x:c r="P182" s="1"/>
      <x:c r="Q182" s="1"/>
      <x:c r="R182" s="1"/>
      <x:c r="S182" s="1"/>
      <x:c r="T182" s="1"/>
    </x:row>
    <x:row r="183" ht="18" customHeight="1">
      <x:c r="A183" s="1"/>
      <x:c r="B183" s="1"/>
      <x:c r="C183" s="1"/>
      <x:c r="D183" s="1"/>
      <x:c r="E183" s="1"/>
      <x:c r="F183" s="1"/>
      <x:c r="G183" s="1"/>
      <x:c r="H183" s="1"/>
      <x:c r="I183" s="1"/>
      <x:c r="J183" s="1"/>
      <x:c r="K183" s="1"/>
      <x:c r="L183" s="1"/>
      <x:c r="M183" s="1"/>
      <x:c r="N183" s="1"/>
      <x:c r="O183" s="1"/>
      <x:c r="P183" s="1"/>
      <x:c r="Q183" s="1"/>
      <x:c r="R183" s="1"/>
      <x:c r="S183" s="1"/>
      <x:c r="T183" s="1"/>
    </x:row>
    <x:row r="184" ht="18" customHeight="1">
      <x:c r="A184" s="1"/>
      <x:c r="B184" s="1"/>
      <x:c r="C184" s="1"/>
      <x:c r="D184" s="1"/>
      <x:c r="E184" s="1"/>
      <x:c r="F184" s="1"/>
      <x:c r="G184" s="1"/>
      <x:c r="H184" s="1"/>
      <x:c r="I184" s="1"/>
      <x:c r="J184" s="1"/>
      <x:c r="K184" s="1"/>
      <x:c r="L184" s="1"/>
      <x:c r="M184" s="1"/>
      <x:c r="N184" s="1"/>
      <x:c r="O184" s="1"/>
      <x:c r="P184" s="1"/>
      <x:c r="Q184" s="1"/>
      <x:c r="R184" s="1"/>
      <x:c r="S184" s="1"/>
      <x:c r="T184" s="1"/>
    </x:row>
    <x:row r="185" ht="18" customHeight="1">
      <x:c r="A185" s="1"/>
      <x:c r="B185" s="1"/>
      <x:c r="C185" s="1"/>
      <x:c r="D185" s="1"/>
      <x:c r="E185" s="1"/>
      <x:c r="F185" s="1"/>
      <x:c r="G185" s="1"/>
      <x:c r="H185" s="1"/>
      <x:c r="I185" s="1"/>
      <x:c r="J185" s="1"/>
      <x:c r="K185" s="1"/>
      <x:c r="L185" s="1"/>
      <x:c r="M185" s="1"/>
      <x:c r="N185" s="1"/>
      <x:c r="O185" s="1"/>
      <x:c r="P185" s="1"/>
      <x:c r="Q185" s="1"/>
      <x:c r="R185" s="1"/>
      <x:c r="S185" s="1"/>
      <x:c r="T185" s="1"/>
    </x:row>
    <x:row r="186" ht="18" customHeight="1">
      <x:c r="A186" s="1"/>
      <x:c r="B186" s="1"/>
      <x:c r="C186" s="1"/>
      <x:c r="D186" s="1"/>
      <x:c r="E186" s="1"/>
      <x:c r="F186" s="1"/>
      <x:c r="G186" s="1"/>
      <x:c r="H186" s="1"/>
      <x:c r="I186" s="1"/>
      <x:c r="J186" s="1"/>
      <x:c r="K186" s="1"/>
      <x:c r="L186" s="1"/>
      <x:c r="M186" s="1"/>
      <x:c r="N186" s="1"/>
      <x:c r="O186" s="1"/>
      <x:c r="P186" s="1"/>
      <x:c r="Q186" s="1"/>
      <x:c r="R186" s="1"/>
      <x:c r="S186" s="1"/>
      <x:c r="T186" s="1"/>
    </x:row>
    <x:row r="187" ht="18" customHeight="1">
      <x:c r="A187" s="1"/>
      <x:c r="B187" s="1"/>
      <x:c r="C187" s="1"/>
      <x:c r="D187" s="1"/>
      <x:c r="E187" s="1"/>
      <x:c r="F187" s="1"/>
      <x:c r="G187" s="1"/>
      <x:c r="H187" s="1"/>
      <x:c r="I187" s="1"/>
      <x:c r="J187" s="1"/>
      <x:c r="K187" s="1"/>
      <x:c r="L187" s="1"/>
      <x:c r="M187" s="1"/>
      <x:c r="N187" s="1"/>
      <x:c r="O187" s="1"/>
      <x:c r="P187" s="1"/>
      <x:c r="Q187" s="1"/>
      <x:c r="R187" s="1"/>
      <x:c r="S187" s="1"/>
      <x:c r="T187" s="1"/>
    </x:row>
    <x:row r="188" ht="18" customHeight="1">
      <x:c r="A188" s="1"/>
      <x:c r="B188" s="1"/>
      <x:c r="C188" s="1"/>
      <x:c r="D188" s="1"/>
      <x:c r="E188" s="1"/>
      <x:c r="F188" s="1"/>
      <x:c r="G188" s="1"/>
      <x:c r="H188" s="1"/>
      <x:c r="I188" s="1"/>
      <x:c r="J188" s="1"/>
      <x:c r="K188" s="1"/>
      <x:c r="L188" s="1"/>
      <x:c r="M188" s="1"/>
      <x:c r="N188" s="1"/>
      <x:c r="O188" s="1"/>
      <x:c r="P188" s="1"/>
      <x:c r="Q188" s="1"/>
      <x:c r="R188" s="1"/>
      <x:c r="S188" s="1"/>
      <x:c r="T188" s="1"/>
    </x:row>
    <x:row r="189" ht="18" customHeight="1">
      <x:c r="A189" s="1"/>
      <x:c r="B189" s="1"/>
      <x:c r="C189" s="1"/>
      <x:c r="D189" s="1"/>
      <x:c r="E189" s="1"/>
      <x:c r="F189" s="1"/>
      <x:c r="G189" s="1"/>
      <x:c r="H189" s="1"/>
      <x:c r="I189" s="1"/>
      <x:c r="J189" s="1"/>
      <x:c r="K189" s="1"/>
      <x:c r="L189" s="1"/>
      <x:c r="M189" s="1"/>
      <x:c r="N189" s="1"/>
      <x:c r="O189" s="1"/>
      <x:c r="P189" s="1"/>
      <x:c r="Q189" s="1"/>
      <x:c r="R189" s="1"/>
      <x:c r="S189" s="1"/>
      <x:c r="T189" s="1"/>
    </x:row>
    <x:row r="190" ht="18" customHeight="1">
      <x:c r="A190" s="1"/>
      <x:c r="B190" s="1"/>
      <x:c r="C190" s="1"/>
      <x:c r="D190" s="1"/>
      <x:c r="E190" s="1"/>
      <x:c r="F190" s="1"/>
      <x:c r="G190" s="1"/>
      <x:c r="H190" s="1"/>
      <x:c r="I190" s="1"/>
      <x:c r="J190" s="1"/>
      <x:c r="K190" s="1"/>
      <x:c r="L190" s="1"/>
      <x:c r="M190" s="1"/>
      <x:c r="N190" s="1"/>
      <x:c r="O190" s="1"/>
      <x:c r="P190" s="1"/>
      <x:c r="Q190" s="1"/>
      <x:c r="R190" s="1"/>
      <x:c r="S190" s="1"/>
      <x:c r="T190" s="1"/>
    </x:row>
    <x:row r="191" ht="18" customHeight="1">
      <x:c r="A191" s="1"/>
      <x:c r="B191" s="1"/>
      <x:c r="C191" s="1"/>
      <x:c r="D191" s="1"/>
      <x:c r="E191" s="1"/>
      <x:c r="F191" s="1"/>
      <x:c r="G191" s="1"/>
      <x:c r="H191" s="1"/>
      <x:c r="I191" s="1"/>
      <x:c r="J191" s="1"/>
      <x:c r="K191" s="1"/>
      <x:c r="L191" s="1"/>
      <x:c r="M191" s="1"/>
      <x:c r="N191" s="1"/>
      <x:c r="O191" s="1"/>
      <x:c r="P191" s="1"/>
      <x:c r="Q191" s="1"/>
      <x:c r="R191" s="1"/>
      <x:c r="S191" s="1"/>
      <x:c r="T191" s="1"/>
    </x:row>
    <x:row r="192" ht="18" customHeight="1">
      <x:c r="A192" s="1"/>
      <x:c r="B192" s="1"/>
      <x:c r="C192" s="1"/>
      <x:c r="D192" s="1"/>
      <x:c r="E192" s="1"/>
      <x:c r="F192" s="1"/>
      <x:c r="G192" s="1"/>
      <x:c r="H192" s="1"/>
      <x:c r="I192" s="1"/>
      <x:c r="J192" s="1"/>
      <x:c r="K192" s="1"/>
      <x:c r="L192" s="1"/>
      <x:c r="M192" s="1"/>
      <x:c r="N192" s="1"/>
      <x:c r="O192" s="1"/>
      <x:c r="P192" s="1"/>
      <x:c r="Q192" s="1"/>
      <x:c r="R192" s="1"/>
      <x:c r="S192" s="1"/>
      <x:c r="T192" s="1"/>
    </x:row>
    <x:row r="193" ht="18" customHeight="1">
      <x:c r="A193" s="1"/>
      <x:c r="B193" s="1"/>
      <x:c r="C193" s="1"/>
      <x:c r="D193" s="1"/>
      <x:c r="E193" s="1"/>
      <x:c r="F193" s="1"/>
      <x:c r="G193" s="1"/>
      <x:c r="H193" s="1"/>
      <x:c r="I193" s="1"/>
      <x:c r="J193" s="1"/>
      <x:c r="K193" s="1"/>
      <x:c r="L193" s="1"/>
      <x:c r="M193" s="1"/>
      <x:c r="N193" s="1"/>
      <x:c r="O193" s="1"/>
      <x:c r="P193" s="1"/>
      <x:c r="Q193" s="1"/>
      <x:c r="R193" s="1"/>
      <x:c r="S193" s="1"/>
      <x:c r="T193" s="1"/>
    </x:row>
    <x:row r="194" ht="18" customHeight="1">
      <x:c r="A194" s="1"/>
      <x:c r="B194" s="1"/>
      <x:c r="C194" s="1"/>
      <x:c r="D194" s="1"/>
      <x:c r="E194" s="1"/>
      <x:c r="F194" s="1"/>
      <x:c r="G194" s="1"/>
      <x:c r="H194" s="1"/>
      <x:c r="I194" s="1"/>
      <x:c r="J194" s="1"/>
      <x:c r="K194" s="1"/>
      <x:c r="L194" s="1"/>
      <x:c r="M194" s="1"/>
      <x:c r="N194" s="1"/>
      <x:c r="O194" s="1"/>
      <x:c r="P194" s="1"/>
      <x:c r="Q194" s="1"/>
      <x:c r="R194" s="1"/>
      <x:c r="S194" s="1"/>
      <x:c r="T194" s="1"/>
    </x:row>
    <x:row r="195" ht="18" customHeight="1">
      <x:c r="A195" s="1"/>
      <x:c r="B195" s="1"/>
      <x:c r="C195" s="1"/>
      <x:c r="D195" s="1"/>
      <x:c r="E195" s="1"/>
      <x:c r="F195" s="1"/>
      <x:c r="G195" s="1"/>
      <x:c r="H195" s="1"/>
      <x:c r="I195" s="1"/>
      <x:c r="J195" s="1"/>
      <x:c r="K195" s="1"/>
      <x:c r="L195" s="1"/>
      <x:c r="M195" s="1"/>
      <x:c r="N195" s="1"/>
      <x:c r="O195" s="1"/>
      <x:c r="P195" s="1"/>
      <x:c r="Q195" s="1"/>
      <x:c r="R195" s="1"/>
      <x:c r="S195" s="1"/>
      <x:c r="T195" s="1"/>
    </x:row>
    <x:row r="196" ht="18" customHeight="1">
      <x:c r="A196" s="1"/>
      <x:c r="B196" s="1"/>
      <x:c r="C196" s="1"/>
      <x:c r="D196" s="1"/>
      <x:c r="E196" s="1"/>
      <x:c r="F196" s="1"/>
      <x:c r="G196" s="1"/>
      <x:c r="H196" s="1"/>
      <x:c r="I196" s="1"/>
      <x:c r="J196" s="1"/>
      <x:c r="K196" s="1"/>
      <x:c r="L196" s="1"/>
      <x:c r="M196" s="1"/>
      <x:c r="N196" s="1"/>
      <x:c r="O196" s="1"/>
      <x:c r="P196" s="1"/>
      <x:c r="Q196" s="1"/>
      <x:c r="R196" s="1"/>
      <x:c r="S196" s="1"/>
      <x:c r="T196" s="1"/>
    </x:row>
    <x:row r="197" ht="18" customHeight="1">
      <x:c r="A197" s="1"/>
      <x:c r="B197" s="1"/>
      <x:c r="C197" s="1"/>
      <x:c r="D197" s="1"/>
      <x:c r="E197" s="1"/>
      <x:c r="F197" s="1"/>
      <x:c r="G197" s="1"/>
      <x:c r="H197" s="1"/>
      <x:c r="I197" s="1"/>
      <x:c r="J197" s="1"/>
      <x:c r="K197" s="1"/>
      <x:c r="L197" s="1"/>
      <x:c r="M197" s="1"/>
      <x:c r="N197" s="1"/>
      <x:c r="O197" s="1"/>
      <x:c r="P197" s="1"/>
      <x:c r="Q197" s="1"/>
      <x:c r="R197" s="1"/>
      <x:c r="S197" s="1"/>
      <x:c r="T197" s="1"/>
    </x:row>
    <x:row r="198" ht="18" customHeight="1">
      <x:c r="A198" s="1"/>
      <x:c r="B198" s="1"/>
      <x:c r="C198" s="1"/>
      <x:c r="D198" s="1"/>
      <x:c r="E198" s="1"/>
      <x:c r="F198" s="1"/>
      <x:c r="G198" s="1"/>
      <x:c r="H198" s="1"/>
      <x:c r="I198" s="1"/>
      <x:c r="J198" s="1"/>
      <x:c r="K198" s="1"/>
      <x:c r="L198" s="1"/>
      <x:c r="M198" s="1"/>
      <x:c r="N198" s="1"/>
      <x:c r="O198" s="1"/>
      <x:c r="P198" s="1"/>
      <x:c r="Q198" s="1"/>
      <x:c r="R198" s="1"/>
      <x:c r="S198" s="1"/>
      <x:c r="T198" s="1"/>
    </x:row>
    <x:row r="199" ht="18" customHeight="1">
      <x:c r="A199" s="1"/>
      <x:c r="B199" s="1"/>
      <x:c r="C199" s="1"/>
      <x:c r="D199" s="1"/>
      <x:c r="E199" s="1"/>
      <x:c r="F199" s="1"/>
      <x:c r="G199" s="1"/>
      <x:c r="H199" s="1"/>
      <x:c r="I199" s="1"/>
      <x:c r="J199" s="1"/>
      <x:c r="K199" s="1"/>
      <x:c r="L199" s="1"/>
      <x:c r="M199" s="1"/>
      <x:c r="N199" s="1"/>
      <x:c r="O199" s="1"/>
      <x:c r="P199" s="1"/>
      <x:c r="Q199" s="1"/>
      <x:c r="R199" s="1"/>
      <x:c r="S199" s="1"/>
      <x:c r="T199" s="1"/>
    </x:row>
    <x:row r="200" ht="18" customHeight="1">
      <x:c r="A200" s="1"/>
      <x:c r="B200" s="1"/>
      <x:c r="C200" s="1"/>
      <x:c r="D200" s="1"/>
      <x:c r="E200" s="1"/>
      <x:c r="F200" s="1"/>
      <x:c r="G200" s="1"/>
      <x:c r="H200" s="1"/>
      <x:c r="I200" s="1"/>
      <x:c r="J200" s="1"/>
      <x:c r="K200" s="1"/>
      <x:c r="L200" s="1"/>
      <x:c r="M200" s="1"/>
      <x:c r="N200" s="1"/>
      <x:c r="O200" s="1"/>
      <x:c r="P200" s="1"/>
      <x:c r="Q200" s="1"/>
      <x:c r="R200" s="1"/>
      <x:c r="S200" s="1"/>
      <x:c r="T200" s="1"/>
    </x:row>
    <x:row r="201" ht="18" customHeight="1">
      <x:c r="A201" s="1"/>
      <x:c r="B201" s="1"/>
      <x:c r="C201" s="1"/>
      <x:c r="D201" s="1"/>
      <x:c r="E201" s="1"/>
      <x:c r="F201" s="1"/>
      <x:c r="G201" s="1"/>
      <x:c r="H201" s="1"/>
      <x:c r="I201" s="1"/>
      <x:c r="J201" s="1"/>
      <x:c r="K201" s="1"/>
      <x:c r="L201" s="1"/>
      <x:c r="M201" s="1"/>
      <x:c r="N201" s="1"/>
      <x:c r="O201" s="1"/>
      <x:c r="P201" s="1"/>
      <x:c r="Q201" s="1"/>
      <x:c r="R201" s="1"/>
      <x:c r="S201" s="1"/>
      <x:c r="T201" s="1"/>
    </x:row>
    <x:row r="202" ht="18" customHeight="1">
      <x:c r="A202" s="1"/>
      <x:c r="B202" s="1"/>
      <x:c r="C202" s="1"/>
      <x:c r="D202" s="1"/>
      <x:c r="E202" s="1"/>
      <x:c r="F202" s="1"/>
      <x:c r="G202" s="1"/>
      <x:c r="H202" s="1"/>
      <x:c r="I202" s="1"/>
      <x:c r="J202" s="1"/>
      <x:c r="K202" s="1"/>
      <x:c r="L202" s="1"/>
      <x:c r="M202" s="1"/>
      <x:c r="N202" s="1"/>
      <x:c r="O202" s="1"/>
      <x:c r="P202" s="1"/>
      <x:c r="Q202" s="1"/>
      <x:c r="R202" s="1"/>
      <x:c r="S202" s="1"/>
      <x:c r="T202" s="1"/>
    </x:row>
    <x:row r="203" ht="18" customHeight="1">
      <x:c r="A203" s="1"/>
      <x:c r="B203" s="1"/>
      <x:c r="C203" s="1"/>
      <x:c r="D203" s="1"/>
      <x:c r="E203" s="1"/>
      <x:c r="F203" s="1"/>
      <x:c r="G203" s="1"/>
      <x:c r="H203" s="1"/>
      <x:c r="I203" s="1"/>
      <x:c r="J203" s="1"/>
      <x:c r="K203" s="1"/>
      <x:c r="L203" s="1"/>
      <x:c r="M203" s="1"/>
      <x:c r="N203" s="1"/>
      <x:c r="O203" s="1"/>
      <x:c r="P203" s="1"/>
      <x:c r="Q203" s="1"/>
      <x:c r="R203" s="1"/>
      <x:c r="S203" s="1"/>
      <x:c r="T203" s="1"/>
    </x:row>
    <x:row r="204" ht="18" customHeight="1">
      <x:c r="A204" s="1"/>
      <x:c r="B204" s="1"/>
      <x:c r="C204" s="1"/>
      <x:c r="D204" s="1"/>
      <x:c r="E204" s="1"/>
      <x:c r="F204" s="1"/>
      <x:c r="G204" s="1"/>
      <x:c r="H204" s="1"/>
      <x:c r="I204" s="1"/>
      <x:c r="J204" s="1"/>
      <x:c r="K204" s="1"/>
      <x:c r="L204" s="1"/>
      <x:c r="M204" s="1"/>
      <x:c r="N204" s="1"/>
      <x:c r="O204" s="1"/>
      <x:c r="P204" s="1"/>
      <x:c r="Q204" s="1"/>
      <x:c r="R204" s="1"/>
      <x:c r="S204" s="1"/>
      <x:c r="T204" s="1"/>
    </x:row>
    <x:row r="205" ht="18" customHeight="1">
      <x:c r="A205" s="1"/>
      <x:c r="B205" s="1"/>
      <x:c r="C205" s="1"/>
      <x:c r="D205" s="1"/>
      <x:c r="E205" s="1"/>
      <x:c r="F205" s="1"/>
      <x:c r="G205" s="1"/>
      <x:c r="H205" s="1"/>
      <x:c r="I205" s="1"/>
      <x:c r="J205" s="1"/>
      <x:c r="K205" s="1"/>
      <x:c r="L205" s="1"/>
      <x:c r="M205" s="1"/>
      <x:c r="N205" s="1"/>
      <x:c r="O205" s="1"/>
      <x:c r="P205" s="1"/>
      <x:c r="Q205" s="1"/>
      <x:c r="R205" s="1"/>
      <x:c r="S205" s="1"/>
      <x:c r="T205" s="1"/>
    </x:row>
    <x:row r="206" ht="18" customHeight="1">
      <x:c r="A206" s="1"/>
      <x:c r="B206" s="1"/>
      <x:c r="C206" s="1"/>
      <x:c r="D206" s="1"/>
      <x:c r="E206" s="1"/>
      <x:c r="F206" s="1"/>
      <x:c r="G206" s="1"/>
      <x:c r="H206" s="1"/>
      <x:c r="I206" s="1"/>
      <x:c r="J206" s="1"/>
      <x:c r="K206" s="1"/>
      <x:c r="L206" s="1"/>
      <x:c r="M206" s="1"/>
      <x:c r="N206" s="1"/>
      <x:c r="O206" s="1"/>
      <x:c r="P206" s="1"/>
      <x:c r="Q206" s="1"/>
      <x:c r="R206" s="1"/>
      <x:c r="S206" s="1"/>
      <x:c r="T206" s="1"/>
    </x:row>
    <x:row r="207" ht="18" customHeight="1">
      <x:c r="A207" s="1"/>
      <x:c r="B207" s="1"/>
      <x:c r="C207" s="1"/>
      <x:c r="D207" s="1"/>
      <x:c r="E207" s="1"/>
      <x:c r="F207" s="1"/>
      <x:c r="G207" s="1"/>
      <x:c r="H207" s="1"/>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sheetData>
  <x:mergeCells>
    <x:mergeCell ref="B3:H3"/>
    <x:mergeCell ref="B4:H4"/>
  </x:mergeCells>
  <x:pageMargins left="0.7" right="0.7" top="0.75" bottom="0.75" header="0.3" footer="0.3"/>
</x:worksheet>
</file>

<file path=xl/worksheets/sheet13.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6" hidden="0" customWidth="1"/>
    <x:col min="3" max="3" width="23" hidden="0" customWidth="1"/>
    <x:col min="4" max="4" width="43.0099983215332" hidden="0" customWidth="1"/>
    <x:col min="5" max="5" width="15" hidden="0" customWidth="1"/>
    <x:col min="6" max="6" width="13" hidden="0" customWidth="1"/>
    <x:col min="7" max="7" width="13" hidden="0" customWidth="1"/>
    <x:col min="8" max="8" width="35.0099983215332"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Organisation</x:v>
      </x:c>
      <x:c r="C3" s="5"/>
      <x:c r="D3" s="5"/>
      <x:c r="E3" s="5"/>
      <x:c r="F3" s="5"/>
      <x:c r="G3" s="5"/>
      <x:c r="H3" s="5"/>
      <x:c r="I3" s="1"/>
      <x:c r="J3" s="1"/>
      <x:c r="K3" s="1"/>
      <x:c r="L3" s="1"/>
      <x:c r="M3" s="1"/>
      <x:c r="N3" s="1"/>
      <x:c r="O3" s="1"/>
      <x:c r="P3" s="1"/>
      <x:c r="Q3" s="1"/>
      <x:c r="R3" s="1"/>
      <x:c r="S3" s="1"/>
      <x:c r="T3" s="1"/>
    </x:row>
    <x:row r="4" ht="20.017499923706055" customHeight="1">
      <x:c r="A4" s="1"/>
      <x:c r="B4" s="8" t="str">
        <x:v>Dienste, Material und dauerhafte organisatorische Regelungen</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14" t="str">
        <x:v>Nr.</x:v>
      </x:c>
      <x:c r="C7" s="14" t="str">
        <x:v>Bereich</x:v>
      </x:c>
      <x:c r="D7" s="14" t="str">
        <x:v>Regelung</x:v>
      </x:c>
      <x:c r="E7" s="14" t="str">
        <x:v>Verantwortlich</x:v>
      </x:c>
      <x:c r="F7" s="14" t="str">
        <x:v>Beginn</x:v>
      </x:c>
      <x:c r="G7" s="14" t="str">
        <x:v>Ende</x:v>
      </x:c>
      <x:c r="H7" s="14" t="str">
        <x:v>Ablage</x:v>
      </x:c>
      <x:c r="I7" s="1"/>
      <x:c r="J7" s="1"/>
      <x:c r="K7" s="1"/>
      <x:c r="L7" s="1"/>
      <x:c r="M7" s="1"/>
      <x:c r="N7" s="1"/>
      <x:c r="O7" s="1"/>
      <x:c r="P7" s="1"/>
      <x:c r="Q7" s="1"/>
      <x:c r="R7" s="1"/>
      <x:c r="S7" s="1"/>
      <x:c r="T7" s="1"/>
    </x:row>
    <x:row r="8" ht="18" customHeight="1">
      <x:c r="A8" s="1"/>
      <x:c r="B8" s="19" t="n">
        <x:v>1</x:v>
      </x:c>
      <x:c r="C8" s="27"/>
      <x:c r="D8" s="27"/>
      <x:c r="E8" s="27"/>
      <x:c r="F8" s="56"/>
      <x:c r="G8" s="56"/>
      <x:c r="H8" s="27"/>
      <x:c r="I8" s="1"/>
      <x:c r="J8" s="1"/>
      <x:c r="K8" s="1"/>
      <x:c r="L8" s="1"/>
      <x:c r="M8" s="1"/>
      <x:c r="N8" s="1"/>
      <x:c r="O8" s="1"/>
      <x:c r="P8" s="1"/>
      <x:c r="Q8" s="1"/>
      <x:c r="R8" s="1"/>
      <x:c r="S8" s="1"/>
      <x:c r="T8" s="1"/>
    </x:row>
    <x:row r="9" ht="18" customHeight="1">
      <x:c r="A9" s="1"/>
      <x:c r="B9" s="19" t="n">
        <x:v>2</x:v>
      </x:c>
      <x:c r="C9" s="27"/>
      <x:c r="D9" s="27"/>
      <x:c r="E9" s="27"/>
      <x:c r="F9" s="56"/>
      <x:c r="G9" s="56"/>
      <x:c r="H9" s="27"/>
      <x:c r="I9" s="1"/>
      <x:c r="J9" s="1"/>
      <x:c r="K9" s="1"/>
      <x:c r="L9" s="1"/>
      <x:c r="M9" s="1"/>
      <x:c r="N9" s="1"/>
      <x:c r="O9" s="1"/>
      <x:c r="P9" s="1"/>
      <x:c r="Q9" s="1"/>
      <x:c r="R9" s="1"/>
      <x:c r="S9" s="1"/>
      <x:c r="T9" s="1"/>
    </x:row>
    <x:row r="10" ht="18" customHeight="1">
      <x:c r="A10" s="1"/>
      <x:c r="B10" s="19" t="n">
        <x:v>3</x:v>
      </x:c>
      <x:c r="C10" s="27"/>
      <x:c r="D10" s="27"/>
      <x:c r="E10" s="27"/>
      <x:c r="F10" s="56"/>
      <x:c r="G10" s="56"/>
      <x:c r="H10" s="27"/>
      <x:c r="I10" s="1"/>
      <x:c r="J10" s="1"/>
      <x:c r="K10" s="1"/>
      <x:c r="L10" s="1"/>
      <x:c r="M10" s="1"/>
      <x:c r="N10" s="1"/>
      <x:c r="O10" s="1"/>
      <x:c r="P10" s="1"/>
      <x:c r="Q10" s="1"/>
      <x:c r="R10" s="1"/>
      <x:c r="S10" s="1"/>
      <x:c r="T10" s="1"/>
    </x:row>
    <x:row r="11" ht="18" customHeight="1">
      <x:c r="A11" s="1"/>
      <x:c r="B11" s="19" t="n">
        <x:v>4</x:v>
      </x:c>
      <x:c r="C11" s="27"/>
      <x:c r="D11" s="27"/>
      <x:c r="E11" s="27"/>
      <x:c r="F11" s="56"/>
      <x:c r="G11" s="56"/>
      <x:c r="H11" s="27"/>
      <x:c r="I11" s="1"/>
      <x:c r="J11" s="1"/>
      <x:c r="K11" s="1"/>
      <x:c r="L11" s="1"/>
      <x:c r="M11" s="1"/>
      <x:c r="N11" s="1"/>
      <x:c r="O11" s="1"/>
      <x:c r="P11" s="1"/>
      <x:c r="Q11" s="1"/>
      <x:c r="R11" s="1"/>
      <x:c r="S11" s="1"/>
      <x:c r="T11" s="1"/>
    </x:row>
    <x:row r="12" ht="18" customHeight="1">
      <x:c r="A12" s="1"/>
      <x:c r="B12" s="19" t="n">
        <x:v>5</x:v>
      </x:c>
      <x:c r="C12" s="27"/>
      <x:c r="D12" s="27"/>
      <x:c r="E12" s="27"/>
      <x:c r="F12" s="56"/>
      <x:c r="G12" s="56"/>
      <x:c r="H12" s="27"/>
      <x:c r="I12" s="1"/>
      <x:c r="J12" s="1"/>
      <x:c r="K12" s="1"/>
      <x:c r="L12" s="1"/>
      <x:c r="M12" s="1"/>
      <x:c r="N12" s="1"/>
      <x:c r="O12" s="1"/>
      <x:c r="P12" s="1"/>
      <x:c r="Q12" s="1"/>
      <x:c r="R12" s="1"/>
      <x:c r="S12" s="1"/>
      <x:c r="T12" s="1"/>
    </x:row>
    <x:row r="13" ht="18" customHeight="1">
      <x:c r="A13" s="1"/>
      <x:c r="B13" s="19" t="n">
        <x:v>6</x:v>
      </x:c>
      <x:c r="C13" s="27"/>
      <x:c r="D13" s="27"/>
      <x:c r="E13" s="27"/>
      <x:c r="F13" s="56"/>
      <x:c r="G13" s="56"/>
      <x:c r="H13" s="27"/>
      <x:c r="I13" s="1"/>
      <x:c r="J13" s="1"/>
      <x:c r="K13" s="1"/>
      <x:c r="L13" s="1"/>
      <x:c r="M13" s="1"/>
      <x:c r="N13" s="1"/>
      <x:c r="O13" s="1"/>
      <x:c r="P13" s="1"/>
      <x:c r="Q13" s="1"/>
      <x:c r="R13" s="1"/>
      <x:c r="S13" s="1"/>
      <x:c r="T13" s="1"/>
    </x:row>
    <x:row r="14" ht="18" customHeight="1">
      <x:c r="A14" s="1"/>
      <x:c r="B14" s="19" t="n">
        <x:v>7</x:v>
      </x:c>
      <x:c r="C14" s="27"/>
      <x:c r="D14" s="27"/>
      <x:c r="E14" s="27"/>
      <x:c r="F14" s="56"/>
      <x:c r="G14" s="56"/>
      <x:c r="H14" s="27"/>
      <x:c r="I14" s="1"/>
      <x:c r="J14" s="1"/>
      <x:c r="K14" s="1"/>
      <x:c r="L14" s="1"/>
      <x:c r="M14" s="1"/>
      <x:c r="N14" s="1"/>
      <x:c r="O14" s="1"/>
      <x:c r="P14" s="1"/>
      <x:c r="Q14" s="1"/>
      <x:c r="R14" s="1"/>
      <x:c r="S14" s="1"/>
      <x:c r="T14" s="1"/>
    </x:row>
    <x:row r="15" ht="18" customHeight="1">
      <x:c r="A15" s="1"/>
      <x:c r="B15" s="19" t="n">
        <x:v>8</x:v>
      </x:c>
      <x:c r="C15" s="27"/>
      <x:c r="D15" s="27"/>
      <x:c r="E15" s="27"/>
      <x:c r="F15" s="56"/>
      <x:c r="G15" s="56"/>
      <x:c r="H15" s="27"/>
      <x:c r="I15" s="1"/>
      <x:c r="J15" s="1"/>
      <x:c r="K15" s="1"/>
      <x:c r="L15" s="1"/>
      <x:c r="M15" s="1"/>
      <x:c r="N15" s="1"/>
      <x:c r="O15" s="1"/>
      <x:c r="P15" s="1"/>
      <x:c r="Q15" s="1"/>
      <x:c r="R15" s="1"/>
      <x:c r="S15" s="1"/>
      <x:c r="T15" s="1"/>
    </x:row>
    <x:row r="16" ht="18" customHeight="1">
      <x:c r="A16" s="1"/>
      <x:c r="B16" s="19" t="n">
        <x:v>9</x:v>
      </x:c>
      <x:c r="C16" s="27"/>
      <x:c r="D16" s="27"/>
      <x:c r="E16" s="27"/>
      <x:c r="F16" s="56"/>
      <x:c r="G16" s="56"/>
      <x:c r="H16" s="27"/>
      <x:c r="I16" s="1"/>
      <x:c r="J16" s="1"/>
      <x:c r="K16" s="1"/>
      <x:c r="L16" s="1"/>
      <x:c r="M16" s="1"/>
      <x:c r="N16" s="1"/>
      <x:c r="O16" s="1"/>
      <x:c r="P16" s="1"/>
      <x:c r="Q16" s="1"/>
      <x:c r="R16" s="1"/>
      <x:c r="S16" s="1"/>
      <x:c r="T16" s="1"/>
    </x:row>
    <x:row r="17" ht="18" customHeight="1">
      <x:c r="A17" s="1"/>
      <x:c r="B17" s="19" t="n">
        <x:v>10</x:v>
      </x:c>
      <x:c r="C17" s="27"/>
      <x:c r="D17" s="27"/>
      <x:c r="E17" s="27"/>
      <x:c r="F17" s="56"/>
      <x:c r="G17" s="56"/>
      <x:c r="H17" s="27"/>
      <x:c r="I17" s="1"/>
      <x:c r="J17" s="1"/>
      <x:c r="K17" s="1"/>
      <x:c r="L17" s="1"/>
      <x:c r="M17" s="1"/>
      <x:c r="N17" s="1"/>
      <x:c r="O17" s="1"/>
      <x:c r="P17" s="1"/>
      <x:c r="Q17" s="1"/>
      <x:c r="R17" s="1"/>
      <x:c r="S17" s="1"/>
      <x:c r="T17" s="1"/>
    </x:row>
    <x:row r="18" ht="18" customHeight="1">
      <x:c r="A18" s="1"/>
      <x:c r="B18" s="19" t="n">
        <x:v>11</x:v>
      </x:c>
      <x:c r="C18" s="27"/>
      <x:c r="D18" s="27"/>
      <x:c r="E18" s="27"/>
      <x:c r="F18" s="56"/>
      <x:c r="G18" s="56"/>
      <x:c r="H18" s="27"/>
      <x:c r="I18" s="1"/>
      <x:c r="J18" s="1"/>
      <x:c r="K18" s="1"/>
      <x:c r="L18" s="1"/>
      <x:c r="M18" s="1"/>
      <x:c r="N18" s="1"/>
      <x:c r="O18" s="1"/>
      <x:c r="P18" s="1"/>
      <x:c r="Q18" s="1"/>
      <x:c r="R18" s="1"/>
      <x:c r="S18" s="1"/>
      <x:c r="T18" s="1"/>
    </x:row>
    <x:row r="19" ht="18" customHeight="1">
      <x:c r="A19" s="1"/>
      <x:c r="B19" s="19" t="n">
        <x:v>12</x:v>
      </x:c>
      <x:c r="C19" s="27"/>
      <x:c r="D19" s="27"/>
      <x:c r="E19" s="27"/>
      <x:c r="F19" s="56"/>
      <x:c r="G19" s="56"/>
      <x:c r="H19" s="27"/>
      <x:c r="I19" s="1"/>
      <x:c r="J19" s="1"/>
      <x:c r="K19" s="1"/>
      <x:c r="L19" s="1"/>
      <x:c r="M19" s="1"/>
      <x:c r="N19" s="1"/>
      <x:c r="O19" s="1"/>
      <x:c r="P19" s="1"/>
      <x:c r="Q19" s="1"/>
      <x:c r="R19" s="1"/>
      <x:c r="S19" s="1"/>
      <x:c r="T19" s="1"/>
    </x:row>
    <x:row r="20" ht="18" customHeight="1">
      <x:c r="A20" s="1"/>
      <x:c r="B20" s="19" t="n">
        <x:v>13</x:v>
      </x:c>
      <x:c r="C20" s="27"/>
      <x:c r="D20" s="27"/>
      <x:c r="E20" s="27"/>
      <x:c r="F20" s="56"/>
      <x:c r="G20" s="56"/>
      <x:c r="H20" s="27"/>
      <x:c r="I20" s="1"/>
      <x:c r="J20" s="1"/>
      <x:c r="K20" s="1"/>
      <x:c r="L20" s="1"/>
      <x:c r="M20" s="1"/>
      <x:c r="N20" s="1"/>
      <x:c r="O20" s="1"/>
      <x:c r="P20" s="1"/>
      <x:c r="Q20" s="1"/>
      <x:c r="R20" s="1"/>
      <x:c r="S20" s="1"/>
      <x:c r="T20" s="1"/>
    </x:row>
    <x:row r="21" ht="18" customHeight="1">
      <x:c r="A21" s="1"/>
      <x:c r="B21" s="19" t="n">
        <x:v>14</x:v>
      </x:c>
      <x:c r="C21" s="27"/>
      <x:c r="D21" s="27"/>
      <x:c r="E21" s="27"/>
      <x:c r="F21" s="56"/>
      <x:c r="G21" s="56"/>
      <x:c r="H21" s="27"/>
      <x:c r="I21" s="1"/>
      <x:c r="J21" s="1"/>
      <x:c r="K21" s="1"/>
      <x:c r="L21" s="1"/>
      <x:c r="M21" s="1"/>
      <x:c r="N21" s="1"/>
      <x:c r="O21" s="1"/>
      <x:c r="P21" s="1"/>
      <x:c r="Q21" s="1"/>
      <x:c r="R21" s="1"/>
      <x:c r="S21" s="1"/>
      <x:c r="T21" s="1"/>
    </x:row>
    <x:row r="22" ht="18" customHeight="1">
      <x:c r="A22" s="1"/>
      <x:c r="B22" s="19" t="n">
        <x:v>15</x:v>
      </x:c>
      <x:c r="C22" s="27"/>
      <x:c r="D22" s="27"/>
      <x:c r="E22" s="27"/>
      <x:c r="F22" s="56"/>
      <x:c r="G22" s="56"/>
      <x:c r="H22" s="27"/>
      <x:c r="I22" s="1"/>
      <x:c r="J22" s="1"/>
      <x:c r="K22" s="1"/>
      <x:c r="L22" s="1"/>
      <x:c r="M22" s="1"/>
      <x:c r="N22" s="1"/>
      <x:c r="O22" s="1"/>
      <x:c r="P22" s="1"/>
      <x:c r="Q22" s="1"/>
      <x:c r="R22" s="1"/>
      <x:c r="S22" s="1"/>
      <x:c r="T22" s="1"/>
    </x:row>
    <x:row r="23" ht="18" customHeight="1">
      <x:c r="A23" s="1"/>
      <x:c r="B23" s="19" t="n">
        <x:v>16</x:v>
      </x:c>
      <x:c r="C23" s="27"/>
      <x:c r="D23" s="27"/>
      <x:c r="E23" s="27"/>
      <x:c r="F23" s="56"/>
      <x:c r="G23" s="56"/>
      <x:c r="H23" s="27"/>
      <x:c r="I23" s="1"/>
      <x:c r="J23" s="1"/>
      <x:c r="K23" s="1"/>
      <x:c r="L23" s="1"/>
      <x:c r="M23" s="1"/>
      <x:c r="N23" s="1"/>
      <x:c r="O23" s="1"/>
      <x:c r="P23" s="1"/>
      <x:c r="Q23" s="1"/>
      <x:c r="R23" s="1"/>
      <x:c r="S23" s="1"/>
      <x:c r="T23" s="1"/>
    </x:row>
    <x:row r="24" ht="18" customHeight="1">
      <x:c r="A24" s="1"/>
      <x:c r="B24" s="19" t="n">
        <x:v>17</x:v>
      </x:c>
      <x:c r="C24" s="27"/>
      <x:c r="D24" s="27"/>
      <x:c r="E24" s="27"/>
      <x:c r="F24" s="56"/>
      <x:c r="G24" s="56"/>
      <x:c r="H24" s="27"/>
      <x:c r="I24" s="1"/>
      <x:c r="J24" s="1"/>
      <x:c r="K24" s="1"/>
      <x:c r="L24" s="1"/>
      <x:c r="M24" s="1"/>
      <x:c r="N24" s="1"/>
      <x:c r="O24" s="1"/>
      <x:c r="P24" s="1"/>
      <x:c r="Q24" s="1"/>
      <x:c r="R24" s="1"/>
      <x:c r="S24" s="1"/>
      <x:c r="T24" s="1"/>
    </x:row>
    <x:row r="25" ht="18" customHeight="1">
      <x:c r="A25" s="1"/>
      <x:c r="B25" s="19" t="n">
        <x:v>18</x:v>
      </x:c>
      <x:c r="C25" s="27"/>
      <x:c r="D25" s="27"/>
      <x:c r="E25" s="27"/>
      <x:c r="F25" s="56"/>
      <x:c r="G25" s="56"/>
      <x:c r="H25" s="27"/>
      <x:c r="I25" s="1"/>
      <x:c r="J25" s="1"/>
      <x:c r="K25" s="1"/>
      <x:c r="L25" s="1"/>
      <x:c r="M25" s="1"/>
      <x:c r="N25" s="1"/>
      <x:c r="O25" s="1"/>
      <x:c r="P25" s="1"/>
      <x:c r="Q25" s="1"/>
      <x:c r="R25" s="1"/>
      <x:c r="S25" s="1"/>
      <x:c r="T25" s="1"/>
    </x:row>
    <x:row r="26" ht="18" customHeight="1">
      <x:c r="A26" s="1"/>
      <x:c r="B26" s="19" t="n">
        <x:v>19</x:v>
      </x:c>
      <x:c r="C26" s="27"/>
      <x:c r="D26" s="27"/>
      <x:c r="E26" s="27"/>
      <x:c r="F26" s="56"/>
      <x:c r="G26" s="56"/>
      <x:c r="H26" s="27"/>
      <x:c r="I26" s="1"/>
      <x:c r="J26" s="1"/>
      <x:c r="K26" s="1"/>
      <x:c r="L26" s="1"/>
      <x:c r="M26" s="1"/>
      <x:c r="N26" s="1"/>
      <x:c r="O26" s="1"/>
      <x:c r="P26" s="1"/>
      <x:c r="Q26" s="1"/>
      <x:c r="R26" s="1"/>
      <x:c r="S26" s="1"/>
      <x:c r="T26" s="1"/>
    </x:row>
    <x:row r="27" ht="18" customHeight="1">
      <x:c r="A27" s="1"/>
      <x:c r="B27" s="19" t="n">
        <x:v>20</x:v>
      </x:c>
      <x:c r="C27" s="27"/>
      <x:c r="D27" s="27"/>
      <x:c r="E27" s="27"/>
      <x:c r="F27" s="56"/>
      <x:c r="G27" s="56"/>
      <x:c r="H27" s="27"/>
      <x:c r="I27" s="1"/>
      <x:c r="J27" s="1"/>
      <x:c r="K27" s="1"/>
      <x:c r="L27" s="1"/>
      <x:c r="M27" s="1"/>
      <x:c r="N27" s="1"/>
      <x:c r="O27" s="1"/>
      <x:c r="P27" s="1"/>
      <x:c r="Q27" s="1"/>
      <x:c r="R27" s="1"/>
      <x:c r="S27" s="1"/>
      <x:c r="T27" s="1"/>
    </x:row>
    <x:row r="28" ht="18" customHeight="1">
      <x:c r="A28" s="1"/>
      <x:c r="B28" s="19" t="n">
        <x:v>21</x:v>
      </x:c>
      <x:c r="C28" s="27"/>
      <x:c r="D28" s="27"/>
      <x:c r="E28" s="27"/>
      <x:c r="F28" s="56"/>
      <x:c r="G28" s="56"/>
      <x:c r="H28" s="27"/>
      <x:c r="I28" s="1"/>
      <x:c r="J28" s="1"/>
      <x:c r="K28" s="1"/>
      <x:c r="L28" s="1"/>
      <x:c r="M28" s="1"/>
      <x:c r="N28" s="1"/>
      <x:c r="O28" s="1"/>
      <x:c r="P28" s="1"/>
      <x:c r="Q28" s="1"/>
      <x:c r="R28" s="1"/>
      <x:c r="S28" s="1"/>
      <x:c r="T28" s="1"/>
    </x:row>
    <x:row r="29" ht="18" customHeight="1">
      <x:c r="A29" s="1"/>
      <x:c r="B29" s="19" t="n">
        <x:v>22</x:v>
      </x:c>
      <x:c r="C29" s="27"/>
      <x:c r="D29" s="27"/>
      <x:c r="E29" s="27"/>
      <x:c r="F29" s="56"/>
      <x:c r="G29" s="56"/>
      <x:c r="H29" s="27"/>
      <x:c r="I29" s="1"/>
      <x:c r="J29" s="1"/>
      <x:c r="K29" s="1"/>
      <x:c r="L29" s="1"/>
      <x:c r="M29" s="1"/>
      <x:c r="N29" s="1"/>
      <x:c r="O29" s="1"/>
      <x:c r="P29" s="1"/>
      <x:c r="Q29" s="1"/>
      <x:c r="R29" s="1"/>
      <x:c r="S29" s="1"/>
      <x:c r="T29" s="1"/>
    </x:row>
    <x:row r="30" ht="18" customHeight="1">
      <x:c r="A30" s="1"/>
      <x:c r="B30" s="19" t="n">
        <x:v>23</x:v>
      </x:c>
      <x:c r="C30" s="27"/>
      <x:c r="D30" s="27"/>
      <x:c r="E30" s="27"/>
      <x:c r="F30" s="56"/>
      <x:c r="G30" s="56"/>
      <x:c r="H30" s="27"/>
      <x:c r="I30" s="1"/>
      <x:c r="J30" s="1"/>
      <x:c r="K30" s="1"/>
      <x:c r="L30" s="1"/>
      <x:c r="M30" s="1"/>
      <x:c r="N30" s="1"/>
      <x:c r="O30" s="1"/>
      <x:c r="P30" s="1"/>
      <x:c r="Q30" s="1"/>
      <x:c r="R30" s="1"/>
      <x:c r="S30" s="1"/>
      <x:c r="T30" s="1"/>
    </x:row>
    <x:row r="31" ht="18" customHeight="1">
      <x:c r="A31" s="1"/>
      <x:c r="B31" s="19" t="n">
        <x:v>24</x:v>
      </x:c>
      <x:c r="C31" s="27"/>
      <x:c r="D31" s="27"/>
      <x:c r="E31" s="27"/>
      <x:c r="F31" s="56"/>
      <x:c r="G31" s="56"/>
      <x:c r="H31" s="27"/>
      <x:c r="I31" s="1"/>
      <x:c r="J31" s="1"/>
      <x:c r="K31" s="1"/>
      <x:c r="L31" s="1"/>
      <x:c r="M31" s="1"/>
      <x:c r="N31" s="1"/>
      <x:c r="O31" s="1"/>
      <x:c r="P31" s="1"/>
      <x:c r="Q31" s="1"/>
      <x:c r="R31" s="1"/>
      <x:c r="S31" s="1"/>
      <x:c r="T31" s="1"/>
    </x:row>
    <x:row r="32" ht="18" customHeight="1">
      <x:c r="A32" s="1"/>
      <x:c r="B32" s="19" t="n">
        <x:v>25</x:v>
      </x:c>
      <x:c r="C32" s="27"/>
      <x:c r="D32" s="27"/>
      <x:c r="E32" s="27"/>
      <x:c r="F32" s="56"/>
      <x:c r="G32" s="56"/>
      <x:c r="H32" s="27"/>
      <x:c r="I32" s="1"/>
      <x:c r="J32" s="1"/>
      <x:c r="K32" s="1"/>
      <x:c r="L32" s="1"/>
      <x:c r="M32" s="1"/>
      <x:c r="N32" s="1"/>
      <x:c r="O32" s="1"/>
      <x:c r="P32" s="1"/>
      <x:c r="Q32" s="1"/>
      <x:c r="R32" s="1"/>
      <x:c r="S32" s="1"/>
      <x:c r="T32" s="1"/>
    </x:row>
    <x:row r="33" ht="18" customHeight="1">
      <x:c r="A33" s="1"/>
      <x:c r="B33" s="19" t="n">
        <x:v>26</x:v>
      </x:c>
      <x:c r="C33" s="27"/>
      <x:c r="D33" s="27"/>
      <x:c r="E33" s="27"/>
      <x:c r="F33" s="56"/>
      <x:c r="G33" s="56"/>
      <x:c r="H33" s="27"/>
      <x:c r="I33" s="1"/>
      <x:c r="J33" s="1"/>
      <x:c r="K33" s="1"/>
      <x:c r="L33" s="1"/>
      <x:c r="M33" s="1"/>
      <x:c r="N33" s="1"/>
      <x:c r="O33" s="1"/>
      <x:c r="P33" s="1"/>
      <x:c r="Q33" s="1"/>
      <x:c r="R33" s="1"/>
      <x:c r="S33" s="1"/>
      <x:c r="T33" s="1"/>
    </x:row>
    <x:row r="34" ht="18" customHeight="1">
      <x:c r="A34" s="1"/>
      <x:c r="B34" s="19" t="n">
        <x:v>27</x:v>
      </x:c>
      <x:c r="C34" s="27"/>
      <x:c r="D34" s="27"/>
      <x:c r="E34" s="27"/>
      <x:c r="F34" s="56"/>
      <x:c r="G34" s="56"/>
      <x:c r="H34" s="27"/>
      <x:c r="I34" s="1"/>
      <x:c r="J34" s="1"/>
      <x:c r="K34" s="1"/>
      <x:c r="L34" s="1"/>
      <x:c r="M34" s="1"/>
      <x:c r="N34" s="1"/>
      <x:c r="O34" s="1"/>
      <x:c r="P34" s="1"/>
      <x:c r="Q34" s="1"/>
      <x:c r="R34" s="1"/>
      <x:c r="S34" s="1"/>
      <x:c r="T34" s="1"/>
    </x:row>
    <x:row r="35" ht="18" customHeight="1">
      <x:c r="A35" s="1"/>
      <x:c r="B35" s="19" t="n">
        <x:v>28</x:v>
      </x:c>
      <x:c r="C35" s="27"/>
      <x:c r="D35" s="27"/>
      <x:c r="E35" s="27"/>
      <x:c r="F35" s="56"/>
      <x:c r="G35" s="56"/>
      <x:c r="H35" s="27"/>
      <x:c r="I35" s="1"/>
      <x:c r="J35" s="1"/>
      <x:c r="K35" s="1"/>
      <x:c r="L35" s="1"/>
      <x:c r="M35" s="1"/>
      <x:c r="N35" s="1"/>
      <x:c r="O35" s="1"/>
      <x:c r="P35" s="1"/>
      <x:c r="Q35" s="1"/>
      <x:c r="R35" s="1"/>
      <x:c r="S35" s="1"/>
      <x:c r="T35" s="1"/>
    </x:row>
    <x:row r="36" ht="18" customHeight="1">
      <x:c r="A36" s="1"/>
      <x:c r="B36" s="19" t="n">
        <x:v>29</x:v>
      </x:c>
      <x:c r="C36" s="27"/>
      <x:c r="D36" s="27"/>
      <x:c r="E36" s="27"/>
      <x:c r="F36" s="56"/>
      <x:c r="G36" s="56"/>
      <x:c r="H36" s="27"/>
      <x:c r="I36" s="1"/>
      <x:c r="J36" s="1"/>
      <x:c r="K36" s="1"/>
      <x:c r="L36" s="1"/>
      <x:c r="M36" s="1"/>
      <x:c r="N36" s="1"/>
      <x:c r="O36" s="1"/>
      <x:c r="P36" s="1"/>
      <x:c r="Q36" s="1"/>
      <x:c r="R36" s="1"/>
      <x:c r="S36" s="1"/>
      <x:c r="T36" s="1"/>
    </x:row>
    <x:row r="37" ht="18" customHeight="1">
      <x:c r="A37" s="1"/>
      <x:c r="B37" s="19" t="n">
        <x:v>30</x:v>
      </x:c>
      <x:c r="C37" s="27"/>
      <x:c r="D37" s="27"/>
      <x:c r="E37" s="27"/>
      <x:c r="F37" s="56"/>
      <x:c r="G37" s="56"/>
      <x:c r="H37" s="27"/>
      <x:c r="I37" s="1"/>
      <x:c r="J37" s="1"/>
      <x:c r="K37" s="1"/>
      <x:c r="L37" s="1"/>
      <x:c r="M37" s="1"/>
      <x:c r="N37" s="1"/>
      <x:c r="O37" s="1"/>
      <x:c r="P37" s="1"/>
      <x:c r="Q37" s="1"/>
      <x:c r="R37" s="1"/>
      <x:c r="S37" s="1"/>
      <x:c r="T37" s="1"/>
    </x:row>
    <x:row r="38" ht="18" customHeight="1">
      <x:c r="A38" s="1"/>
      <x:c r="B38" s="19" t="n">
        <x:v>31</x:v>
      </x:c>
      <x:c r="C38" s="27"/>
      <x:c r="D38" s="27"/>
      <x:c r="E38" s="27"/>
      <x:c r="F38" s="56"/>
      <x:c r="G38" s="56"/>
      <x:c r="H38" s="27"/>
      <x:c r="I38" s="1"/>
      <x:c r="J38" s="1"/>
      <x:c r="K38" s="1"/>
      <x:c r="L38" s="1"/>
      <x:c r="M38" s="1"/>
      <x:c r="N38" s="1"/>
      <x:c r="O38" s="1"/>
      <x:c r="P38" s="1"/>
      <x:c r="Q38" s="1"/>
      <x:c r="R38" s="1"/>
      <x:c r="S38" s="1"/>
      <x:c r="T38" s="1"/>
    </x:row>
    <x:row r="39" ht="18" customHeight="1">
      <x:c r="A39" s="1"/>
      <x:c r="B39" s="19" t="n">
        <x:v>32</x:v>
      </x:c>
      <x:c r="C39" s="27"/>
      <x:c r="D39" s="27"/>
      <x:c r="E39" s="27"/>
      <x:c r="F39" s="56"/>
      <x:c r="G39" s="56"/>
      <x:c r="H39" s="27"/>
      <x:c r="I39" s="1"/>
      <x:c r="J39" s="1"/>
      <x:c r="K39" s="1"/>
      <x:c r="L39" s="1"/>
      <x:c r="M39" s="1"/>
      <x:c r="N39" s="1"/>
      <x:c r="O39" s="1"/>
      <x:c r="P39" s="1"/>
      <x:c r="Q39" s="1"/>
      <x:c r="R39" s="1"/>
      <x:c r="S39" s="1"/>
      <x:c r="T39" s="1"/>
    </x:row>
    <x:row r="40" ht="18" customHeight="1">
      <x:c r="A40" s="1"/>
      <x:c r="B40" s="19" t="n">
        <x:v>33</x:v>
      </x:c>
      <x:c r="C40" s="27"/>
      <x:c r="D40" s="27"/>
      <x:c r="E40" s="27"/>
      <x:c r="F40" s="56"/>
      <x:c r="G40" s="56"/>
      <x:c r="H40" s="27"/>
      <x:c r="I40" s="1"/>
      <x:c r="J40" s="1"/>
      <x:c r="K40" s="1"/>
      <x:c r="L40" s="1"/>
      <x:c r="M40" s="1"/>
      <x:c r="N40" s="1"/>
      <x:c r="O40" s="1"/>
      <x:c r="P40" s="1"/>
      <x:c r="Q40" s="1"/>
      <x:c r="R40" s="1"/>
      <x:c r="S40" s="1"/>
      <x:c r="T40" s="1"/>
    </x:row>
    <x:row r="41" ht="18" customHeight="1">
      <x:c r="A41" s="1"/>
      <x:c r="B41" s="19" t="n">
        <x:v>34</x:v>
      </x:c>
      <x:c r="C41" s="27"/>
      <x:c r="D41" s="27"/>
      <x:c r="E41" s="27"/>
      <x:c r="F41" s="56"/>
      <x:c r="G41" s="56"/>
      <x:c r="H41" s="27"/>
      <x:c r="I41" s="1"/>
      <x:c r="J41" s="1"/>
      <x:c r="K41" s="1"/>
      <x:c r="L41" s="1"/>
      <x:c r="M41" s="1"/>
      <x:c r="N41" s="1"/>
      <x:c r="O41" s="1"/>
      <x:c r="P41" s="1"/>
      <x:c r="Q41" s="1"/>
      <x:c r="R41" s="1"/>
      <x:c r="S41" s="1"/>
      <x:c r="T41" s="1"/>
    </x:row>
    <x:row r="42" ht="18" customHeight="1">
      <x:c r="A42" s="1"/>
      <x:c r="B42" s="19" t="n">
        <x:v>35</x:v>
      </x:c>
      <x:c r="C42" s="27"/>
      <x:c r="D42" s="27"/>
      <x:c r="E42" s="27"/>
      <x:c r="F42" s="56"/>
      <x:c r="G42" s="56"/>
      <x:c r="H42" s="27"/>
      <x:c r="I42" s="1"/>
      <x:c r="J42" s="1"/>
      <x:c r="K42" s="1"/>
      <x:c r="L42" s="1"/>
      <x:c r="M42" s="1"/>
      <x:c r="N42" s="1"/>
      <x:c r="O42" s="1"/>
      <x:c r="P42" s="1"/>
      <x:c r="Q42" s="1"/>
      <x:c r="R42" s="1"/>
      <x:c r="S42" s="1"/>
      <x:c r="T42" s="1"/>
    </x:row>
    <x:row r="43" ht="18" customHeight="1">
      <x:c r="A43" s="1"/>
      <x:c r="B43" s="19" t="n">
        <x:v>36</x:v>
      </x:c>
      <x:c r="C43" s="27"/>
      <x:c r="D43" s="27"/>
      <x:c r="E43" s="27"/>
      <x:c r="F43" s="56"/>
      <x:c r="G43" s="56"/>
      <x:c r="H43" s="27"/>
      <x:c r="I43" s="1"/>
      <x:c r="J43" s="1"/>
      <x:c r="K43" s="1"/>
      <x:c r="L43" s="1"/>
      <x:c r="M43" s="1"/>
      <x:c r="N43" s="1"/>
      <x:c r="O43" s="1"/>
      <x:c r="P43" s="1"/>
      <x:c r="Q43" s="1"/>
      <x:c r="R43" s="1"/>
      <x:c r="S43" s="1"/>
      <x:c r="T43" s="1"/>
    </x:row>
    <x:row r="44" ht="18" customHeight="1">
      <x:c r="A44" s="1"/>
      <x:c r="B44" s="19" t="n">
        <x:v>37</x:v>
      </x:c>
      <x:c r="C44" s="27"/>
      <x:c r="D44" s="27"/>
      <x:c r="E44" s="27"/>
      <x:c r="F44" s="56"/>
      <x:c r="G44" s="56"/>
      <x:c r="H44" s="27"/>
      <x:c r="I44" s="1"/>
      <x:c r="J44" s="1"/>
      <x:c r="K44" s="1"/>
      <x:c r="L44" s="1"/>
      <x:c r="M44" s="1"/>
      <x:c r="N44" s="1"/>
      <x:c r="O44" s="1"/>
      <x:c r="P44" s="1"/>
      <x:c r="Q44" s="1"/>
      <x:c r="R44" s="1"/>
      <x:c r="S44" s="1"/>
      <x:c r="T44" s="1"/>
    </x:row>
    <x:row r="45" ht="18" customHeight="1">
      <x:c r="A45" s="1"/>
      <x:c r="B45" s="19" t="n">
        <x:v>38</x:v>
      </x:c>
      <x:c r="C45" s="27"/>
      <x:c r="D45" s="27"/>
      <x:c r="E45" s="27"/>
      <x:c r="F45" s="56"/>
      <x:c r="G45" s="56"/>
      <x:c r="H45" s="27"/>
      <x:c r="I45" s="1"/>
      <x:c r="J45" s="1"/>
      <x:c r="K45" s="1"/>
      <x:c r="L45" s="1"/>
      <x:c r="M45" s="1"/>
      <x:c r="N45" s="1"/>
      <x:c r="O45" s="1"/>
      <x:c r="P45" s="1"/>
      <x:c r="Q45" s="1"/>
      <x:c r="R45" s="1"/>
      <x:c r="S45" s="1"/>
      <x:c r="T45" s="1"/>
    </x:row>
    <x:row r="46" ht="18" customHeight="1">
      <x:c r="A46" s="1"/>
      <x:c r="B46" s="19" t="n">
        <x:v>39</x:v>
      </x:c>
      <x:c r="C46" s="27"/>
      <x:c r="D46" s="27"/>
      <x:c r="E46" s="27"/>
      <x:c r="F46" s="56"/>
      <x:c r="G46" s="56"/>
      <x:c r="H46" s="27"/>
      <x:c r="I46" s="1"/>
      <x:c r="J46" s="1"/>
      <x:c r="K46" s="1"/>
      <x:c r="L46" s="1"/>
      <x:c r="M46" s="1"/>
      <x:c r="N46" s="1"/>
      <x:c r="O46" s="1"/>
      <x:c r="P46" s="1"/>
      <x:c r="Q46" s="1"/>
      <x:c r="R46" s="1"/>
      <x:c r="S46" s="1"/>
      <x:c r="T46" s="1"/>
    </x:row>
    <x:row r="47" ht="18" customHeight="1">
      <x:c r="A47" s="1"/>
      <x:c r="B47" s="19" t="n">
        <x:v>40</x:v>
      </x:c>
      <x:c r="C47" s="27"/>
      <x:c r="D47" s="27"/>
      <x:c r="E47" s="27"/>
      <x:c r="F47" s="56"/>
      <x:c r="G47" s="56"/>
      <x:c r="H47" s="27"/>
      <x:c r="I47" s="1"/>
      <x:c r="J47" s="1"/>
      <x:c r="K47" s="1"/>
      <x:c r="L47" s="1"/>
      <x:c r="M47" s="1"/>
      <x:c r="N47" s="1"/>
      <x:c r="O47" s="1"/>
      <x:c r="P47" s="1"/>
      <x:c r="Q47" s="1"/>
      <x:c r="R47" s="1"/>
      <x:c r="S47" s="1"/>
      <x:c r="T47" s="1"/>
    </x:row>
    <x:row r="48" ht="18" customHeight="1">
      <x:c r="A48" s="1"/>
      <x:c r="B48" s="19" t="n">
        <x:v>41</x:v>
      </x:c>
      <x:c r="C48" s="27"/>
      <x:c r="D48" s="27"/>
      <x:c r="E48" s="27"/>
      <x:c r="F48" s="56"/>
      <x:c r="G48" s="56"/>
      <x:c r="H48" s="27"/>
      <x:c r="I48" s="1"/>
      <x:c r="J48" s="1"/>
      <x:c r="K48" s="1"/>
      <x:c r="L48" s="1"/>
      <x:c r="M48" s="1"/>
      <x:c r="N48" s="1"/>
      <x:c r="O48" s="1"/>
      <x:c r="P48" s="1"/>
      <x:c r="Q48" s="1"/>
      <x:c r="R48" s="1"/>
      <x:c r="S48" s="1"/>
      <x:c r="T48" s="1"/>
    </x:row>
    <x:row r="49" ht="18" customHeight="1">
      <x:c r="A49" s="1"/>
      <x:c r="B49" s="19" t="n">
        <x:v>42</x:v>
      </x:c>
      <x:c r="C49" s="27"/>
      <x:c r="D49" s="27"/>
      <x:c r="E49" s="27"/>
      <x:c r="F49" s="56"/>
      <x:c r="G49" s="56"/>
      <x:c r="H49" s="27"/>
      <x:c r="I49" s="1"/>
      <x:c r="J49" s="1"/>
      <x:c r="K49" s="1"/>
      <x:c r="L49" s="1"/>
      <x:c r="M49" s="1"/>
      <x:c r="N49" s="1"/>
      <x:c r="O49" s="1"/>
      <x:c r="P49" s="1"/>
      <x:c r="Q49" s="1"/>
      <x:c r="R49" s="1"/>
      <x:c r="S49" s="1"/>
      <x:c r="T49" s="1"/>
    </x:row>
    <x:row r="50" ht="18" customHeight="1">
      <x:c r="A50" s="1"/>
      <x:c r="B50" s="19" t="n">
        <x:v>43</x:v>
      </x:c>
      <x:c r="C50" s="27"/>
      <x:c r="D50" s="27"/>
      <x:c r="E50" s="27"/>
      <x:c r="F50" s="56"/>
      <x:c r="G50" s="56"/>
      <x:c r="H50" s="27"/>
      <x:c r="I50" s="1"/>
      <x:c r="J50" s="1"/>
      <x:c r="K50" s="1"/>
      <x:c r="L50" s="1"/>
      <x:c r="M50" s="1"/>
      <x:c r="N50" s="1"/>
      <x:c r="O50" s="1"/>
      <x:c r="P50" s="1"/>
      <x:c r="Q50" s="1"/>
      <x:c r="R50" s="1"/>
      <x:c r="S50" s="1"/>
      <x:c r="T50" s="1"/>
    </x:row>
    <x:row r="51" ht="18" customHeight="1">
      <x:c r="A51" s="1"/>
      <x:c r="B51" s="19" t="n">
        <x:v>44</x:v>
      </x:c>
      <x:c r="C51" s="27"/>
      <x:c r="D51" s="27"/>
      <x:c r="E51" s="27"/>
      <x:c r="F51" s="56"/>
      <x:c r="G51" s="56"/>
      <x:c r="H51" s="27"/>
      <x:c r="I51" s="1"/>
      <x:c r="J51" s="1"/>
      <x:c r="K51" s="1"/>
      <x:c r="L51" s="1"/>
      <x:c r="M51" s="1"/>
      <x:c r="N51" s="1"/>
      <x:c r="O51" s="1"/>
      <x:c r="P51" s="1"/>
      <x:c r="Q51" s="1"/>
      <x:c r="R51" s="1"/>
      <x:c r="S51" s="1"/>
      <x:c r="T51" s="1"/>
    </x:row>
    <x:row r="52" ht="18" customHeight="1">
      <x:c r="A52" s="1"/>
      <x:c r="B52" s="19" t="n">
        <x:v>45</x:v>
      </x:c>
      <x:c r="C52" s="27"/>
      <x:c r="D52" s="27"/>
      <x:c r="E52" s="27"/>
      <x:c r="F52" s="56"/>
      <x:c r="G52" s="56"/>
      <x:c r="H52" s="27"/>
      <x:c r="I52" s="1"/>
      <x:c r="J52" s="1"/>
      <x:c r="K52" s="1"/>
      <x:c r="L52" s="1"/>
      <x:c r="M52" s="1"/>
      <x:c r="N52" s="1"/>
      <x:c r="O52" s="1"/>
      <x:c r="P52" s="1"/>
      <x:c r="Q52" s="1"/>
      <x:c r="R52" s="1"/>
      <x:c r="S52" s="1"/>
      <x:c r="T52" s="1"/>
    </x:row>
    <x:row r="53" ht="18" customHeight="1">
      <x:c r="A53" s="1"/>
      <x:c r="B53" s="19" t="n">
        <x:v>46</x:v>
      </x:c>
      <x:c r="C53" s="27"/>
      <x:c r="D53" s="27"/>
      <x:c r="E53" s="27"/>
      <x:c r="F53" s="56"/>
      <x:c r="G53" s="56"/>
      <x:c r="H53" s="27"/>
      <x:c r="I53" s="1"/>
      <x:c r="J53" s="1"/>
      <x:c r="K53" s="1"/>
      <x:c r="L53" s="1"/>
      <x:c r="M53" s="1"/>
      <x:c r="N53" s="1"/>
      <x:c r="O53" s="1"/>
      <x:c r="P53" s="1"/>
      <x:c r="Q53" s="1"/>
      <x:c r="R53" s="1"/>
      <x:c r="S53" s="1"/>
      <x:c r="T53" s="1"/>
    </x:row>
    <x:row r="54" ht="18" customHeight="1">
      <x:c r="A54" s="1"/>
      <x:c r="B54" s="19" t="n">
        <x:v>47</x:v>
      </x:c>
      <x:c r="C54" s="27"/>
      <x:c r="D54" s="27"/>
      <x:c r="E54" s="27"/>
      <x:c r="F54" s="56"/>
      <x:c r="G54" s="56"/>
      <x:c r="H54" s="27"/>
      <x:c r="I54" s="1"/>
      <x:c r="J54" s="1"/>
      <x:c r="K54" s="1"/>
      <x:c r="L54" s="1"/>
      <x:c r="M54" s="1"/>
      <x:c r="N54" s="1"/>
      <x:c r="O54" s="1"/>
      <x:c r="P54" s="1"/>
      <x:c r="Q54" s="1"/>
      <x:c r="R54" s="1"/>
      <x:c r="S54" s="1"/>
      <x:c r="T54" s="1"/>
    </x:row>
    <x:row r="55" ht="18" customHeight="1">
      <x:c r="A55" s="1"/>
      <x:c r="B55" s="19" t="n">
        <x:v>48</x:v>
      </x:c>
      <x:c r="C55" s="27"/>
      <x:c r="D55" s="27"/>
      <x:c r="E55" s="27"/>
      <x:c r="F55" s="56"/>
      <x:c r="G55" s="56"/>
      <x:c r="H55" s="27"/>
      <x:c r="I55" s="1"/>
      <x:c r="J55" s="1"/>
      <x:c r="K55" s="1"/>
      <x:c r="L55" s="1"/>
      <x:c r="M55" s="1"/>
      <x:c r="N55" s="1"/>
      <x:c r="O55" s="1"/>
      <x:c r="P55" s="1"/>
      <x:c r="Q55" s="1"/>
      <x:c r="R55" s="1"/>
      <x:c r="S55" s="1"/>
      <x:c r="T55" s="1"/>
    </x:row>
    <x:row r="56" ht="18" customHeight="1">
      <x:c r="A56" s="1"/>
      <x:c r="B56" s="19" t="n">
        <x:v>49</x:v>
      </x:c>
      <x:c r="C56" s="27"/>
      <x:c r="D56" s="27"/>
      <x:c r="E56" s="27"/>
      <x:c r="F56" s="56"/>
      <x:c r="G56" s="56"/>
      <x:c r="H56" s="27"/>
      <x:c r="I56" s="1"/>
      <x:c r="J56" s="1"/>
      <x:c r="K56" s="1"/>
      <x:c r="L56" s="1"/>
      <x:c r="M56" s="1"/>
      <x:c r="N56" s="1"/>
      <x:c r="O56" s="1"/>
      <x:c r="P56" s="1"/>
      <x:c r="Q56" s="1"/>
      <x:c r="R56" s="1"/>
      <x:c r="S56" s="1"/>
      <x:c r="T56" s="1"/>
    </x:row>
    <x:row r="57" ht="18" customHeight="1">
      <x:c r="A57" s="1"/>
      <x:c r="B57" s="19" t="n">
        <x:v>50</x:v>
      </x:c>
      <x:c r="C57" s="27"/>
      <x:c r="D57" s="27"/>
      <x:c r="E57" s="27"/>
      <x:c r="F57" s="56"/>
      <x:c r="G57" s="56"/>
      <x:c r="H57" s="27"/>
      <x:c r="I57" s="1"/>
      <x:c r="J57" s="1"/>
      <x:c r="K57" s="1"/>
      <x:c r="L57" s="1"/>
      <x:c r="M57" s="1"/>
      <x:c r="N57" s="1"/>
      <x:c r="O57" s="1"/>
      <x:c r="P57" s="1"/>
      <x:c r="Q57" s="1"/>
      <x:c r="R57" s="1"/>
      <x:c r="S57" s="1"/>
      <x:c r="T57" s="1"/>
    </x:row>
    <x:row r="58" ht="18" customHeight="1">
      <x:c r="A58" s="1"/>
      <x:c r="B58" s="19" t="n">
        <x:v>51</x:v>
      </x:c>
      <x:c r="C58" s="27"/>
      <x:c r="D58" s="27"/>
      <x:c r="E58" s="27"/>
      <x:c r="F58" s="56"/>
      <x:c r="G58" s="56"/>
      <x:c r="H58" s="27"/>
      <x:c r="I58" s="1"/>
      <x:c r="J58" s="1"/>
      <x:c r="K58" s="1"/>
      <x:c r="L58" s="1"/>
      <x:c r="M58" s="1"/>
      <x:c r="N58" s="1"/>
      <x:c r="O58" s="1"/>
      <x:c r="P58" s="1"/>
      <x:c r="Q58" s="1"/>
      <x:c r="R58" s="1"/>
      <x:c r="S58" s="1"/>
      <x:c r="T58" s="1"/>
    </x:row>
    <x:row r="59" ht="18" customHeight="1">
      <x:c r="A59" s="1"/>
      <x:c r="B59" s="19" t="n">
        <x:v>52</x:v>
      </x:c>
      <x:c r="C59" s="27"/>
      <x:c r="D59" s="27"/>
      <x:c r="E59" s="27"/>
      <x:c r="F59" s="56"/>
      <x:c r="G59" s="56"/>
      <x:c r="H59" s="27"/>
      <x:c r="I59" s="1"/>
      <x:c r="J59" s="1"/>
      <x:c r="K59" s="1"/>
      <x:c r="L59" s="1"/>
      <x:c r="M59" s="1"/>
      <x:c r="N59" s="1"/>
      <x:c r="O59" s="1"/>
      <x:c r="P59" s="1"/>
      <x:c r="Q59" s="1"/>
      <x:c r="R59" s="1"/>
      <x:c r="S59" s="1"/>
      <x:c r="T59" s="1"/>
    </x:row>
    <x:row r="60" ht="18" customHeight="1">
      <x:c r="A60" s="1"/>
      <x:c r="B60" s="19" t="n">
        <x:v>53</x:v>
      </x:c>
      <x:c r="C60" s="27"/>
      <x:c r="D60" s="27"/>
      <x:c r="E60" s="27"/>
      <x:c r="F60" s="56"/>
      <x:c r="G60" s="56"/>
      <x:c r="H60" s="27"/>
      <x:c r="I60" s="1"/>
      <x:c r="J60" s="1"/>
      <x:c r="K60" s="1"/>
      <x:c r="L60" s="1"/>
      <x:c r="M60" s="1"/>
      <x:c r="N60" s="1"/>
      <x:c r="O60" s="1"/>
      <x:c r="P60" s="1"/>
      <x:c r="Q60" s="1"/>
      <x:c r="R60" s="1"/>
      <x:c r="S60" s="1"/>
      <x:c r="T60" s="1"/>
    </x:row>
    <x:row r="61" ht="18" customHeight="1">
      <x:c r="A61" s="1"/>
      <x:c r="B61" s="19" t="n">
        <x:v>54</x:v>
      </x:c>
      <x:c r="C61" s="27"/>
      <x:c r="D61" s="27"/>
      <x:c r="E61" s="27"/>
      <x:c r="F61" s="56"/>
      <x:c r="G61" s="56"/>
      <x:c r="H61" s="27"/>
      <x:c r="I61" s="1"/>
      <x:c r="J61" s="1"/>
      <x:c r="K61" s="1"/>
      <x:c r="L61" s="1"/>
      <x:c r="M61" s="1"/>
      <x:c r="N61" s="1"/>
      <x:c r="O61" s="1"/>
      <x:c r="P61" s="1"/>
      <x:c r="Q61" s="1"/>
      <x:c r="R61" s="1"/>
      <x:c r="S61" s="1"/>
      <x:c r="T61" s="1"/>
    </x:row>
    <x:row r="62" ht="18" customHeight="1">
      <x:c r="A62" s="1"/>
      <x:c r="B62" s="19" t="n">
        <x:v>55</x:v>
      </x:c>
      <x:c r="C62" s="27"/>
      <x:c r="D62" s="27"/>
      <x:c r="E62" s="27"/>
      <x:c r="F62" s="56"/>
      <x:c r="G62" s="56"/>
      <x:c r="H62" s="27"/>
      <x:c r="I62" s="1"/>
      <x:c r="J62" s="1"/>
      <x:c r="K62" s="1"/>
      <x:c r="L62" s="1"/>
      <x:c r="M62" s="1"/>
      <x:c r="N62" s="1"/>
      <x:c r="O62" s="1"/>
      <x:c r="P62" s="1"/>
      <x:c r="Q62" s="1"/>
      <x:c r="R62" s="1"/>
      <x:c r="S62" s="1"/>
      <x:c r="T62" s="1"/>
    </x:row>
    <x:row r="63" ht="18" customHeight="1">
      <x:c r="A63" s="1"/>
      <x:c r="B63" s="19" t="n">
        <x:v>56</x:v>
      </x:c>
      <x:c r="C63" s="27"/>
      <x:c r="D63" s="27"/>
      <x:c r="E63" s="27"/>
      <x:c r="F63" s="56"/>
      <x:c r="G63" s="56"/>
      <x:c r="H63" s="27"/>
      <x:c r="I63" s="1"/>
      <x:c r="J63" s="1"/>
      <x:c r="K63" s="1"/>
      <x:c r="L63" s="1"/>
      <x:c r="M63" s="1"/>
      <x:c r="N63" s="1"/>
      <x:c r="O63" s="1"/>
      <x:c r="P63" s="1"/>
      <x:c r="Q63" s="1"/>
      <x:c r="R63" s="1"/>
      <x:c r="S63" s="1"/>
      <x:c r="T63" s="1"/>
    </x:row>
    <x:row r="64" ht="18" customHeight="1">
      <x:c r="A64" s="1"/>
      <x:c r="B64" s="19" t="n">
        <x:v>57</x:v>
      </x:c>
      <x:c r="C64" s="27"/>
      <x:c r="D64" s="27"/>
      <x:c r="E64" s="27"/>
      <x:c r="F64" s="56"/>
      <x:c r="G64" s="56"/>
      <x:c r="H64" s="27"/>
      <x:c r="I64" s="1"/>
      <x:c r="J64" s="1"/>
      <x:c r="K64" s="1"/>
      <x:c r="L64" s="1"/>
      <x:c r="M64" s="1"/>
      <x:c r="N64" s="1"/>
      <x:c r="O64" s="1"/>
      <x:c r="P64" s="1"/>
      <x:c r="Q64" s="1"/>
      <x:c r="R64" s="1"/>
      <x:c r="S64" s="1"/>
      <x:c r="T64" s="1"/>
    </x:row>
    <x:row r="65" ht="18" customHeight="1">
      <x:c r="A65" s="1"/>
      <x:c r="B65" s="19" t="n">
        <x:v>58</x:v>
      </x:c>
      <x:c r="C65" s="27"/>
      <x:c r="D65" s="27"/>
      <x:c r="E65" s="27"/>
      <x:c r="F65" s="56"/>
      <x:c r="G65" s="56"/>
      <x:c r="H65" s="27"/>
      <x:c r="I65" s="1"/>
      <x:c r="J65" s="1"/>
      <x:c r="K65" s="1"/>
      <x:c r="L65" s="1"/>
      <x:c r="M65" s="1"/>
      <x:c r="N65" s="1"/>
      <x:c r="O65" s="1"/>
      <x:c r="P65" s="1"/>
      <x:c r="Q65" s="1"/>
      <x:c r="R65" s="1"/>
      <x:c r="S65" s="1"/>
      <x:c r="T65" s="1"/>
    </x:row>
    <x:row r="66" ht="18" customHeight="1">
      <x:c r="A66" s="1"/>
      <x:c r="B66" s="19" t="n">
        <x:v>59</x:v>
      </x:c>
      <x:c r="C66" s="27"/>
      <x:c r="D66" s="27"/>
      <x:c r="E66" s="27"/>
      <x:c r="F66" s="56"/>
      <x:c r="G66" s="56"/>
      <x:c r="H66" s="27"/>
      <x:c r="I66" s="1"/>
      <x:c r="J66" s="1"/>
      <x:c r="K66" s="1"/>
      <x:c r="L66" s="1"/>
      <x:c r="M66" s="1"/>
      <x:c r="N66" s="1"/>
      <x:c r="O66" s="1"/>
      <x:c r="P66" s="1"/>
      <x:c r="Q66" s="1"/>
      <x:c r="R66" s="1"/>
      <x:c r="S66" s="1"/>
      <x:c r="T66" s="1"/>
    </x:row>
    <x:row r="67" ht="18" customHeight="1">
      <x:c r="A67" s="1"/>
      <x:c r="B67" s="19" t="n">
        <x:v>60</x:v>
      </x:c>
      <x:c r="C67" s="27"/>
      <x:c r="D67" s="27"/>
      <x:c r="E67" s="27"/>
      <x:c r="F67" s="56"/>
      <x:c r="G67" s="56"/>
      <x:c r="H67" s="27"/>
      <x:c r="I67" s="1"/>
      <x:c r="J67" s="1"/>
      <x:c r="K67" s="1"/>
      <x:c r="L67" s="1"/>
      <x:c r="M67" s="1"/>
      <x:c r="N67" s="1"/>
      <x:c r="O67" s="1"/>
      <x:c r="P67" s="1"/>
      <x:c r="Q67" s="1"/>
      <x:c r="R67" s="1"/>
      <x:c r="S67" s="1"/>
      <x:c r="T67" s="1"/>
    </x:row>
    <x:row r="68" ht="18" customHeight="1">
      <x:c r="A68" s="1"/>
      <x:c r="B68" s="19" t="n">
        <x:v>61</x:v>
      </x:c>
      <x:c r="C68" s="27"/>
      <x:c r="D68" s="27"/>
      <x:c r="E68" s="27"/>
      <x:c r="F68" s="56"/>
      <x:c r="G68" s="56"/>
      <x:c r="H68" s="27"/>
      <x:c r="I68" s="1"/>
      <x:c r="J68" s="1"/>
      <x:c r="K68" s="1"/>
      <x:c r="L68" s="1"/>
      <x:c r="M68" s="1"/>
      <x:c r="N68" s="1"/>
      <x:c r="O68" s="1"/>
      <x:c r="P68" s="1"/>
      <x:c r="Q68" s="1"/>
      <x:c r="R68" s="1"/>
      <x:c r="S68" s="1"/>
      <x:c r="T68" s="1"/>
    </x:row>
    <x:row r="69" ht="18" customHeight="1">
      <x:c r="A69" s="1"/>
      <x:c r="B69" s="19" t="n">
        <x:v>62</x:v>
      </x:c>
      <x:c r="C69" s="27"/>
      <x:c r="D69" s="27"/>
      <x:c r="E69" s="27"/>
      <x:c r="F69" s="56"/>
      <x:c r="G69" s="56"/>
      <x:c r="H69" s="27"/>
      <x:c r="I69" s="1"/>
      <x:c r="J69" s="1"/>
      <x:c r="K69" s="1"/>
      <x:c r="L69" s="1"/>
      <x:c r="M69" s="1"/>
      <x:c r="N69" s="1"/>
      <x:c r="O69" s="1"/>
      <x:c r="P69" s="1"/>
      <x:c r="Q69" s="1"/>
      <x:c r="R69" s="1"/>
      <x:c r="S69" s="1"/>
      <x:c r="T69" s="1"/>
    </x:row>
    <x:row r="70" ht="18" customHeight="1">
      <x:c r="A70" s="1"/>
      <x:c r="B70" s="19" t="n">
        <x:v>63</x:v>
      </x:c>
      <x:c r="C70" s="27"/>
      <x:c r="D70" s="27"/>
      <x:c r="E70" s="27"/>
      <x:c r="F70" s="56"/>
      <x:c r="G70" s="56"/>
      <x:c r="H70" s="27"/>
      <x:c r="I70" s="1"/>
      <x:c r="J70" s="1"/>
      <x:c r="K70" s="1"/>
      <x:c r="L70" s="1"/>
      <x:c r="M70" s="1"/>
      <x:c r="N70" s="1"/>
      <x:c r="O70" s="1"/>
      <x:c r="P70" s="1"/>
      <x:c r="Q70" s="1"/>
      <x:c r="R70" s="1"/>
      <x:c r="S70" s="1"/>
      <x:c r="T70" s="1"/>
    </x:row>
    <x:row r="71" ht="18" customHeight="1">
      <x:c r="A71" s="1"/>
      <x:c r="B71" s="19" t="n">
        <x:v>64</x:v>
      </x:c>
      <x:c r="C71" s="27"/>
      <x:c r="D71" s="27"/>
      <x:c r="E71" s="27"/>
      <x:c r="F71" s="56"/>
      <x:c r="G71" s="56"/>
      <x:c r="H71" s="27"/>
      <x:c r="I71" s="1"/>
      <x:c r="J71" s="1"/>
      <x:c r="K71" s="1"/>
      <x:c r="L71" s="1"/>
      <x:c r="M71" s="1"/>
      <x:c r="N71" s="1"/>
      <x:c r="O71" s="1"/>
      <x:c r="P71" s="1"/>
      <x:c r="Q71" s="1"/>
      <x:c r="R71" s="1"/>
      <x:c r="S71" s="1"/>
      <x:c r="T71" s="1"/>
    </x:row>
    <x:row r="72" ht="18" customHeight="1">
      <x:c r="A72" s="1"/>
      <x:c r="B72" s="19" t="n">
        <x:v>65</x:v>
      </x:c>
      <x:c r="C72" s="27"/>
      <x:c r="D72" s="27"/>
      <x:c r="E72" s="27"/>
      <x:c r="F72" s="56"/>
      <x:c r="G72" s="56"/>
      <x:c r="H72" s="27"/>
      <x:c r="I72" s="1"/>
      <x:c r="J72" s="1"/>
      <x:c r="K72" s="1"/>
      <x:c r="L72" s="1"/>
      <x:c r="M72" s="1"/>
      <x:c r="N72" s="1"/>
      <x:c r="O72" s="1"/>
      <x:c r="P72" s="1"/>
      <x:c r="Q72" s="1"/>
      <x:c r="R72" s="1"/>
      <x:c r="S72" s="1"/>
      <x:c r="T72" s="1"/>
    </x:row>
    <x:row r="73" ht="18" customHeight="1">
      <x:c r="A73" s="1"/>
      <x:c r="B73" s="19" t="n">
        <x:v>66</x:v>
      </x:c>
      <x:c r="C73" s="27"/>
      <x:c r="D73" s="27"/>
      <x:c r="E73" s="27"/>
      <x:c r="F73" s="56"/>
      <x:c r="G73" s="56"/>
      <x:c r="H73" s="27"/>
      <x:c r="I73" s="1"/>
      <x:c r="J73" s="1"/>
      <x:c r="K73" s="1"/>
      <x:c r="L73" s="1"/>
      <x:c r="M73" s="1"/>
      <x:c r="N73" s="1"/>
      <x:c r="O73" s="1"/>
      <x:c r="P73" s="1"/>
      <x:c r="Q73" s="1"/>
      <x:c r="R73" s="1"/>
      <x:c r="S73" s="1"/>
      <x:c r="T73" s="1"/>
    </x:row>
    <x:row r="74" ht="18" customHeight="1">
      <x:c r="A74" s="1"/>
      <x:c r="B74" s="19" t="n">
        <x:v>67</x:v>
      </x:c>
      <x:c r="C74" s="27"/>
      <x:c r="D74" s="27"/>
      <x:c r="E74" s="27"/>
      <x:c r="F74" s="56"/>
      <x:c r="G74" s="56"/>
      <x:c r="H74" s="27"/>
      <x:c r="I74" s="1"/>
      <x:c r="J74" s="1"/>
      <x:c r="K74" s="1"/>
      <x:c r="L74" s="1"/>
      <x:c r="M74" s="1"/>
      <x:c r="N74" s="1"/>
      <x:c r="O74" s="1"/>
      <x:c r="P74" s="1"/>
      <x:c r="Q74" s="1"/>
      <x:c r="R74" s="1"/>
      <x:c r="S74" s="1"/>
      <x:c r="T74" s="1"/>
    </x:row>
    <x:row r="75" ht="18" customHeight="1">
      <x:c r="A75" s="1"/>
      <x:c r="B75" s="19" t="n">
        <x:v>68</x:v>
      </x:c>
      <x:c r="C75" s="27"/>
      <x:c r="D75" s="27"/>
      <x:c r="E75" s="27"/>
      <x:c r="F75" s="56"/>
      <x:c r="G75" s="56"/>
      <x:c r="H75" s="27"/>
      <x:c r="I75" s="1"/>
      <x:c r="J75" s="1"/>
      <x:c r="K75" s="1"/>
      <x:c r="L75" s="1"/>
      <x:c r="M75" s="1"/>
      <x:c r="N75" s="1"/>
      <x:c r="O75" s="1"/>
      <x:c r="P75" s="1"/>
      <x:c r="Q75" s="1"/>
      <x:c r="R75" s="1"/>
      <x:c r="S75" s="1"/>
      <x:c r="T75" s="1"/>
    </x:row>
    <x:row r="76" ht="18" customHeight="1">
      <x:c r="A76" s="1"/>
      <x:c r="B76" s="19" t="n">
        <x:v>69</x:v>
      </x:c>
      <x:c r="C76" s="27"/>
      <x:c r="D76" s="27"/>
      <x:c r="E76" s="27"/>
      <x:c r="F76" s="56"/>
      <x:c r="G76" s="56"/>
      <x:c r="H76" s="27"/>
      <x:c r="I76" s="1"/>
      <x:c r="J76" s="1"/>
      <x:c r="K76" s="1"/>
      <x:c r="L76" s="1"/>
      <x:c r="M76" s="1"/>
      <x:c r="N76" s="1"/>
      <x:c r="O76" s="1"/>
      <x:c r="P76" s="1"/>
      <x:c r="Q76" s="1"/>
      <x:c r="R76" s="1"/>
      <x:c r="S76" s="1"/>
      <x:c r="T76" s="1"/>
    </x:row>
    <x:row r="77" ht="18" customHeight="1">
      <x:c r="A77" s="1"/>
      <x:c r="B77" s="19" t="n">
        <x:v>70</x:v>
      </x:c>
      <x:c r="C77" s="27"/>
      <x:c r="D77" s="27"/>
      <x:c r="E77" s="27"/>
      <x:c r="F77" s="56"/>
      <x:c r="G77" s="56"/>
      <x:c r="H77" s="27"/>
      <x:c r="I77" s="1"/>
      <x:c r="J77" s="1"/>
      <x:c r="K77" s="1"/>
      <x:c r="L77" s="1"/>
      <x:c r="M77" s="1"/>
      <x:c r="N77" s="1"/>
      <x:c r="O77" s="1"/>
      <x:c r="P77" s="1"/>
      <x:c r="Q77" s="1"/>
      <x:c r="R77" s="1"/>
      <x:c r="S77" s="1"/>
      <x:c r="T77" s="1"/>
    </x:row>
    <x:row r="78" ht="18" customHeight="1">
      <x:c r="A78" s="1"/>
      <x:c r="B78" s="19" t="n">
        <x:v>71</x:v>
      </x:c>
      <x:c r="C78" s="27"/>
      <x:c r="D78" s="27"/>
      <x:c r="E78" s="27"/>
      <x:c r="F78" s="56"/>
      <x:c r="G78" s="56"/>
      <x:c r="H78" s="27"/>
      <x:c r="I78" s="1"/>
      <x:c r="J78" s="1"/>
      <x:c r="K78" s="1"/>
      <x:c r="L78" s="1"/>
      <x:c r="M78" s="1"/>
      <x:c r="N78" s="1"/>
      <x:c r="O78" s="1"/>
      <x:c r="P78" s="1"/>
      <x:c r="Q78" s="1"/>
      <x:c r="R78" s="1"/>
      <x:c r="S78" s="1"/>
      <x:c r="T78" s="1"/>
    </x:row>
    <x:row r="79" ht="18" customHeight="1">
      <x:c r="A79" s="1"/>
      <x:c r="B79" s="19" t="n">
        <x:v>72</x:v>
      </x:c>
      <x:c r="C79" s="27"/>
      <x:c r="D79" s="27"/>
      <x:c r="E79" s="27"/>
      <x:c r="F79" s="56"/>
      <x:c r="G79" s="56"/>
      <x:c r="H79" s="27"/>
      <x:c r="I79" s="1"/>
      <x:c r="J79" s="1"/>
      <x:c r="K79" s="1"/>
      <x:c r="L79" s="1"/>
      <x:c r="M79" s="1"/>
      <x:c r="N79" s="1"/>
      <x:c r="O79" s="1"/>
      <x:c r="P79" s="1"/>
      <x:c r="Q79" s="1"/>
      <x:c r="R79" s="1"/>
      <x:c r="S79" s="1"/>
      <x:c r="T79" s="1"/>
    </x:row>
    <x:row r="80" ht="18" customHeight="1">
      <x:c r="A80" s="1"/>
      <x:c r="B80" s="19" t="n">
        <x:v>73</x:v>
      </x:c>
      <x:c r="C80" s="27"/>
      <x:c r="D80" s="27"/>
      <x:c r="E80" s="27"/>
      <x:c r="F80" s="56"/>
      <x:c r="G80" s="56"/>
      <x:c r="H80" s="27"/>
      <x:c r="I80" s="1"/>
      <x:c r="J80" s="1"/>
      <x:c r="K80" s="1"/>
      <x:c r="L80" s="1"/>
      <x:c r="M80" s="1"/>
      <x:c r="N80" s="1"/>
      <x:c r="O80" s="1"/>
      <x:c r="P80" s="1"/>
      <x:c r="Q80" s="1"/>
      <x:c r="R80" s="1"/>
      <x:c r="S80" s="1"/>
      <x:c r="T80" s="1"/>
    </x:row>
    <x:row r="81" ht="18" customHeight="1">
      <x:c r="A81" s="1"/>
      <x:c r="B81" s="19" t="n">
        <x:v>74</x:v>
      </x:c>
      <x:c r="C81" s="27"/>
      <x:c r="D81" s="27"/>
      <x:c r="E81" s="27"/>
      <x:c r="F81" s="56"/>
      <x:c r="G81" s="56"/>
      <x:c r="H81" s="27"/>
      <x:c r="I81" s="1"/>
      <x:c r="J81" s="1"/>
      <x:c r="K81" s="1"/>
      <x:c r="L81" s="1"/>
      <x:c r="M81" s="1"/>
      <x:c r="N81" s="1"/>
      <x:c r="O81" s="1"/>
      <x:c r="P81" s="1"/>
      <x:c r="Q81" s="1"/>
      <x:c r="R81" s="1"/>
      <x:c r="S81" s="1"/>
      <x:c r="T81" s="1"/>
    </x:row>
    <x:row r="82" ht="18" customHeight="1">
      <x:c r="A82" s="1"/>
      <x:c r="B82" s="19" t="n">
        <x:v>75</x:v>
      </x:c>
      <x:c r="C82" s="27"/>
      <x:c r="D82" s="27"/>
      <x:c r="E82" s="27"/>
      <x:c r="F82" s="56"/>
      <x:c r="G82" s="56"/>
      <x:c r="H82" s="27"/>
      <x:c r="I82" s="1"/>
      <x:c r="J82" s="1"/>
      <x:c r="K82" s="1"/>
      <x:c r="L82" s="1"/>
      <x:c r="M82" s="1"/>
      <x:c r="N82" s="1"/>
      <x:c r="O82" s="1"/>
      <x:c r="P82" s="1"/>
      <x:c r="Q82" s="1"/>
      <x:c r="R82" s="1"/>
      <x:c r="S82" s="1"/>
      <x:c r="T82" s="1"/>
    </x:row>
    <x:row r="83" ht="18" customHeight="1">
      <x:c r="A83" s="1"/>
      <x:c r="B83" s="19" t="n">
        <x:v>76</x:v>
      </x:c>
      <x:c r="C83" s="27"/>
      <x:c r="D83" s="27"/>
      <x:c r="E83" s="27"/>
      <x:c r="F83" s="56"/>
      <x:c r="G83" s="56"/>
      <x:c r="H83" s="27"/>
      <x:c r="I83" s="1"/>
      <x:c r="J83" s="1"/>
      <x:c r="K83" s="1"/>
      <x:c r="L83" s="1"/>
      <x:c r="M83" s="1"/>
      <x:c r="N83" s="1"/>
      <x:c r="O83" s="1"/>
      <x:c r="P83" s="1"/>
      <x:c r="Q83" s="1"/>
      <x:c r="R83" s="1"/>
      <x:c r="S83" s="1"/>
      <x:c r="T83" s="1"/>
    </x:row>
    <x:row r="84" ht="18" customHeight="1">
      <x:c r="A84" s="1"/>
      <x:c r="B84" s="19" t="n">
        <x:v>77</x:v>
      </x:c>
      <x:c r="C84" s="27"/>
      <x:c r="D84" s="27"/>
      <x:c r="E84" s="27"/>
      <x:c r="F84" s="56"/>
      <x:c r="G84" s="56"/>
      <x:c r="H84" s="27"/>
      <x:c r="I84" s="1"/>
      <x:c r="J84" s="1"/>
      <x:c r="K84" s="1"/>
      <x:c r="L84" s="1"/>
      <x:c r="M84" s="1"/>
      <x:c r="N84" s="1"/>
      <x:c r="O84" s="1"/>
      <x:c r="P84" s="1"/>
      <x:c r="Q84" s="1"/>
      <x:c r="R84" s="1"/>
      <x:c r="S84" s="1"/>
      <x:c r="T84" s="1"/>
    </x:row>
    <x:row r="85" ht="18" customHeight="1">
      <x:c r="A85" s="1"/>
      <x:c r="B85" s="19" t="n">
        <x:v>78</x:v>
      </x:c>
      <x:c r="C85" s="27"/>
      <x:c r="D85" s="27"/>
      <x:c r="E85" s="27"/>
      <x:c r="F85" s="56"/>
      <x:c r="G85" s="56"/>
      <x:c r="H85" s="27"/>
      <x:c r="I85" s="1"/>
      <x:c r="J85" s="1"/>
      <x:c r="K85" s="1"/>
      <x:c r="L85" s="1"/>
      <x:c r="M85" s="1"/>
      <x:c r="N85" s="1"/>
      <x:c r="O85" s="1"/>
      <x:c r="P85" s="1"/>
      <x:c r="Q85" s="1"/>
      <x:c r="R85" s="1"/>
      <x:c r="S85" s="1"/>
      <x:c r="T85" s="1"/>
    </x:row>
    <x:row r="86" ht="18" customHeight="1">
      <x:c r="A86" s="1"/>
      <x:c r="B86" s="19" t="n">
        <x:v>79</x:v>
      </x:c>
      <x:c r="C86" s="27"/>
      <x:c r="D86" s="27"/>
      <x:c r="E86" s="27"/>
      <x:c r="F86" s="56"/>
      <x:c r="G86" s="56"/>
      <x:c r="H86" s="27"/>
      <x:c r="I86" s="1"/>
      <x:c r="J86" s="1"/>
      <x:c r="K86" s="1"/>
      <x:c r="L86" s="1"/>
      <x:c r="M86" s="1"/>
      <x:c r="N86" s="1"/>
      <x:c r="O86" s="1"/>
      <x:c r="P86" s="1"/>
      <x:c r="Q86" s="1"/>
      <x:c r="R86" s="1"/>
      <x:c r="S86" s="1"/>
      <x:c r="T86" s="1"/>
    </x:row>
    <x:row r="87" ht="18" customHeight="1">
      <x:c r="A87" s="1"/>
      <x:c r="B87" s="19" t="n">
        <x:v>80</x:v>
      </x:c>
      <x:c r="C87" s="27"/>
      <x:c r="D87" s="27"/>
      <x:c r="E87" s="27"/>
      <x:c r="F87" s="56"/>
      <x:c r="G87" s="56"/>
      <x:c r="H87" s="27"/>
      <x:c r="I87" s="1"/>
      <x:c r="J87" s="1"/>
      <x:c r="K87" s="1"/>
      <x:c r="L87" s="1"/>
      <x:c r="M87" s="1"/>
      <x:c r="N87" s="1"/>
      <x:c r="O87" s="1"/>
      <x:c r="P87" s="1"/>
      <x:c r="Q87" s="1"/>
      <x:c r="R87" s="1"/>
      <x:c r="S87" s="1"/>
      <x:c r="T87" s="1"/>
    </x:row>
    <x:row r="88" ht="18" customHeight="1">
      <x:c r="A88" s="1"/>
      <x:c r="B88" s="19" t="n">
        <x:v>81</x:v>
      </x:c>
      <x:c r="C88" s="27"/>
      <x:c r="D88" s="27"/>
      <x:c r="E88" s="27"/>
      <x:c r="F88" s="56"/>
      <x:c r="G88" s="56"/>
      <x:c r="H88" s="27"/>
      <x:c r="I88" s="1"/>
      <x:c r="J88" s="1"/>
      <x:c r="K88" s="1"/>
      <x:c r="L88" s="1"/>
      <x:c r="M88" s="1"/>
      <x:c r="N88" s="1"/>
      <x:c r="O88" s="1"/>
      <x:c r="P88" s="1"/>
      <x:c r="Q88" s="1"/>
      <x:c r="R88" s="1"/>
      <x:c r="S88" s="1"/>
      <x:c r="T88" s="1"/>
    </x:row>
    <x:row r="89" ht="18" customHeight="1">
      <x:c r="A89" s="1"/>
      <x:c r="B89" s="19" t="n">
        <x:v>82</x:v>
      </x:c>
      <x:c r="C89" s="27"/>
      <x:c r="D89" s="27"/>
      <x:c r="E89" s="27"/>
      <x:c r="F89" s="56"/>
      <x:c r="G89" s="56"/>
      <x:c r="H89" s="27"/>
      <x:c r="I89" s="1"/>
      <x:c r="J89" s="1"/>
      <x:c r="K89" s="1"/>
      <x:c r="L89" s="1"/>
      <x:c r="M89" s="1"/>
      <x:c r="N89" s="1"/>
      <x:c r="O89" s="1"/>
      <x:c r="P89" s="1"/>
      <x:c r="Q89" s="1"/>
      <x:c r="R89" s="1"/>
      <x:c r="S89" s="1"/>
      <x:c r="T89" s="1"/>
    </x:row>
    <x:row r="90" ht="18" customHeight="1">
      <x:c r="A90" s="1"/>
      <x:c r="B90" s="19" t="n">
        <x:v>83</x:v>
      </x:c>
      <x:c r="C90" s="27"/>
      <x:c r="D90" s="27"/>
      <x:c r="E90" s="27"/>
      <x:c r="F90" s="56"/>
      <x:c r="G90" s="56"/>
      <x:c r="H90" s="27"/>
      <x:c r="I90" s="1"/>
      <x:c r="J90" s="1"/>
      <x:c r="K90" s="1"/>
      <x:c r="L90" s="1"/>
      <x:c r="M90" s="1"/>
      <x:c r="N90" s="1"/>
      <x:c r="O90" s="1"/>
      <x:c r="P90" s="1"/>
      <x:c r="Q90" s="1"/>
      <x:c r="R90" s="1"/>
      <x:c r="S90" s="1"/>
      <x:c r="T90" s="1"/>
    </x:row>
    <x:row r="91" ht="18" customHeight="1">
      <x:c r="A91" s="1"/>
      <x:c r="B91" s="19" t="n">
        <x:v>84</x:v>
      </x:c>
      <x:c r="C91" s="27"/>
      <x:c r="D91" s="27"/>
      <x:c r="E91" s="27"/>
      <x:c r="F91" s="56"/>
      <x:c r="G91" s="56"/>
      <x:c r="H91" s="27"/>
      <x:c r="I91" s="1"/>
      <x:c r="J91" s="1"/>
      <x:c r="K91" s="1"/>
      <x:c r="L91" s="1"/>
      <x:c r="M91" s="1"/>
      <x:c r="N91" s="1"/>
      <x:c r="O91" s="1"/>
      <x:c r="P91" s="1"/>
      <x:c r="Q91" s="1"/>
      <x:c r="R91" s="1"/>
      <x:c r="S91" s="1"/>
      <x:c r="T91" s="1"/>
    </x:row>
    <x:row r="92" ht="18" customHeight="1">
      <x:c r="A92" s="1"/>
      <x:c r="B92" s="19" t="n">
        <x:v>85</x:v>
      </x:c>
      <x:c r="C92" s="27"/>
      <x:c r="D92" s="27"/>
      <x:c r="E92" s="27"/>
      <x:c r="F92" s="56"/>
      <x:c r="G92" s="56"/>
      <x:c r="H92" s="27"/>
      <x:c r="I92" s="1"/>
      <x:c r="J92" s="1"/>
      <x:c r="K92" s="1"/>
      <x:c r="L92" s="1"/>
      <x:c r="M92" s="1"/>
      <x:c r="N92" s="1"/>
      <x:c r="O92" s="1"/>
      <x:c r="P92" s="1"/>
      <x:c r="Q92" s="1"/>
      <x:c r="R92" s="1"/>
      <x:c r="S92" s="1"/>
      <x:c r="T92" s="1"/>
    </x:row>
    <x:row r="93" ht="18" customHeight="1">
      <x:c r="A93" s="1"/>
      <x:c r="B93" s="19" t="n">
        <x:v>86</x:v>
      </x:c>
      <x:c r="C93" s="27"/>
      <x:c r="D93" s="27"/>
      <x:c r="E93" s="27"/>
      <x:c r="F93" s="56"/>
      <x:c r="G93" s="56"/>
      <x:c r="H93" s="27"/>
      <x:c r="I93" s="1"/>
      <x:c r="J93" s="1"/>
      <x:c r="K93" s="1"/>
      <x:c r="L93" s="1"/>
      <x:c r="M93" s="1"/>
      <x:c r="N93" s="1"/>
      <x:c r="O93" s="1"/>
      <x:c r="P93" s="1"/>
      <x:c r="Q93" s="1"/>
      <x:c r="R93" s="1"/>
      <x:c r="S93" s="1"/>
      <x:c r="T93" s="1"/>
    </x:row>
    <x:row r="94" ht="18" customHeight="1">
      <x:c r="A94" s="1"/>
      <x:c r="B94" s="19" t="n">
        <x:v>87</x:v>
      </x:c>
      <x:c r="C94" s="27"/>
      <x:c r="D94" s="27"/>
      <x:c r="E94" s="27"/>
      <x:c r="F94" s="56"/>
      <x:c r="G94" s="56"/>
      <x:c r="H94" s="27"/>
      <x:c r="I94" s="1"/>
      <x:c r="J94" s="1"/>
      <x:c r="K94" s="1"/>
      <x:c r="L94" s="1"/>
      <x:c r="M94" s="1"/>
      <x:c r="N94" s="1"/>
      <x:c r="O94" s="1"/>
      <x:c r="P94" s="1"/>
      <x:c r="Q94" s="1"/>
      <x:c r="R94" s="1"/>
      <x:c r="S94" s="1"/>
      <x:c r="T94" s="1"/>
    </x:row>
    <x:row r="95" ht="18" customHeight="1">
      <x:c r="A95" s="1"/>
      <x:c r="B95" s="19" t="n">
        <x:v>88</x:v>
      </x:c>
      <x:c r="C95" s="27"/>
      <x:c r="D95" s="27"/>
      <x:c r="E95" s="27"/>
      <x:c r="F95" s="56"/>
      <x:c r="G95" s="56"/>
      <x:c r="H95" s="27"/>
      <x:c r="I95" s="1"/>
      <x:c r="J95" s="1"/>
      <x:c r="K95" s="1"/>
      <x:c r="L95" s="1"/>
      <x:c r="M95" s="1"/>
      <x:c r="N95" s="1"/>
      <x:c r="O95" s="1"/>
      <x:c r="P95" s="1"/>
      <x:c r="Q95" s="1"/>
      <x:c r="R95" s="1"/>
      <x:c r="S95" s="1"/>
      <x:c r="T95" s="1"/>
    </x:row>
    <x:row r="96" ht="18" customHeight="1">
      <x:c r="A96" s="1"/>
      <x:c r="B96" s="19" t="n">
        <x:v>89</x:v>
      </x:c>
      <x:c r="C96" s="27"/>
      <x:c r="D96" s="27"/>
      <x:c r="E96" s="27"/>
      <x:c r="F96" s="56"/>
      <x:c r="G96" s="56"/>
      <x:c r="H96" s="27"/>
      <x:c r="I96" s="1"/>
      <x:c r="J96" s="1"/>
      <x:c r="K96" s="1"/>
      <x:c r="L96" s="1"/>
      <x:c r="M96" s="1"/>
      <x:c r="N96" s="1"/>
      <x:c r="O96" s="1"/>
      <x:c r="P96" s="1"/>
      <x:c r="Q96" s="1"/>
      <x:c r="R96" s="1"/>
      <x:c r="S96" s="1"/>
      <x:c r="T96" s="1"/>
    </x:row>
    <x:row r="97" ht="18" customHeight="1">
      <x:c r="A97" s="1"/>
      <x:c r="B97" s="19" t="n">
        <x:v>90</x:v>
      </x:c>
      <x:c r="C97" s="27"/>
      <x:c r="D97" s="27"/>
      <x:c r="E97" s="27"/>
      <x:c r="F97" s="56"/>
      <x:c r="G97" s="56"/>
      <x:c r="H97" s="27"/>
      <x:c r="I97" s="1"/>
      <x:c r="J97" s="1"/>
      <x:c r="K97" s="1"/>
      <x:c r="L97" s="1"/>
      <x:c r="M97" s="1"/>
      <x:c r="N97" s="1"/>
      <x:c r="O97" s="1"/>
      <x:c r="P97" s="1"/>
      <x:c r="Q97" s="1"/>
      <x:c r="R97" s="1"/>
      <x:c r="S97" s="1"/>
      <x:c r="T97" s="1"/>
    </x:row>
    <x:row r="98" ht="18" customHeight="1">
      <x:c r="A98" s="1"/>
      <x:c r="B98" s="19" t="n">
        <x:v>91</x:v>
      </x:c>
      <x:c r="C98" s="27"/>
      <x:c r="D98" s="27"/>
      <x:c r="E98" s="27"/>
      <x:c r="F98" s="56"/>
      <x:c r="G98" s="56"/>
      <x:c r="H98" s="27"/>
      <x:c r="I98" s="1"/>
      <x:c r="J98" s="1"/>
      <x:c r="K98" s="1"/>
      <x:c r="L98" s="1"/>
      <x:c r="M98" s="1"/>
      <x:c r="N98" s="1"/>
      <x:c r="O98" s="1"/>
      <x:c r="P98" s="1"/>
      <x:c r="Q98" s="1"/>
      <x:c r="R98" s="1"/>
      <x:c r="S98" s="1"/>
      <x:c r="T98" s="1"/>
    </x:row>
    <x:row r="99" ht="18" customHeight="1">
      <x:c r="A99" s="1"/>
      <x:c r="B99" s="19" t="n">
        <x:v>92</x:v>
      </x:c>
      <x:c r="C99" s="27"/>
      <x:c r="D99" s="27"/>
      <x:c r="E99" s="27"/>
      <x:c r="F99" s="56"/>
      <x:c r="G99" s="56"/>
      <x:c r="H99" s="27"/>
      <x:c r="I99" s="1"/>
      <x:c r="J99" s="1"/>
      <x:c r="K99" s="1"/>
      <x:c r="L99" s="1"/>
      <x:c r="M99" s="1"/>
      <x:c r="N99" s="1"/>
      <x:c r="O99" s="1"/>
      <x:c r="P99" s="1"/>
      <x:c r="Q99" s="1"/>
      <x:c r="R99" s="1"/>
      <x:c r="S99" s="1"/>
      <x:c r="T99" s="1"/>
    </x:row>
    <x:row r="100" ht="18" customHeight="1">
      <x:c r="A100" s="1"/>
      <x:c r="B100" s="19" t="n">
        <x:v>93</x:v>
      </x:c>
      <x:c r="C100" s="27"/>
      <x:c r="D100" s="27"/>
      <x:c r="E100" s="27"/>
      <x:c r="F100" s="56"/>
      <x:c r="G100" s="56"/>
      <x:c r="H100" s="27"/>
      <x:c r="I100" s="1"/>
      <x:c r="J100" s="1"/>
      <x:c r="K100" s="1"/>
      <x:c r="L100" s="1"/>
      <x:c r="M100" s="1"/>
      <x:c r="N100" s="1"/>
      <x:c r="O100" s="1"/>
      <x:c r="P100" s="1"/>
      <x:c r="Q100" s="1"/>
      <x:c r="R100" s="1"/>
      <x:c r="S100" s="1"/>
      <x:c r="T100" s="1"/>
    </x:row>
    <x:row r="101" ht="18" customHeight="1">
      <x:c r="A101" s="1"/>
      <x:c r="B101" s="19" t="n">
        <x:v>94</x:v>
      </x:c>
      <x:c r="C101" s="27"/>
      <x:c r="D101" s="27"/>
      <x:c r="E101" s="27"/>
      <x:c r="F101" s="56"/>
      <x:c r="G101" s="56"/>
      <x:c r="H101" s="27"/>
      <x:c r="I101" s="1"/>
      <x:c r="J101" s="1"/>
      <x:c r="K101" s="1"/>
      <x:c r="L101" s="1"/>
      <x:c r="M101" s="1"/>
      <x:c r="N101" s="1"/>
      <x:c r="O101" s="1"/>
      <x:c r="P101" s="1"/>
      <x:c r="Q101" s="1"/>
      <x:c r="R101" s="1"/>
      <x:c r="S101" s="1"/>
      <x:c r="T101" s="1"/>
    </x:row>
    <x:row r="102" ht="18" customHeight="1">
      <x:c r="A102" s="1"/>
      <x:c r="B102" s="19" t="n">
        <x:v>95</x:v>
      </x:c>
      <x:c r="C102" s="27"/>
      <x:c r="D102" s="27"/>
      <x:c r="E102" s="27"/>
      <x:c r="F102" s="56"/>
      <x:c r="G102" s="56"/>
      <x:c r="H102" s="27"/>
      <x:c r="I102" s="1"/>
      <x:c r="J102" s="1"/>
      <x:c r="K102" s="1"/>
      <x:c r="L102" s="1"/>
      <x:c r="M102" s="1"/>
      <x:c r="N102" s="1"/>
      <x:c r="O102" s="1"/>
      <x:c r="P102" s="1"/>
      <x:c r="Q102" s="1"/>
      <x:c r="R102" s="1"/>
      <x:c r="S102" s="1"/>
      <x:c r="T102" s="1"/>
    </x:row>
    <x:row r="103" ht="18" customHeight="1">
      <x:c r="A103" s="1"/>
      <x:c r="B103" s="19" t="n">
        <x:v>96</x:v>
      </x:c>
      <x:c r="C103" s="27"/>
      <x:c r="D103" s="27"/>
      <x:c r="E103" s="27"/>
      <x:c r="F103" s="56"/>
      <x:c r="G103" s="56"/>
      <x:c r="H103" s="27"/>
      <x:c r="I103" s="1"/>
      <x:c r="J103" s="1"/>
      <x:c r="K103" s="1"/>
      <x:c r="L103" s="1"/>
      <x:c r="M103" s="1"/>
      <x:c r="N103" s="1"/>
      <x:c r="O103" s="1"/>
      <x:c r="P103" s="1"/>
      <x:c r="Q103" s="1"/>
      <x:c r="R103" s="1"/>
      <x:c r="S103" s="1"/>
      <x:c r="T103" s="1"/>
    </x:row>
    <x:row r="104" ht="18" customHeight="1">
      <x:c r="A104" s="1"/>
      <x:c r="B104" s="19" t="n">
        <x:v>97</x:v>
      </x:c>
      <x:c r="C104" s="27"/>
      <x:c r="D104" s="27"/>
      <x:c r="E104" s="27"/>
      <x:c r="F104" s="56"/>
      <x:c r="G104" s="56"/>
      <x:c r="H104" s="27"/>
      <x:c r="I104" s="1"/>
      <x:c r="J104" s="1"/>
      <x:c r="K104" s="1"/>
      <x:c r="L104" s="1"/>
      <x:c r="M104" s="1"/>
      <x:c r="N104" s="1"/>
      <x:c r="O104" s="1"/>
      <x:c r="P104" s="1"/>
      <x:c r="Q104" s="1"/>
      <x:c r="R104" s="1"/>
      <x:c r="S104" s="1"/>
      <x:c r="T104" s="1"/>
    </x:row>
    <x:row r="105" ht="18" customHeight="1">
      <x:c r="A105" s="1"/>
      <x:c r="B105" s="19" t="n">
        <x:v>98</x:v>
      </x:c>
      <x:c r="C105" s="27"/>
      <x:c r="D105" s="27"/>
      <x:c r="E105" s="27"/>
      <x:c r="F105" s="56"/>
      <x:c r="G105" s="56"/>
      <x:c r="H105" s="27"/>
      <x:c r="I105" s="1"/>
      <x:c r="J105" s="1"/>
      <x:c r="K105" s="1"/>
      <x:c r="L105" s="1"/>
      <x:c r="M105" s="1"/>
      <x:c r="N105" s="1"/>
      <x:c r="O105" s="1"/>
      <x:c r="P105" s="1"/>
      <x:c r="Q105" s="1"/>
      <x:c r="R105" s="1"/>
      <x:c r="S105" s="1"/>
      <x:c r="T105" s="1"/>
    </x:row>
    <x:row r="106" ht="18" customHeight="1">
      <x:c r="A106" s="1"/>
      <x:c r="B106" s="19" t="n">
        <x:v>99</x:v>
      </x:c>
      <x:c r="C106" s="27"/>
      <x:c r="D106" s="27"/>
      <x:c r="E106" s="27"/>
      <x:c r="F106" s="56"/>
      <x:c r="G106" s="56"/>
      <x:c r="H106" s="27"/>
      <x:c r="I106" s="1"/>
      <x:c r="J106" s="1"/>
      <x:c r="K106" s="1"/>
      <x:c r="L106" s="1"/>
      <x:c r="M106" s="1"/>
      <x:c r="N106" s="1"/>
      <x:c r="O106" s="1"/>
      <x:c r="P106" s="1"/>
      <x:c r="Q106" s="1"/>
      <x:c r="R106" s="1"/>
      <x:c r="S106" s="1"/>
      <x:c r="T106" s="1"/>
    </x:row>
    <x:row r="107" ht="18" customHeight="1">
      <x:c r="A107" s="1"/>
      <x:c r="B107" s="19" t="n">
        <x:v>100</x:v>
      </x:c>
      <x:c r="C107" s="27"/>
      <x:c r="D107" s="27"/>
      <x:c r="E107" s="27"/>
      <x:c r="F107" s="56"/>
      <x:c r="G107" s="56"/>
      <x:c r="H107" s="27"/>
      <x:c r="I107" s="1"/>
      <x:c r="J107" s="1"/>
      <x:c r="K107" s="1"/>
      <x:c r="L107" s="1"/>
      <x:c r="M107" s="1"/>
      <x:c r="N107" s="1"/>
      <x:c r="O107" s="1"/>
      <x:c r="P107" s="1"/>
      <x:c r="Q107" s="1"/>
      <x:c r="R107" s="1"/>
      <x:c r="S107" s="1"/>
      <x:c r="T107" s="1"/>
    </x:row>
    <x:row r="108" ht="18" customHeight="1">
      <x:c r="A108" s="1"/>
      <x:c r="B108" s="1"/>
      <x:c r="C108" s="1"/>
      <x:c r="D108" s="1"/>
      <x:c r="E108" s="1"/>
      <x:c r="F108" s="1"/>
      <x:c r="G108" s="1"/>
      <x:c r="H108" s="1"/>
      <x:c r="I108" s="1"/>
      <x:c r="J108" s="1"/>
      <x:c r="K108" s="1"/>
      <x:c r="L108" s="1"/>
      <x:c r="M108" s="1"/>
      <x:c r="N108" s="1"/>
      <x:c r="O108" s="1"/>
      <x:c r="P108" s="1"/>
      <x:c r="Q108" s="1"/>
      <x:c r="R108" s="1"/>
      <x:c r="S108" s="1"/>
      <x:c r="T108" s="1"/>
    </x:row>
    <x:row r="109" ht="18" customHeight="1">
      <x:c r="A109" s="1"/>
      <x:c r="B109" s="1"/>
      <x:c r="C109" s="1"/>
      <x:c r="D109" s="1"/>
      <x:c r="E109" s="1"/>
      <x:c r="F109" s="1"/>
      <x:c r="G109" s="1"/>
      <x:c r="H109" s="1"/>
      <x:c r="I109" s="1"/>
      <x:c r="J109" s="1"/>
      <x:c r="K109" s="1"/>
      <x:c r="L109" s="1"/>
      <x:c r="M109" s="1"/>
      <x:c r="N109" s="1"/>
      <x:c r="O109" s="1"/>
      <x:c r="P109" s="1"/>
      <x:c r="Q109" s="1"/>
      <x:c r="R109" s="1"/>
      <x:c r="S109" s="1"/>
      <x:c r="T109" s="1"/>
    </x:row>
    <x:row r="110" ht="18" customHeight="1">
      <x:c r="A110" s="1"/>
      <x:c r="B110" s="1"/>
      <x:c r="C110" s="1"/>
      <x:c r="D110" s="1"/>
      <x:c r="E110" s="1"/>
      <x:c r="F110" s="1"/>
      <x:c r="G110" s="1"/>
      <x:c r="H110" s="1"/>
      <x:c r="I110" s="1"/>
      <x:c r="J110" s="1"/>
      <x:c r="K110" s="1"/>
      <x:c r="L110" s="1"/>
      <x:c r="M110" s="1"/>
      <x:c r="N110" s="1"/>
      <x:c r="O110" s="1"/>
      <x:c r="P110" s="1"/>
      <x:c r="Q110" s="1"/>
      <x:c r="R110" s="1"/>
      <x:c r="S110" s="1"/>
      <x:c r="T110" s="1"/>
    </x:row>
    <x:row r="111" ht="18" customHeight="1">
      <x:c r="A111" s="1"/>
      <x:c r="B111" s="1"/>
      <x:c r="C111" s="1"/>
      <x:c r="D111" s="1"/>
      <x:c r="E111" s="1"/>
      <x:c r="F111" s="1"/>
      <x:c r="G111" s="1"/>
      <x:c r="H111" s="1"/>
      <x:c r="I111" s="1"/>
      <x:c r="J111" s="1"/>
      <x:c r="K111" s="1"/>
      <x:c r="L111" s="1"/>
      <x:c r="M111" s="1"/>
      <x:c r="N111" s="1"/>
      <x:c r="O111" s="1"/>
      <x:c r="P111" s="1"/>
      <x:c r="Q111" s="1"/>
      <x:c r="R111" s="1"/>
      <x:c r="S111" s="1"/>
      <x:c r="T111" s="1"/>
    </x:row>
    <x:row r="112" ht="18" customHeight="1">
      <x:c r="A112" s="1"/>
      <x:c r="B112" s="1"/>
      <x:c r="C112" s="1"/>
      <x:c r="D112" s="1"/>
      <x:c r="E112" s="1"/>
      <x:c r="F112" s="1"/>
      <x:c r="G112" s="1"/>
      <x:c r="H112" s="1"/>
      <x:c r="I112" s="1"/>
      <x:c r="J112" s="1"/>
      <x:c r="K112" s="1"/>
      <x:c r="L112" s="1"/>
      <x:c r="M112" s="1"/>
      <x:c r="N112" s="1"/>
      <x:c r="O112" s="1"/>
      <x:c r="P112" s="1"/>
      <x:c r="Q112" s="1"/>
      <x:c r="R112" s="1"/>
      <x:c r="S112" s="1"/>
      <x:c r="T112" s="1"/>
    </x:row>
    <x:row r="113" ht="18" customHeight="1">
      <x:c r="A113" s="1"/>
      <x:c r="B113" s="1"/>
      <x:c r="C113" s="1"/>
      <x:c r="D113" s="1"/>
      <x:c r="E113" s="1"/>
      <x:c r="F113" s="1"/>
      <x:c r="G113" s="1"/>
      <x:c r="H113" s="1"/>
      <x:c r="I113" s="1"/>
      <x:c r="J113" s="1"/>
      <x:c r="K113" s="1"/>
      <x:c r="L113" s="1"/>
      <x:c r="M113" s="1"/>
      <x:c r="N113" s="1"/>
      <x:c r="O113" s="1"/>
      <x:c r="P113" s="1"/>
      <x:c r="Q113" s="1"/>
      <x:c r="R113" s="1"/>
      <x:c r="S113" s="1"/>
      <x:c r="T113" s="1"/>
    </x:row>
    <x:row r="114" ht="18" customHeight="1">
      <x:c r="A114" s="1"/>
      <x:c r="B114" s="1"/>
      <x:c r="C114" s="1"/>
      <x:c r="D114" s="1"/>
      <x:c r="E114" s="1"/>
      <x:c r="F114" s="1"/>
      <x:c r="G114" s="1"/>
      <x:c r="H114" s="1"/>
      <x:c r="I114" s="1"/>
      <x:c r="J114" s="1"/>
      <x:c r="K114" s="1"/>
      <x:c r="L114" s="1"/>
      <x:c r="M114" s="1"/>
      <x:c r="N114" s="1"/>
      <x:c r="O114" s="1"/>
      <x:c r="P114" s="1"/>
      <x:c r="Q114" s="1"/>
      <x:c r="R114" s="1"/>
      <x:c r="S114" s="1"/>
      <x:c r="T114" s="1"/>
    </x:row>
    <x:row r="115" ht="18" customHeight="1">
      <x:c r="A115" s="1"/>
      <x:c r="B115" s="1"/>
      <x:c r="C115" s="1"/>
      <x:c r="D115" s="1"/>
      <x:c r="E115" s="1"/>
      <x:c r="F115" s="1"/>
      <x:c r="G115" s="1"/>
      <x:c r="H115" s="1"/>
      <x:c r="I115" s="1"/>
      <x:c r="J115" s="1"/>
      <x:c r="K115" s="1"/>
      <x:c r="L115" s="1"/>
      <x:c r="M115" s="1"/>
      <x:c r="N115" s="1"/>
      <x:c r="O115" s="1"/>
      <x:c r="P115" s="1"/>
      <x:c r="Q115" s="1"/>
      <x:c r="R115" s="1"/>
      <x:c r="S115" s="1"/>
      <x:c r="T115" s="1"/>
    </x:row>
    <x:row r="116" ht="18" customHeight="1">
      <x:c r="A116" s="1"/>
      <x:c r="B116" s="1"/>
      <x:c r="C116" s="1"/>
      <x:c r="D116" s="1"/>
      <x:c r="E116" s="1"/>
      <x:c r="F116" s="1"/>
      <x:c r="G116" s="1"/>
      <x:c r="H116" s="1"/>
      <x:c r="I116" s="1"/>
      <x:c r="J116" s="1"/>
      <x:c r="K116" s="1"/>
      <x:c r="L116" s="1"/>
      <x:c r="M116" s="1"/>
      <x:c r="N116" s="1"/>
      <x:c r="O116" s="1"/>
      <x:c r="P116" s="1"/>
      <x:c r="Q116" s="1"/>
      <x:c r="R116" s="1"/>
      <x:c r="S116" s="1"/>
      <x:c r="T116" s="1"/>
    </x:row>
    <x:row r="117" ht="18" customHeight="1">
      <x:c r="A117" s="1"/>
      <x:c r="B117" s="1"/>
      <x:c r="C117" s="1"/>
      <x:c r="D117" s="1"/>
      <x:c r="E117" s="1"/>
      <x:c r="F117" s="1"/>
      <x:c r="G117" s="1"/>
      <x:c r="H117" s="1"/>
      <x:c r="I117" s="1"/>
      <x:c r="J117" s="1"/>
      <x:c r="K117" s="1"/>
      <x:c r="L117" s="1"/>
      <x:c r="M117" s="1"/>
      <x:c r="N117" s="1"/>
      <x:c r="O117" s="1"/>
      <x:c r="P117" s="1"/>
      <x:c r="Q117" s="1"/>
      <x:c r="R117" s="1"/>
      <x:c r="S117" s="1"/>
      <x:c r="T117" s="1"/>
    </x:row>
    <x:row r="118" ht="18" customHeight="1">
      <x:c r="A118" s="1"/>
      <x:c r="B118" s="1"/>
      <x:c r="C118" s="1"/>
      <x:c r="D118" s="1"/>
      <x:c r="E118" s="1"/>
      <x:c r="F118" s="1"/>
      <x:c r="G118" s="1"/>
      <x:c r="H118" s="1"/>
      <x:c r="I118" s="1"/>
      <x:c r="J118" s="1"/>
      <x:c r="K118" s="1"/>
      <x:c r="L118" s="1"/>
      <x:c r="M118" s="1"/>
      <x:c r="N118" s="1"/>
      <x:c r="O118" s="1"/>
      <x:c r="P118" s="1"/>
      <x:c r="Q118" s="1"/>
      <x:c r="R118" s="1"/>
      <x:c r="S118" s="1"/>
      <x:c r="T118" s="1"/>
    </x:row>
    <x:row r="119" ht="18" customHeight="1">
      <x:c r="A119" s="1"/>
      <x:c r="B119" s="1"/>
      <x:c r="C119" s="1"/>
      <x:c r="D119" s="1"/>
      <x:c r="E119" s="1"/>
      <x:c r="F119" s="1"/>
      <x:c r="G119" s="1"/>
      <x:c r="H119" s="1"/>
      <x:c r="I119" s="1"/>
      <x:c r="J119" s="1"/>
      <x:c r="K119" s="1"/>
      <x:c r="L119" s="1"/>
      <x:c r="M119" s="1"/>
      <x:c r="N119" s="1"/>
      <x:c r="O119" s="1"/>
      <x:c r="P119" s="1"/>
      <x:c r="Q119" s="1"/>
      <x:c r="R119" s="1"/>
      <x:c r="S119" s="1"/>
      <x:c r="T119" s="1"/>
    </x:row>
    <x:row r="120" ht="18" customHeight="1">
      <x:c r="A120" s="1"/>
      <x:c r="B120" s="1"/>
      <x:c r="C120" s="1"/>
      <x:c r="D120" s="1"/>
      <x:c r="E120" s="1"/>
      <x:c r="F120" s="1"/>
      <x:c r="G120" s="1"/>
      <x:c r="H120" s="1"/>
      <x:c r="I120" s="1"/>
      <x:c r="J120" s="1"/>
      <x:c r="K120" s="1"/>
      <x:c r="L120" s="1"/>
      <x:c r="M120" s="1"/>
      <x:c r="N120" s="1"/>
      <x:c r="O120" s="1"/>
      <x:c r="P120" s="1"/>
      <x:c r="Q120" s="1"/>
      <x:c r="R120" s="1"/>
      <x:c r="S120" s="1"/>
      <x:c r="T120" s="1"/>
    </x:row>
    <x:row r="121" ht="18" customHeight="1">
      <x:c r="A121" s="1"/>
      <x:c r="B121" s="1"/>
      <x:c r="C121" s="1"/>
      <x:c r="D121" s="1"/>
      <x:c r="E121" s="1"/>
      <x:c r="F121" s="1"/>
      <x:c r="G121" s="1"/>
      <x:c r="H121" s="1"/>
      <x:c r="I121" s="1"/>
      <x:c r="J121" s="1"/>
      <x:c r="K121" s="1"/>
      <x:c r="L121" s="1"/>
      <x:c r="M121" s="1"/>
      <x:c r="N121" s="1"/>
      <x:c r="O121" s="1"/>
      <x:c r="P121" s="1"/>
      <x:c r="Q121" s="1"/>
      <x:c r="R121" s="1"/>
      <x:c r="S121" s="1"/>
      <x:c r="T121" s="1"/>
    </x:row>
    <x:row r="122" ht="18" customHeight="1">
      <x:c r="A122" s="1"/>
      <x:c r="B122" s="1"/>
      <x:c r="C122" s="1"/>
      <x:c r="D122" s="1"/>
      <x:c r="E122" s="1"/>
      <x:c r="F122" s="1"/>
      <x:c r="G122" s="1"/>
      <x:c r="H122" s="1"/>
      <x:c r="I122" s="1"/>
      <x:c r="J122" s="1"/>
      <x:c r="K122" s="1"/>
      <x:c r="L122" s="1"/>
      <x:c r="M122" s="1"/>
      <x:c r="N122" s="1"/>
      <x:c r="O122" s="1"/>
      <x:c r="P122" s="1"/>
      <x:c r="Q122" s="1"/>
      <x:c r="R122" s="1"/>
      <x:c r="S122" s="1"/>
      <x:c r="T122" s="1"/>
    </x:row>
    <x:row r="123" ht="18" customHeight="1">
      <x:c r="A123" s="1"/>
      <x:c r="B123" s="1"/>
      <x:c r="C123" s="1"/>
      <x:c r="D123" s="1"/>
      <x:c r="E123" s="1"/>
      <x:c r="F123" s="1"/>
      <x:c r="G123" s="1"/>
      <x:c r="H123" s="1"/>
      <x:c r="I123" s="1"/>
      <x:c r="J123" s="1"/>
      <x:c r="K123" s="1"/>
      <x:c r="L123" s="1"/>
      <x:c r="M123" s="1"/>
      <x:c r="N123" s="1"/>
      <x:c r="O123" s="1"/>
      <x:c r="P123" s="1"/>
      <x:c r="Q123" s="1"/>
      <x:c r="R123" s="1"/>
      <x:c r="S123" s="1"/>
      <x:c r="T123" s="1"/>
    </x:row>
    <x:row r="124" ht="18" customHeight="1">
      <x:c r="A124" s="1"/>
      <x:c r="B124" s="1"/>
      <x:c r="C124" s="1"/>
      <x:c r="D124" s="1"/>
      <x:c r="E124" s="1"/>
      <x:c r="F124" s="1"/>
      <x:c r="G124" s="1"/>
      <x:c r="H124" s="1"/>
      <x:c r="I124" s="1"/>
      <x:c r="J124" s="1"/>
      <x:c r="K124" s="1"/>
      <x:c r="L124" s="1"/>
      <x:c r="M124" s="1"/>
      <x:c r="N124" s="1"/>
      <x:c r="O124" s="1"/>
      <x:c r="P124" s="1"/>
      <x:c r="Q124" s="1"/>
      <x:c r="R124" s="1"/>
      <x:c r="S124" s="1"/>
      <x:c r="T124" s="1"/>
    </x:row>
    <x:row r="125" ht="18" customHeight="1">
      <x:c r="A125" s="1"/>
      <x:c r="B125" s="1"/>
      <x:c r="C125" s="1"/>
      <x:c r="D125" s="1"/>
      <x:c r="E125" s="1"/>
      <x:c r="F125" s="1"/>
      <x:c r="G125" s="1"/>
      <x:c r="H125" s="1"/>
      <x:c r="I125" s="1"/>
      <x:c r="J125" s="1"/>
      <x:c r="K125" s="1"/>
      <x:c r="L125" s="1"/>
      <x:c r="M125" s="1"/>
      <x:c r="N125" s="1"/>
      <x:c r="O125" s="1"/>
      <x:c r="P125" s="1"/>
      <x:c r="Q125" s="1"/>
      <x:c r="R125" s="1"/>
      <x:c r="S125" s="1"/>
      <x:c r="T125" s="1"/>
    </x:row>
    <x:row r="126" ht="18" customHeight="1">
      <x:c r="A126" s="1"/>
      <x:c r="B126" s="1"/>
      <x:c r="C126" s="1"/>
      <x:c r="D126" s="1"/>
      <x:c r="E126" s="1"/>
      <x:c r="F126" s="1"/>
      <x:c r="G126" s="1"/>
      <x:c r="H126" s="1"/>
      <x:c r="I126" s="1"/>
      <x:c r="J126" s="1"/>
      <x:c r="K126" s="1"/>
      <x:c r="L126" s="1"/>
      <x:c r="M126" s="1"/>
      <x:c r="N126" s="1"/>
      <x:c r="O126" s="1"/>
      <x:c r="P126" s="1"/>
      <x:c r="Q126" s="1"/>
      <x:c r="R126" s="1"/>
      <x:c r="S126" s="1"/>
      <x:c r="T126" s="1"/>
    </x:row>
    <x:row r="127" ht="18" customHeight="1">
      <x:c r="A127" s="1"/>
      <x:c r="B127" s="1"/>
      <x:c r="C127" s="1"/>
      <x:c r="D127" s="1"/>
      <x:c r="E127" s="1"/>
      <x:c r="F127" s="1"/>
      <x:c r="G127" s="1"/>
      <x:c r="H127" s="1"/>
      <x:c r="I127" s="1"/>
      <x:c r="J127" s="1"/>
      <x:c r="K127" s="1"/>
      <x:c r="L127" s="1"/>
      <x:c r="M127" s="1"/>
      <x:c r="N127" s="1"/>
      <x:c r="O127" s="1"/>
      <x:c r="P127" s="1"/>
      <x:c r="Q127" s="1"/>
      <x:c r="R127" s="1"/>
      <x:c r="S127" s="1"/>
      <x:c r="T127" s="1"/>
    </x:row>
    <x:row r="128" ht="18" customHeight="1">
      <x:c r="A128" s="1"/>
      <x:c r="B128" s="1"/>
      <x:c r="C128" s="1"/>
      <x:c r="D128" s="1"/>
      <x:c r="E128" s="1"/>
      <x:c r="F128" s="1"/>
      <x:c r="G128" s="1"/>
      <x:c r="H128" s="1"/>
      <x:c r="I128" s="1"/>
      <x:c r="J128" s="1"/>
      <x:c r="K128" s="1"/>
      <x:c r="L128" s="1"/>
      <x:c r="M128" s="1"/>
      <x:c r="N128" s="1"/>
      <x:c r="O128" s="1"/>
      <x:c r="P128" s="1"/>
      <x:c r="Q128" s="1"/>
      <x:c r="R128" s="1"/>
      <x:c r="S128" s="1"/>
      <x:c r="T128" s="1"/>
    </x:row>
    <x:row r="129" ht="18" customHeight="1">
      <x:c r="A129" s="1"/>
      <x:c r="B129" s="1"/>
      <x:c r="C129" s="1"/>
      <x:c r="D129" s="1"/>
      <x:c r="E129" s="1"/>
      <x:c r="F129" s="1"/>
      <x:c r="G129" s="1"/>
      <x:c r="H129" s="1"/>
      <x:c r="I129" s="1"/>
      <x:c r="J129" s="1"/>
      <x:c r="K129" s="1"/>
      <x:c r="L129" s="1"/>
      <x:c r="M129" s="1"/>
      <x:c r="N129" s="1"/>
      <x:c r="O129" s="1"/>
      <x:c r="P129" s="1"/>
      <x:c r="Q129" s="1"/>
      <x:c r="R129" s="1"/>
      <x:c r="S129" s="1"/>
      <x:c r="T129" s="1"/>
    </x:row>
    <x:row r="130" ht="18" customHeight="1">
      <x:c r="A130" s="1"/>
      <x:c r="B130" s="1"/>
      <x:c r="C130" s="1"/>
      <x:c r="D130" s="1"/>
      <x:c r="E130" s="1"/>
      <x:c r="F130" s="1"/>
      <x:c r="G130" s="1"/>
      <x:c r="H130" s="1"/>
      <x:c r="I130" s="1"/>
      <x:c r="J130" s="1"/>
      <x:c r="K130" s="1"/>
      <x:c r="L130" s="1"/>
      <x:c r="M130" s="1"/>
      <x:c r="N130" s="1"/>
      <x:c r="O130" s="1"/>
      <x:c r="P130" s="1"/>
      <x:c r="Q130" s="1"/>
      <x:c r="R130" s="1"/>
      <x:c r="S130" s="1"/>
      <x:c r="T130" s="1"/>
    </x:row>
    <x:row r="131" ht="18" customHeight="1">
      <x:c r="A131" s="1"/>
      <x:c r="B131" s="1"/>
      <x:c r="C131" s="1"/>
      <x:c r="D131" s="1"/>
      <x:c r="E131" s="1"/>
      <x:c r="F131" s="1"/>
      <x:c r="G131" s="1"/>
      <x:c r="H131" s="1"/>
      <x:c r="I131" s="1"/>
      <x:c r="J131" s="1"/>
      <x:c r="K131" s="1"/>
      <x:c r="L131" s="1"/>
      <x:c r="M131" s="1"/>
      <x:c r="N131" s="1"/>
      <x:c r="O131" s="1"/>
      <x:c r="P131" s="1"/>
      <x:c r="Q131" s="1"/>
      <x:c r="R131" s="1"/>
      <x:c r="S131" s="1"/>
      <x:c r="T131" s="1"/>
    </x:row>
    <x:row r="132" ht="18" customHeight="1">
      <x:c r="A132" s="1"/>
      <x:c r="B132" s="1"/>
      <x:c r="C132" s="1"/>
      <x:c r="D132" s="1"/>
      <x:c r="E132" s="1"/>
      <x:c r="F132" s="1"/>
      <x:c r="G132" s="1"/>
      <x:c r="H132" s="1"/>
      <x:c r="I132" s="1"/>
      <x:c r="J132" s="1"/>
      <x:c r="K132" s="1"/>
      <x:c r="L132" s="1"/>
      <x:c r="M132" s="1"/>
      <x:c r="N132" s="1"/>
      <x:c r="O132" s="1"/>
      <x:c r="P132" s="1"/>
      <x:c r="Q132" s="1"/>
      <x:c r="R132" s="1"/>
      <x:c r="S132" s="1"/>
      <x:c r="T132" s="1"/>
    </x:row>
    <x:row r="133" ht="18" customHeight="1">
      <x:c r="A133" s="1"/>
      <x:c r="B133" s="1"/>
      <x:c r="C133" s="1"/>
      <x:c r="D133" s="1"/>
      <x:c r="E133" s="1"/>
      <x:c r="F133" s="1"/>
      <x:c r="G133" s="1"/>
      <x:c r="H133" s="1"/>
      <x:c r="I133" s="1"/>
      <x:c r="J133" s="1"/>
      <x:c r="K133" s="1"/>
      <x:c r="L133" s="1"/>
      <x:c r="M133" s="1"/>
      <x:c r="N133" s="1"/>
      <x:c r="O133" s="1"/>
      <x:c r="P133" s="1"/>
      <x:c r="Q133" s="1"/>
      <x:c r="R133" s="1"/>
      <x:c r="S133" s="1"/>
      <x:c r="T133" s="1"/>
    </x:row>
    <x:row r="134" ht="18" customHeight="1">
      <x:c r="A134" s="1"/>
      <x:c r="B134" s="1"/>
      <x:c r="C134" s="1"/>
      <x:c r="D134" s="1"/>
      <x:c r="E134" s="1"/>
      <x:c r="F134" s="1"/>
      <x:c r="G134" s="1"/>
      <x:c r="H134" s="1"/>
      <x:c r="I134" s="1"/>
      <x:c r="J134" s="1"/>
      <x:c r="K134" s="1"/>
      <x:c r="L134" s="1"/>
      <x:c r="M134" s="1"/>
      <x:c r="N134" s="1"/>
      <x:c r="O134" s="1"/>
      <x:c r="P134" s="1"/>
      <x:c r="Q134" s="1"/>
      <x:c r="R134" s="1"/>
      <x:c r="S134" s="1"/>
      <x:c r="T134" s="1"/>
    </x:row>
    <x:row r="135" ht="18" customHeight="1">
      <x:c r="A135" s="1"/>
      <x:c r="B135" s="1"/>
      <x:c r="C135" s="1"/>
      <x:c r="D135" s="1"/>
      <x:c r="E135" s="1"/>
      <x:c r="F135" s="1"/>
      <x:c r="G135" s="1"/>
      <x:c r="H135" s="1"/>
      <x:c r="I135" s="1"/>
      <x:c r="J135" s="1"/>
      <x:c r="K135" s="1"/>
      <x:c r="L135" s="1"/>
      <x:c r="M135" s="1"/>
      <x:c r="N135" s="1"/>
      <x:c r="O135" s="1"/>
      <x:c r="P135" s="1"/>
      <x:c r="Q135" s="1"/>
      <x:c r="R135" s="1"/>
      <x:c r="S135" s="1"/>
      <x:c r="T135" s="1"/>
    </x:row>
    <x:row r="136" ht="18" customHeight="1">
      <x:c r="A136" s="1"/>
      <x:c r="B136" s="1"/>
      <x:c r="C136" s="1"/>
      <x:c r="D136" s="1"/>
      <x:c r="E136" s="1"/>
      <x:c r="F136" s="1"/>
      <x:c r="G136" s="1"/>
      <x:c r="H136" s="1"/>
      <x:c r="I136" s="1"/>
      <x:c r="J136" s="1"/>
      <x:c r="K136" s="1"/>
      <x:c r="L136" s="1"/>
      <x:c r="M136" s="1"/>
      <x:c r="N136" s="1"/>
      <x:c r="O136" s="1"/>
      <x:c r="P136" s="1"/>
      <x:c r="Q136" s="1"/>
      <x:c r="R136" s="1"/>
      <x:c r="S136" s="1"/>
      <x:c r="T136" s="1"/>
    </x:row>
    <x:row r="137" ht="18" customHeight="1">
      <x:c r="A137" s="1"/>
      <x:c r="B137" s="1"/>
      <x:c r="C137" s="1"/>
      <x:c r="D137" s="1"/>
      <x:c r="E137" s="1"/>
      <x:c r="F137" s="1"/>
      <x:c r="G137" s="1"/>
      <x:c r="H137" s="1"/>
      <x:c r="I137" s="1"/>
      <x:c r="J137" s="1"/>
      <x:c r="K137" s="1"/>
      <x:c r="L137" s="1"/>
      <x:c r="M137" s="1"/>
      <x:c r="N137" s="1"/>
      <x:c r="O137" s="1"/>
      <x:c r="P137" s="1"/>
      <x:c r="Q137" s="1"/>
      <x:c r="R137" s="1"/>
      <x:c r="S137" s="1"/>
      <x:c r="T137" s="1"/>
    </x:row>
    <x:row r="138" ht="18" customHeight="1">
      <x:c r="A138" s="1"/>
      <x:c r="B138" s="1"/>
      <x:c r="C138" s="1"/>
      <x:c r="D138" s="1"/>
      <x:c r="E138" s="1"/>
      <x:c r="F138" s="1"/>
      <x:c r="G138" s="1"/>
      <x:c r="H138" s="1"/>
      <x:c r="I138" s="1"/>
      <x:c r="J138" s="1"/>
      <x:c r="K138" s="1"/>
      <x:c r="L138" s="1"/>
      <x:c r="M138" s="1"/>
      <x:c r="N138" s="1"/>
      <x:c r="O138" s="1"/>
      <x:c r="P138" s="1"/>
      <x:c r="Q138" s="1"/>
      <x:c r="R138" s="1"/>
      <x:c r="S138" s="1"/>
      <x:c r="T138" s="1"/>
    </x:row>
    <x:row r="139" ht="18" customHeight="1">
      <x:c r="A139" s="1"/>
      <x:c r="B139" s="1"/>
      <x:c r="C139" s="1"/>
      <x:c r="D139" s="1"/>
      <x:c r="E139" s="1"/>
      <x:c r="F139" s="1"/>
      <x:c r="G139" s="1"/>
      <x:c r="H139" s="1"/>
      <x:c r="I139" s="1"/>
      <x:c r="J139" s="1"/>
      <x:c r="K139" s="1"/>
      <x:c r="L139" s="1"/>
      <x:c r="M139" s="1"/>
      <x:c r="N139" s="1"/>
      <x:c r="O139" s="1"/>
      <x:c r="P139" s="1"/>
      <x:c r="Q139" s="1"/>
      <x:c r="R139" s="1"/>
      <x:c r="S139" s="1"/>
      <x:c r="T139" s="1"/>
    </x:row>
    <x:row r="140" ht="18" customHeight="1">
      <x:c r="A140" s="1"/>
      <x:c r="B140" s="1"/>
      <x:c r="C140" s="1"/>
      <x:c r="D140" s="1"/>
      <x:c r="E140" s="1"/>
      <x:c r="F140" s="1"/>
      <x:c r="G140" s="1"/>
      <x:c r="H140" s="1"/>
      <x:c r="I140" s="1"/>
      <x:c r="J140" s="1"/>
      <x:c r="K140" s="1"/>
      <x:c r="L140" s="1"/>
      <x:c r="M140" s="1"/>
      <x:c r="N140" s="1"/>
      <x:c r="O140" s="1"/>
      <x:c r="P140" s="1"/>
      <x:c r="Q140" s="1"/>
      <x:c r="R140" s="1"/>
      <x:c r="S140" s="1"/>
      <x:c r="T140" s="1"/>
    </x:row>
    <x:row r="141" ht="18" customHeight="1">
      <x:c r="A141" s="1"/>
      <x:c r="B141" s="1"/>
      <x:c r="C141" s="1"/>
      <x:c r="D141" s="1"/>
      <x:c r="E141" s="1"/>
      <x:c r="F141" s="1"/>
      <x:c r="G141" s="1"/>
      <x:c r="H141" s="1"/>
      <x:c r="I141" s="1"/>
      <x:c r="J141" s="1"/>
      <x:c r="K141" s="1"/>
      <x:c r="L141" s="1"/>
      <x:c r="M141" s="1"/>
      <x:c r="N141" s="1"/>
      <x:c r="O141" s="1"/>
      <x:c r="P141" s="1"/>
      <x:c r="Q141" s="1"/>
      <x:c r="R141" s="1"/>
      <x:c r="S141" s="1"/>
      <x:c r="T141" s="1"/>
    </x:row>
    <x:row r="142" ht="18" customHeight="1">
      <x:c r="A142" s="1"/>
      <x:c r="B142" s="1"/>
      <x:c r="C142" s="1"/>
      <x:c r="D142" s="1"/>
      <x:c r="E142" s="1"/>
      <x:c r="F142" s="1"/>
      <x:c r="G142" s="1"/>
      <x:c r="H142" s="1"/>
      <x:c r="I142" s="1"/>
      <x:c r="J142" s="1"/>
      <x:c r="K142" s="1"/>
      <x:c r="L142" s="1"/>
      <x:c r="M142" s="1"/>
      <x:c r="N142" s="1"/>
      <x:c r="O142" s="1"/>
      <x:c r="P142" s="1"/>
      <x:c r="Q142" s="1"/>
      <x:c r="R142" s="1"/>
      <x:c r="S142" s="1"/>
      <x:c r="T142" s="1"/>
    </x:row>
    <x:row r="143" ht="18" customHeight="1">
      <x:c r="A143" s="1"/>
      <x:c r="B143" s="1"/>
      <x:c r="C143" s="1"/>
      <x:c r="D143" s="1"/>
      <x:c r="E143" s="1"/>
      <x:c r="F143" s="1"/>
      <x:c r="G143" s="1"/>
      <x:c r="H143" s="1"/>
      <x:c r="I143" s="1"/>
      <x:c r="J143" s="1"/>
      <x:c r="K143" s="1"/>
      <x:c r="L143" s="1"/>
      <x:c r="M143" s="1"/>
      <x:c r="N143" s="1"/>
      <x:c r="O143" s="1"/>
      <x:c r="P143" s="1"/>
      <x:c r="Q143" s="1"/>
      <x:c r="R143" s="1"/>
      <x:c r="S143" s="1"/>
      <x:c r="T143" s="1"/>
    </x:row>
    <x:row r="144" ht="18" customHeight="1">
      <x:c r="A144" s="1"/>
      <x:c r="B144" s="1"/>
      <x:c r="C144" s="1"/>
      <x:c r="D144" s="1"/>
      <x:c r="E144" s="1"/>
      <x:c r="F144" s="1"/>
      <x:c r="G144" s="1"/>
      <x:c r="H144" s="1"/>
      <x:c r="I144" s="1"/>
      <x:c r="J144" s="1"/>
      <x:c r="K144" s="1"/>
      <x:c r="L144" s="1"/>
      <x:c r="M144" s="1"/>
      <x:c r="N144" s="1"/>
      <x:c r="O144" s="1"/>
      <x:c r="P144" s="1"/>
      <x:c r="Q144" s="1"/>
      <x:c r="R144" s="1"/>
      <x:c r="S144" s="1"/>
      <x:c r="T144" s="1"/>
    </x:row>
    <x:row r="145" ht="18" customHeight="1">
      <x:c r="A145" s="1"/>
      <x:c r="B145" s="1"/>
      <x:c r="C145" s="1"/>
      <x:c r="D145" s="1"/>
      <x:c r="E145" s="1"/>
      <x:c r="F145" s="1"/>
      <x:c r="G145" s="1"/>
      <x:c r="H145" s="1"/>
      <x:c r="I145" s="1"/>
      <x:c r="J145" s="1"/>
      <x:c r="K145" s="1"/>
      <x:c r="L145" s="1"/>
      <x:c r="M145" s="1"/>
      <x:c r="N145" s="1"/>
      <x:c r="O145" s="1"/>
      <x:c r="P145" s="1"/>
      <x:c r="Q145" s="1"/>
      <x:c r="R145" s="1"/>
      <x:c r="S145" s="1"/>
      <x:c r="T145" s="1"/>
    </x:row>
    <x:row r="146" ht="18" customHeight="1">
      <x:c r="A146" s="1"/>
      <x:c r="B146" s="1"/>
      <x:c r="C146" s="1"/>
      <x:c r="D146" s="1"/>
      <x:c r="E146" s="1"/>
      <x:c r="F146" s="1"/>
      <x:c r="G146" s="1"/>
      <x:c r="H146" s="1"/>
      <x:c r="I146" s="1"/>
      <x:c r="J146" s="1"/>
      <x:c r="K146" s="1"/>
      <x:c r="L146" s="1"/>
      <x:c r="M146" s="1"/>
      <x:c r="N146" s="1"/>
      <x:c r="O146" s="1"/>
      <x:c r="P146" s="1"/>
      <x:c r="Q146" s="1"/>
      <x:c r="R146" s="1"/>
      <x:c r="S146" s="1"/>
      <x:c r="T146" s="1"/>
    </x:row>
    <x:row r="147" ht="18" customHeight="1">
      <x:c r="A147" s="1"/>
      <x:c r="B147" s="1"/>
      <x:c r="C147" s="1"/>
      <x:c r="D147" s="1"/>
      <x:c r="E147" s="1"/>
      <x:c r="F147" s="1"/>
      <x:c r="G147" s="1"/>
      <x:c r="H147" s="1"/>
      <x:c r="I147" s="1"/>
      <x:c r="J147" s="1"/>
      <x:c r="K147" s="1"/>
      <x:c r="L147" s="1"/>
      <x:c r="M147" s="1"/>
      <x:c r="N147" s="1"/>
      <x:c r="O147" s="1"/>
      <x:c r="P147" s="1"/>
      <x:c r="Q147" s="1"/>
      <x:c r="R147" s="1"/>
      <x:c r="S147" s="1"/>
      <x:c r="T147" s="1"/>
    </x:row>
    <x:row r="148" ht="18" customHeight="1">
      <x:c r="A148" s="1"/>
      <x:c r="B148" s="1"/>
      <x:c r="C148" s="1"/>
      <x:c r="D148" s="1"/>
      <x:c r="E148" s="1"/>
      <x:c r="F148" s="1"/>
      <x:c r="G148" s="1"/>
      <x:c r="H148" s="1"/>
      <x:c r="I148" s="1"/>
      <x:c r="J148" s="1"/>
      <x:c r="K148" s="1"/>
      <x:c r="L148" s="1"/>
      <x:c r="M148" s="1"/>
      <x:c r="N148" s="1"/>
      <x:c r="O148" s="1"/>
      <x:c r="P148" s="1"/>
      <x:c r="Q148" s="1"/>
      <x:c r="R148" s="1"/>
      <x:c r="S148" s="1"/>
      <x:c r="T148" s="1"/>
    </x:row>
    <x:row r="149" ht="18" customHeight="1">
      <x:c r="A149" s="1"/>
      <x:c r="B149" s="1"/>
      <x:c r="C149" s="1"/>
      <x:c r="D149" s="1"/>
      <x:c r="E149" s="1"/>
      <x:c r="F149" s="1"/>
      <x:c r="G149" s="1"/>
      <x:c r="H149" s="1"/>
      <x:c r="I149" s="1"/>
      <x:c r="J149" s="1"/>
      <x:c r="K149" s="1"/>
      <x:c r="L149" s="1"/>
      <x:c r="M149" s="1"/>
      <x:c r="N149" s="1"/>
      <x:c r="O149" s="1"/>
      <x:c r="P149" s="1"/>
      <x:c r="Q149" s="1"/>
      <x:c r="R149" s="1"/>
      <x:c r="S149" s="1"/>
      <x:c r="T149" s="1"/>
    </x:row>
    <x:row r="150" ht="18" customHeight="1">
      <x:c r="A150" s="1"/>
      <x:c r="B150" s="1"/>
      <x:c r="C150" s="1"/>
      <x:c r="D150" s="1"/>
      <x:c r="E150" s="1"/>
      <x:c r="F150" s="1"/>
      <x:c r="G150" s="1"/>
      <x:c r="H150" s="1"/>
      <x:c r="I150" s="1"/>
      <x:c r="J150" s="1"/>
      <x:c r="K150" s="1"/>
      <x:c r="L150" s="1"/>
      <x:c r="M150" s="1"/>
      <x:c r="N150" s="1"/>
      <x:c r="O150" s="1"/>
      <x:c r="P150" s="1"/>
      <x:c r="Q150" s="1"/>
      <x:c r="R150" s="1"/>
      <x:c r="S150" s="1"/>
      <x:c r="T150" s="1"/>
    </x:row>
    <x:row r="151" ht="18" customHeight="1">
      <x:c r="A151" s="1"/>
      <x:c r="B151" s="1"/>
      <x:c r="C151" s="1"/>
      <x:c r="D151" s="1"/>
      <x:c r="E151" s="1"/>
      <x:c r="F151" s="1"/>
      <x:c r="G151" s="1"/>
      <x:c r="H151" s="1"/>
      <x:c r="I151" s="1"/>
      <x:c r="J151" s="1"/>
      <x:c r="K151" s="1"/>
      <x:c r="L151" s="1"/>
      <x:c r="M151" s="1"/>
      <x:c r="N151" s="1"/>
      <x:c r="O151" s="1"/>
      <x:c r="P151" s="1"/>
      <x:c r="Q151" s="1"/>
      <x:c r="R151" s="1"/>
      <x:c r="S151" s="1"/>
      <x:c r="T151" s="1"/>
    </x:row>
    <x:row r="152" ht="18" customHeight="1">
      <x:c r="A152" s="1"/>
      <x:c r="B152" s="1"/>
      <x:c r="C152" s="1"/>
      <x:c r="D152" s="1"/>
      <x:c r="E152" s="1"/>
      <x:c r="F152" s="1"/>
      <x:c r="G152" s="1"/>
      <x:c r="H152" s="1"/>
      <x:c r="I152" s="1"/>
      <x:c r="J152" s="1"/>
      <x:c r="K152" s="1"/>
      <x:c r="L152" s="1"/>
      <x:c r="M152" s="1"/>
      <x:c r="N152" s="1"/>
      <x:c r="O152" s="1"/>
      <x:c r="P152" s="1"/>
      <x:c r="Q152" s="1"/>
      <x:c r="R152" s="1"/>
      <x:c r="S152" s="1"/>
      <x:c r="T152" s="1"/>
    </x:row>
    <x:row r="153" ht="18" customHeight="1">
      <x:c r="A153" s="1"/>
      <x:c r="B153" s="1"/>
      <x:c r="C153" s="1"/>
      <x:c r="D153" s="1"/>
      <x:c r="E153" s="1"/>
      <x:c r="F153" s="1"/>
      <x:c r="G153" s="1"/>
      <x:c r="H153" s="1"/>
      <x:c r="I153" s="1"/>
      <x:c r="J153" s="1"/>
      <x:c r="K153" s="1"/>
      <x:c r="L153" s="1"/>
      <x:c r="M153" s="1"/>
      <x:c r="N153" s="1"/>
      <x:c r="O153" s="1"/>
      <x:c r="P153" s="1"/>
      <x:c r="Q153" s="1"/>
      <x:c r="R153" s="1"/>
      <x:c r="S153" s="1"/>
      <x:c r="T153" s="1"/>
    </x:row>
    <x:row r="154" ht="18" customHeight="1">
      <x:c r="A154" s="1"/>
      <x:c r="B154" s="1"/>
      <x:c r="C154" s="1"/>
      <x:c r="D154" s="1"/>
      <x:c r="E154" s="1"/>
      <x:c r="F154" s="1"/>
      <x:c r="G154" s="1"/>
      <x:c r="H154" s="1"/>
      <x:c r="I154" s="1"/>
      <x:c r="J154" s="1"/>
      <x:c r="K154" s="1"/>
      <x:c r="L154" s="1"/>
      <x:c r="M154" s="1"/>
      <x:c r="N154" s="1"/>
      <x:c r="O154" s="1"/>
      <x:c r="P154" s="1"/>
      <x:c r="Q154" s="1"/>
      <x:c r="R154" s="1"/>
      <x:c r="S154" s="1"/>
      <x:c r="T154" s="1"/>
    </x:row>
    <x:row r="155" ht="18" customHeight="1">
      <x:c r="A155" s="1"/>
      <x:c r="B155" s="1"/>
      <x:c r="C155" s="1"/>
      <x:c r="D155" s="1"/>
      <x:c r="E155" s="1"/>
      <x:c r="F155" s="1"/>
      <x:c r="G155" s="1"/>
      <x:c r="H155" s="1"/>
      <x:c r="I155" s="1"/>
      <x:c r="J155" s="1"/>
      <x:c r="K155" s="1"/>
      <x:c r="L155" s="1"/>
      <x:c r="M155" s="1"/>
      <x:c r="N155" s="1"/>
      <x:c r="O155" s="1"/>
      <x:c r="P155" s="1"/>
      <x:c r="Q155" s="1"/>
      <x:c r="R155" s="1"/>
      <x:c r="S155" s="1"/>
      <x:c r="T155" s="1"/>
    </x:row>
    <x:row r="156" ht="18" customHeight="1">
      <x:c r="A156" s="1"/>
      <x:c r="B156" s="1"/>
      <x:c r="C156" s="1"/>
      <x:c r="D156" s="1"/>
      <x:c r="E156" s="1"/>
      <x:c r="F156" s="1"/>
      <x:c r="G156" s="1"/>
      <x:c r="H156" s="1"/>
      <x:c r="I156" s="1"/>
      <x:c r="J156" s="1"/>
      <x:c r="K156" s="1"/>
      <x:c r="L156" s="1"/>
      <x:c r="M156" s="1"/>
      <x:c r="N156" s="1"/>
      <x:c r="O156" s="1"/>
      <x:c r="P156" s="1"/>
      <x:c r="Q156" s="1"/>
      <x:c r="R156" s="1"/>
      <x:c r="S156" s="1"/>
      <x:c r="T156" s="1"/>
    </x:row>
    <x:row r="157" ht="18" customHeight="1">
      <x:c r="A157" s="1"/>
      <x:c r="B157" s="1"/>
      <x:c r="C157" s="1"/>
      <x:c r="D157" s="1"/>
      <x:c r="E157" s="1"/>
      <x:c r="F157" s="1"/>
      <x:c r="G157" s="1"/>
      <x:c r="H157" s="1"/>
      <x:c r="I157" s="1"/>
      <x:c r="J157" s="1"/>
      <x:c r="K157" s="1"/>
      <x:c r="L157" s="1"/>
      <x:c r="M157" s="1"/>
      <x:c r="N157" s="1"/>
      <x:c r="O157" s="1"/>
      <x:c r="P157" s="1"/>
      <x:c r="Q157" s="1"/>
      <x:c r="R157" s="1"/>
      <x:c r="S157" s="1"/>
      <x:c r="T157" s="1"/>
    </x:row>
    <x:row r="158" ht="18" customHeight="1">
      <x:c r="A158" s="1"/>
      <x:c r="B158" s="1"/>
      <x:c r="C158" s="1"/>
      <x:c r="D158" s="1"/>
      <x:c r="E158" s="1"/>
      <x:c r="F158" s="1"/>
      <x:c r="G158" s="1"/>
      <x:c r="H158" s="1"/>
      <x:c r="I158" s="1"/>
      <x:c r="J158" s="1"/>
      <x:c r="K158" s="1"/>
      <x:c r="L158" s="1"/>
      <x:c r="M158" s="1"/>
      <x:c r="N158" s="1"/>
      <x:c r="O158" s="1"/>
      <x:c r="P158" s="1"/>
      <x:c r="Q158" s="1"/>
      <x:c r="R158" s="1"/>
      <x:c r="S158" s="1"/>
      <x:c r="T158" s="1"/>
    </x:row>
    <x:row r="159" ht="18" customHeight="1">
      <x:c r="A159" s="1"/>
      <x:c r="B159" s="1"/>
      <x:c r="C159" s="1"/>
      <x:c r="D159" s="1"/>
      <x:c r="E159" s="1"/>
      <x:c r="F159" s="1"/>
      <x:c r="G159" s="1"/>
      <x:c r="H159" s="1"/>
      <x:c r="I159" s="1"/>
      <x:c r="J159" s="1"/>
      <x:c r="K159" s="1"/>
      <x:c r="L159" s="1"/>
      <x:c r="M159" s="1"/>
      <x:c r="N159" s="1"/>
      <x:c r="O159" s="1"/>
      <x:c r="P159" s="1"/>
      <x:c r="Q159" s="1"/>
      <x:c r="R159" s="1"/>
      <x:c r="S159" s="1"/>
      <x:c r="T159" s="1"/>
    </x:row>
    <x:row r="160" ht="18" customHeight="1">
      <x:c r="A160" s="1"/>
      <x:c r="B160" s="1"/>
      <x:c r="C160" s="1"/>
      <x:c r="D160" s="1"/>
      <x:c r="E160" s="1"/>
      <x:c r="F160" s="1"/>
      <x:c r="G160" s="1"/>
      <x:c r="H160" s="1"/>
      <x:c r="I160" s="1"/>
      <x:c r="J160" s="1"/>
      <x:c r="K160" s="1"/>
      <x:c r="L160" s="1"/>
      <x:c r="M160" s="1"/>
      <x:c r="N160" s="1"/>
      <x:c r="O160" s="1"/>
      <x:c r="P160" s="1"/>
      <x:c r="Q160" s="1"/>
      <x:c r="R160" s="1"/>
      <x:c r="S160" s="1"/>
      <x:c r="T160" s="1"/>
    </x:row>
    <x:row r="161" ht="18" customHeight="1">
      <x:c r="A161" s="1"/>
      <x:c r="B161" s="1"/>
      <x:c r="C161" s="1"/>
      <x:c r="D161" s="1"/>
      <x:c r="E161" s="1"/>
      <x:c r="F161" s="1"/>
      <x:c r="G161" s="1"/>
      <x:c r="H161" s="1"/>
      <x:c r="I161" s="1"/>
      <x:c r="J161" s="1"/>
      <x:c r="K161" s="1"/>
      <x:c r="L161" s="1"/>
      <x:c r="M161" s="1"/>
      <x:c r="N161" s="1"/>
      <x:c r="O161" s="1"/>
      <x:c r="P161" s="1"/>
      <x:c r="Q161" s="1"/>
      <x:c r="R161" s="1"/>
      <x:c r="S161" s="1"/>
      <x:c r="T161" s="1"/>
    </x:row>
    <x:row r="162" ht="18" customHeight="1">
      <x:c r="A162" s="1"/>
      <x:c r="B162" s="1"/>
      <x:c r="C162" s="1"/>
      <x:c r="D162" s="1"/>
      <x:c r="E162" s="1"/>
      <x:c r="F162" s="1"/>
      <x:c r="G162" s="1"/>
      <x:c r="H162" s="1"/>
      <x:c r="I162" s="1"/>
      <x:c r="J162" s="1"/>
      <x:c r="K162" s="1"/>
      <x:c r="L162" s="1"/>
      <x:c r="M162" s="1"/>
      <x:c r="N162" s="1"/>
      <x:c r="O162" s="1"/>
      <x:c r="P162" s="1"/>
      <x:c r="Q162" s="1"/>
      <x:c r="R162" s="1"/>
      <x:c r="S162" s="1"/>
      <x:c r="T162" s="1"/>
    </x:row>
    <x:row r="163" ht="18" customHeight="1">
      <x:c r="A163" s="1"/>
      <x:c r="B163" s="1"/>
      <x:c r="C163" s="1"/>
      <x:c r="D163" s="1"/>
      <x:c r="E163" s="1"/>
      <x:c r="F163" s="1"/>
      <x:c r="G163" s="1"/>
      <x:c r="H163" s="1"/>
      <x:c r="I163" s="1"/>
      <x:c r="J163" s="1"/>
      <x:c r="K163" s="1"/>
      <x:c r="L163" s="1"/>
      <x:c r="M163" s="1"/>
      <x:c r="N163" s="1"/>
      <x:c r="O163" s="1"/>
      <x:c r="P163" s="1"/>
      <x:c r="Q163" s="1"/>
      <x:c r="R163" s="1"/>
      <x:c r="S163" s="1"/>
      <x:c r="T163" s="1"/>
    </x:row>
    <x:row r="164" ht="18" customHeight="1">
      <x:c r="A164" s="1"/>
      <x:c r="B164" s="1"/>
      <x:c r="C164" s="1"/>
      <x:c r="D164" s="1"/>
      <x:c r="E164" s="1"/>
      <x:c r="F164" s="1"/>
      <x:c r="G164" s="1"/>
      <x:c r="H164" s="1"/>
      <x:c r="I164" s="1"/>
      <x:c r="J164" s="1"/>
      <x:c r="K164" s="1"/>
      <x:c r="L164" s="1"/>
      <x:c r="M164" s="1"/>
      <x:c r="N164" s="1"/>
      <x:c r="O164" s="1"/>
      <x:c r="P164" s="1"/>
      <x:c r="Q164" s="1"/>
      <x:c r="R164" s="1"/>
      <x:c r="S164" s="1"/>
      <x:c r="T164" s="1"/>
    </x:row>
    <x:row r="165" ht="18" customHeight="1">
      <x:c r="A165" s="1"/>
      <x:c r="B165" s="1"/>
      <x:c r="C165" s="1"/>
      <x:c r="D165" s="1"/>
      <x:c r="E165" s="1"/>
      <x:c r="F165" s="1"/>
      <x:c r="G165" s="1"/>
      <x:c r="H165" s="1"/>
      <x:c r="I165" s="1"/>
      <x:c r="J165" s="1"/>
      <x:c r="K165" s="1"/>
      <x:c r="L165" s="1"/>
      <x:c r="M165" s="1"/>
      <x:c r="N165" s="1"/>
      <x:c r="O165" s="1"/>
      <x:c r="P165" s="1"/>
      <x:c r="Q165" s="1"/>
      <x:c r="R165" s="1"/>
      <x:c r="S165" s="1"/>
      <x:c r="T165" s="1"/>
    </x:row>
    <x:row r="166" ht="18" customHeight="1">
      <x:c r="A166" s="1"/>
      <x:c r="B166" s="1"/>
      <x:c r="C166" s="1"/>
      <x:c r="D166" s="1"/>
      <x:c r="E166" s="1"/>
      <x:c r="F166" s="1"/>
      <x:c r="G166" s="1"/>
      <x:c r="H166" s="1"/>
      <x:c r="I166" s="1"/>
      <x:c r="J166" s="1"/>
      <x:c r="K166" s="1"/>
      <x:c r="L166" s="1"/>
      <x:c r="M166" s="1"/>
      <x:c r="N166" s="1"/>
      <x:c r="O166" s="1"/>
      <x:c r="P166" s="1"/>
      <x:c r="Q166" s="1"/>
      <x:c r="R166" s="1"/>
      <x:c r="S166" s="1"/>
      <x:c r="T166" s="1"/>
    </x:row>
    <x:row r="167" ht="18" customHeight="1">
      <x:c r="A167" s="1"/>
      <x:c r="B167" s="1"/>
      <x:c r="C167" s="1"/>
      <x:c r="D167" s="1"/>
      <x:c r="E167" s="1"/>
      <x:c r="F167" s="1"/>
      <x:c r="G167" s="1"/>
      <x:c r="H167" s="1"/>
      <x:c r="I167" s="1"/>
      <x:c r="J167" s="1"/>
      <x:c r="K167" s="1"/>
      <x:c r="L167" s="1"/>
      <x:c r="M167" s="1"/>
      <x:c r="N167" s="1"/>
      <x:c r="O167" s="1"/>
      <x:c r="P167" s="1"/>
      <x:c r="Q167" s="1"/>
      <x:c r="R167" s="1"/>
      <x:c r="S167" s="1"/>
      <x:c r="T167" s="1"/>
    </x:row>
    <x:row r="168" ht="18" customHeight="1">
      <x:c r="A168" s="1"/>
      <x:c r="B168" s="1"/>
      <x:c r="C168" s="1"/>
      <x:c r="D168" s="1"/>
      <x:c r="E168" s="1"/>
      <x:c r="F168" s="1"/>
      <x:c r="G168" s="1"/>
      <x:c r="H168" s="1"/>
      <x:c r="I168" s="1"/>
      <x:c r="J168" s="1"/>
      <x:c r="K168" s="1"/>
      <x:c r="L168" s="1"/>
      <x:c r="M168" s="1"/>
      <x:c r="N168" s="1"/>
      <x:c r="O168" s="1"/>
      <x:c r="P168" s="1"/>
      <x:c r="Q168" s="1"/>
      <x:c r="R168" s="1"/>
      <x:c r="S168" s="1"/>
      <x:c r="T168" s="1"/>
    </x:row>
    <x:row r="169" ht="18" customHeight="1">
      <x:c r="A169" s="1"/>
      <x:c r="B169" s="1"/>
      <x:c r="C169" s="1"/>
      <x:c r="D169" s="1"/>
      <x:c r="E169" s="1"/>
      <x:c r="F169" s="1"/>
      <x:c r="G169" s="1"/>
      <x:c r="H169" s="1"/>
      <x:c r="I169" s="1"/>
      <x:c r="J169" s="1"/>
      <x:c r="K169" s="1"/>
      <x:c r="L169" s="1"/>
      <x:c r="M169" s="1"/>
      <x:c r="N169" s="1"/>
      <x:c r="O169" s="1"/>
      <x:c r="P169" s="1"/>
      <x:c r="Q169" s="1"/>
      <x:c r="R169" s="1"/>
      <x:c r="S169" s="1"/>
      <x:c r="T169" s="1"/>
    </x:row>
    <x:row r="170" ht="18" customHeight="1">
      <x:c r="A170" s="1"/>
      <x:c r="B170" s="1"/>
      <x:c r="C170" s="1"/>
      <x:c r="D170" s="1"/>
      <x:c r="E170" s="1"/>
      <x:c r="F170" s="1"/>
      <x:c r="G170" s="1"/>
      <x:c r="H170" s="1"/>
      <x:c r="I170" s="1"/>
      <x:c r="J170" s="1"/>
      <x:c r="K170" s="1"/>
      <x:c r="L170" s="1"/>
      <x:c r="M170" s="1"/>
      <x:c r="N170" s="1"/>
      <x:c r="O170" s="1"/>
      <x:c r="P170" s="1"/>
      <x:c r="Q170" s="1"/>
      <x:c r="R170" s="1"/>
      <x:c r="S170" s="1"/>
      <x:c r="T170" s="1"/>
    </x:row>
    <x:row r="171" ht="18" customHeight="1">
      <x:c r="A171" s="1"/>
      <x:c r="B171" s="1"/>
      <x:c r="C171" s="1"/>
      <x:c r="D171" s="1"/>
      <x:c r="E171" s="1"/>
      <x:c r="F171" s="1"/>
      <x:c r="G171" s="1"/>
      <x:c r="H171" s="1"/>
      <x:c r="I171" s="1"/>
      <x:c r="J171" s="1"/>
      <x:c r="K171" s="1"/>
      <x:c r="L171" s="1"/>
      <x:c r="M171" s="1"/>
      <x:c r="N171" s="1"/>
      <x:c r="O171" s="1"/>
      <x:c r="P171" s="1"/>
      <x:c r="Q171" s="1"/>
      <x:c r="R171" s="1"/>
      <x:c r="S171" s="1"/>
      <x:c r="T171" s="1"/>
    </x:row>
    <x:row r="172" ht="18" customHeight="1">
      <x:c r="A172" s="1"/>
      <x:c r="B172" s="1"/>
      <x:c r="C172" s="1"/>
      <x:c r="D172" s="1"/>
      <x:c r="E172" s="1"/>
      <x:c r="F172" s="1"/>
      <x:c r="G172" s="1"/>
      <x:c r="H172" s="1"/>
      <x:c r="I172" s="1"/>
      <x:c r="J172" s="1"/>
      <x:c r="K172" s="1"/>
      <x:c r="L172" s="1"/>
      <x:c r="M172" s="1"/>
      <x:c r="N172" s="1"/>
      <x:c r="O172" s="1"/>
      <x:c r="P172" s="1"/>
      <x:c r="Q172" s="1"/>
      <x:c r="R172" s="1"/>
      <x:c r="S172" s="1"/>
      <x:c r="T172" s="1"/>
    </x:row>
    <x:row r="173" ht="18" customHeight="1">
      <x:c r="A173" s="1"/>
      <x:c r="B173" s="1"/>
      <x:c r="C173" s="1"/>
      <x:c r="D173" s="1"/>
      <x:c r="E173" s="1"/>
      <x:c r="F173" s="1"/>
      <x:c r="G173" s="1"/>
      <x:c r="H173" s="1"/>
      <x:c r="I173" s="1"/>
      <x:c r="J173" s="1"/>
      <x:c r="K173" s="1"/>
      <x:c r="L173" s="1"/>
      <x:c r="M173" s="1"/>
      <x:c r="N173" s="1"/>
      <x:c r="O173" s="1"/>
      <x:c r="P173" s="1"/>
      <x:c r="Q173" s="1"/>
      <x:c r="R173" s="1"/>
      <x:c r="S173" s="1"/>
      <x:c r="T173" s="1"/>
    </x:row>
    <x:row r="174" ht="18" customHeight="1">
      <x:c r="A174" s="1"/>
      <x:c r="B174" s="1"/>
      <x:c r="C174" s="1"/>
      <x:c r="D174" s="1"/>
      <x:c r="E174" s="1"/>
      <x:c r="F174" s="1"/>
      <x:c r="G174" s="1"/>
      <x:c r="H174" s="1"/>
      <x:c r="I174" s="1"/>
      <x:c r="J174" s="1"/>
      <x:c r="K174" s="1"/>
      <x:c r="L174" s="1"/>
      <x:c r="M174" s="1"/>
      <x:c r="N174" s="1"/>
      <x:c r="O174" s="1"/>
      <x:c r="P174" s="1"/>
      <x:c r="Q174" s="1"/>
      <x:c r="R174" s="1"/>
      <x:c r="S174" s="1"/>
      <x:c r="T174" s="1"/>
    </x:row>
    <x:row r="175" ht="18" customHeight="1">
      <x:c r="A175" s="1"/>
      <x:c r="B175" s="1"/>
      <x:c r="C175" s="1"/>
      <x:c r="D175" s="1"/>
      <x:c r="E175" s="1"/>
      <x:c r="F175" s="1"/>
      <x:c r="G175" s="1"/>
      <x:c r="H175" s="1"/>
      <x:c r="I175" s="1"/>
      <x:c r="J175" s="1"/>
      <x:c r="K175" s="1"/>
      <x:c r="L175" s="1"/>
      <x:c r="M175" s="1"/>
      <x:c r="N175" s="1"/>
      <x:c r="O175" s="1"/>
      <x:c r="P175" s="1"/>
      <x:c r="Q175" s="1"/>
      <x:c r="R175" s="1"/>
      <x:c r="S175" s="1"/>
      <x:c r="T175" s="1"/>
    </x:row>
    <x:row r="176" ht="18" customHeight="1">
      <x:c r="A176" s="1"/>
      <x:c r="B176" s="1"/>
      <x:c r="C176" s="1"/>
      <x:c r="D176" s="1"/>
      <x:c r="E176" s="1"/>
      <x:c r="F176" s="1"/>
      <x:c r="G176" s="1"/>
      <x:c r="H176" s="1"/>
      <x:c r="I176" s="1"/>
      <x:c r="J176" s="1"/>
      <x:c r="K176" s="1"/>
      <x:c r="L176" s="1"/>
      <x:c r="M176" s="1"/>
      <x:c r="N176" s="1"/>
      <x:c r="O176" s="1"/>
      <x:c r="P176" s="1"/>
      <x:c r="Q176" s="1"/>
      <x:c r="R176" s="1"/>
      <x:c r="S176" s="1"/>
      <x:c r="T176" s="1"/>
    </x:row>
    <x:row r="177" ht="18" customHeight="1">
      <x:c r="A177" s="1"/>
      <x:c r="B177" s="1"/>
      <x:c r="C177" s="1"/>
      <x:c r="D177" s="1"/>
      <x:c r="E177" s="1"/>
      <x:c r="F177" s="1"/>
      <x:c r="G177" s="1"/>
      <x:c r="H177" s="1"/>
      <x:c r="I177" s="1"/>
      <x:c r="J177" s="1"/>
      <x:c r="K177" s="1"/>
      <x:c r="L177" s="1"/>
      <x:c r="M177" s="1"/>
      <x:c r="N177" s="1"/>
      <x:c r="O177" s="1"/>
      <x:c r="P177" s="1"/>
      <x:c r="Q177" s="1"/>
      <x:c r="R177" s="1"/>
      <x:c r="S177" s="1"/>
      <x:c r="T177" s="1"/>
    </x:row>
    <x:row r="178" ht="18" customHeight="1">
      <x:c r="A178" s="1"/>
      <x:c r="B178" s="1"/>
      <x:c r="C178" s="1"/>
      <x:c r="D178" s="1"/>
      <x:c r="E178" s="1"/>
      <x:c r="F178" s="1"/>
      <x:c r="G178" s="1"/>
      <x:c r="H178" s="1"/>
      <x:c r="I178" s="1"/>
      <x:c r="J178" s="1"/>
      <x:c r="K178" s="1"/>
      <x:c r="L178" s="1"/>
      <x:c r="M178" s="1"/>
      <x:c r="N178" s="1"/>
      <x:c r="O178" s="1"/>
      <x:c r="P178" s="1"/>
      <x:c r="Q178" s="1"/>
      <x:c r="R178" s="1"/>
      <x:c r="S178" s="1"/>
      <x:c r="T178" s="1"/>
    </x:row>
    <x:row r="179" ht="18" customHeight="1">
      <x:c r="A179" s="1"/>
      <x:c r="B179" s="1"/>
      <x:c r="C179" s="1"/>
      <x:c r="D179" s="1"/>
      <x:c r="E179" s="1"/>
      <x:c r="F179" s="1"/>
      <x:c r="G179" s="1"/>
      <x:c r="H179" s="1"/>
      <x:c r="I179" s="1"/>
      <x:c r="J179" s="1"/>
      <x:c r="K179" s="1"/>
      <x:c r="L179" s="1"/>
      <x:c r="M179" s="1"/>
      <x:c r="N179" s="1"/>
      <x:c r="O179" s="1"/>
      <x:c r="P179" s="1"/>
      <x:c r="Q179" s="1"/>
      <x:c r="R179" s="1"/>
      <x:c r="S179" s="1"/>
      <x:c r="T179" s="1"/>
    </x:row>
    <x:row r="180" ht="18" customHeight="1">
      <x:c r="A180" s="1"/>
      <x:c r="B180" s="1"/>
      <x:c r="C180" s="1"/>
      <x:c r="D180" s="1"/>
      <x:c r="E180" s="1"/>
      <x:c r="F180" s="1"/>
      <x:c r="G180" s="1"/>
      <x:c r="H180" s="1"/>
      <x:c r="I180" s="1"/>
      <x:c r="J180" s="1"/>
      <x:c r="K180" s="1"/>
      <x:c r="L180" s="1"/>
      <x:c r="M180" s="1"/>
      <x:c r="N180" s="1"/>
      <x:c r="O180" s="1"/>
      <x:c r="P180" s="1"/>
      <x:c r="Q180" s="1"/>
      <x:c r="R180" s="1"/>
      <x:c r="S180" s="1"/>
      <x:c r="T180" s="1"/>
    </x:row>
    <x:row r="181" ht="18" customHeight="1">
      <x:c r="A181" s="1"/>
      <x:c r="B181" s="1"/>
      <x:c r="C181" s="1"/>
      <x:c r="D181" s="1"/>
      <x:c r="E181" s="1"/>
      <x:c r="F181" s="1"/>
      <x:c r="G181" s="1"/>
      <x:c r="H181" s="1"/>
      <x:c r="I181" s="1"/>
      <x:c r="J181" s="1"/>
      <x:c r="K181" s="1"/>
      <x:c r="L181" s="1"/>
      <x:c r="M181" s="1"/>
      <x:c r="N181" s="1"/>
      <x:c r="O181" s="1"/>
      <x:c r="P181" s="1"/>
      <x:c r="Q181" s="1"/>
      <x:c r="R181" s="1"/>
      <x:c r="S181" s="1"/>
      <x:c r="T181" s="1"/>
    </x:row>
    <x:row r="182" ht="18" customHeight="1">
      <x:c r="A182" s="1"/>
      <x:c r="B182" s="1"/>
      <x:c r="C182" s="1"/>
      <x:c r="D182" s="1"/>
      <x:c r="E182" s="1"/>
      <x:c r="F182" s="1"/>
      <x:c r="G182" s="1"/>
      <x:c r="H182" s="1"/>
      <x:c r="I182" s="1"/>
      <x:c r="J182" s="1"/>
      <x:c r="K182" s="1"/>
      <x:c r="L182" s="1"/>
      <x:c r="M182" s="1"/>
      <x:c r="N182" s="1"/>
      <x:c r="O182" s="1"/>
      <x:c r="P182" s="1"/>
      <x:c r="Q182" s="1"/>
      <x:c r="R182" s="1"/>
      <x:c r="S182" s="1"/>
      <x:c r="T182" s="1"/>
    </x:row>
    <x:row r="183" ht="18" customHeight="1">
      <x:c r="A183" s="1"/>
      <x:c r="B183" s="1"/>
      <x:c r="C183" s="1"/>
      <x:c r="D183" s="1"/>
      <x:c r="E183" s="1"/>
      <x:c r="F183" s="1"/>
      <x:c r="G183" s="1"/>
      <x:c r="H183" s="1"/>
      <x:c r="I183" s="1"/>
      <x:c r="J183" s="1"/>
      <x:c r="K183" s="1"/>
      <x:c r="L183" s="1"/>
      <x:c r="M183" s="1"/>
      <x:c r="N183" s="1"/>
      <x:c r="O183" s="1"/>
      <x:c r="P183" s="1"/>
      <x:c r="Q183" s="1"/>
      <x:c r="R183" s="1"/>
      <x:c r="S183" s="1"/>
      <x:c r="T183" s="1"/>
    </x:row>
    <x:row r="184" ht="18" customHeight="1">
      <x:c r="A184" s="1"/>
      <x:c r="B184" s="1"/>
      <x:c r="C184" s="1"/>
      <x:c r="D184" s="1"/>
      <x:c r="E184" s="1"/>
      <x:c r="F184" s="1"/>
      <x:c r="G184" s="1"/>
      <x:c r="H184" s="1"/>
      <x:c r="I184" s="1"/>
      <x:c r="J184" s="1"/>
      <x:c r="K184" s="1"/>
      <x:c r="L184" s="1"/>
      <x:c r="M184" s="1"/>
      <x:c r="N184" s="1"/>
      <x:c r="O184" s="1"/>
      <x:c r="P184" s="1"/>
      <x:c r="Q184" s="1"/>
      <x:c r="R184" s="1"/>
      <x:c r="S184" s="1"/>
      <x:c r="T184" s="1"/>
    </x:row>
    <x:row r="185" ht="18" customHeight="1">
      <x:c r="A185" s="1"/>
      <x:c r="B185" s="1"/>
      <x:c r="C185" s="1"/>
      <x:c r="D185" s="1"/>
      <x:c r="E185" s="1"/>
      <x:c r="F185" s="1"/>
      <x:c r="G185" s="1"/>
      <x:c r="H185" s="1"/>
      <x:c r="I185" s="1"/>
      <x:c r="J185" s="1"/>
      <x:c r="K185" s="1"/>
      <x:c r="L185" s="1"/>
      <x:c r="M185" s="1"/>
      <x:c r="N185" s="1"/>
      <x:c r="O185" s="1"/>
      <x:c r="P185" s="1"/>
      <x:c r="Q185" s="1"/>
      <x:c r="R185" s="1"/>
      <x:c r="S185" s="1"/>
      <x:c r="T185" s="1"/>
    </x:row>
    <x:row r="186" ht="18" customHeight="1">
      <x:c r="A186" s="1"/>
      <x:c r="B186" s="1"/>
      <x:c r="C186" s="1"/>
      <x:c r="D186" s="1"/>
      <x:c r="E186" s="1"/>
      <x:c r="F186" s="1"/>
      <x:c r="G186" s="1"/>
      <x:c r="H186" s="1"/>
      <x:c r="I186" s="1"/>
      <x:c r="J186" s="1"/>
      <x:c r="K186" s="1"/>
      <x:c r="L186" s="1"/>
      <x:c r="M186" s="1"/>
      <x:c r="N186" s="1"/>
      <x:c r="O186" s="1"/>
      <x:c r="P186" s="1"/>
      <x:c r="Q186" s="1"/>
      <x:c r="R186" s="1"/>
      <x:c r="S186" s="1"/>
      <x:c r="T186" s="1"/>
    </x:row>
    <x:row r="187" ht="18" customHeight="1">
      <x:c r="A187" s="1"/>
      <x:c r="B187" s="1"/>
      <x:c r="C187" s="1"/>
      <x:c r="D187" s="1"/>
      <x:c r="E187" s="1"/>
      <x:c r="F187" s="1"/>
      <x:c r="G187" s="1"/>
      <x:c r="H187" s="1"/>
      <x:c r="I187" s="1"/>
      <x:c r="J187" s="1"/>
      <x:c r="K187" s="1"/>
      <x:c r="L187" s="1"/>
      <x:c r="M187" s="1"/>
      <x:c r="N187" s="1"/>
      <x:c r="O187" s="1"/>
      <x:c r="P187" s="1"/>
      <x:c r="Q187" s="1"/>
      <x:c r="R187" s="1"/>
      <x:c r="S187" s="1"/>
      <x:c r="T187" s="1"/>
    </x:row>
    <x:row r="188" ht="18" customHeight="1">
      <x:c r="A188" s="1"/>
      <x:c r="B188" s="1"/>
      <x:c r="C188" s="1"/>
      <x:c r="D188" s="1"/>
      <x:c r="E188" s="1"/>
      <x:c r="F188" s="1"/>
      <x:c r="G188" s="1"/>
      <x:c r="H188" s="1"/>
      <x:c r="I188" s="1"/>
      <x:c r="J188" s="1"/>
      <x:c r="K188" s="1"/>
      <x:c r="L188" s="1"/>
      <x:c r="M188" s="1"/>
      <x:c r="N188" s="1"/>
      <x:c r="O188" s="1"/>
      <x:c r="P188" s="1"/>
      <x:c r="Q188" s="1"/>
      <x:c r="R188" s="1"/>
      <x:c r="S188" s="1"/>
      <x:c r="T188" s="1"/>
    </x:row>
    <x:row r="189" ht="18" customHeight="1">
      <x:c r="A189" s="1"/>
      <x:c r="B189" s="1"/>
      <x:c r="C189" s="1"/>
      <x:c r="D189" s="1"/>
      <x:c r="E189" s="1"/>
      <x:c r="F189" s="1"/>
      <x:c r="G189" s="1"/>
      <x:c r="H189" s="1"/>
      <x:c r="I189" s="1"/>
      <x:c r="J189" s="1"/>
      <x:c r="K189" s="1"/>
      <x:c r="L189" s="1"/>
      <x:c r="M189" s="1"/>
      <x:c r="N189" s="1"/>
      <x:c r="O189" s="1"/>
      <x:c r="P189" s="1"/>
      <x:c r="Q189" s="1"/>
      <x:c r="R189" s="1"/>
      <x:c r="S189" s="1"/>
      <x:c r="T189" s="1"/>
    </x:row>
    <x:row r="190" ht="18" customHeight="1">
      <x:c r="A190" s="1"/>
      <x:c r="B190" s="1"/>
      <x:c r="C190" s="1"/>
      <x:c r="D190" s="1"/>
      <x:c r="E190" s="1"/>
      <x:c r="F190" s="1"/>
      <x:c r="G190" s="1"/>
      <x:c r="H190" s="1"/>
      <x:c r="I190" s="1"/>
      <x:c r="J190" s="1"/>
      <x:c r="K190" s="1"/>
      <x:c r="L190" s="1"/>
      <x:c r="M190" s="1"/>
      <x:c r="N190" s="1"/>
      <x:c r="O190" s="1"/>
      <x:c r="P190" s="1"/>
      <x:c r="Q190" s="1"/>
      <x:c r="R190" s="1"/>
      <x:c r="S190" s="1"/>
      <x:c r="T190" s="1"/>
    </x:row>
    <x:row r="191" ht="18" customHeight="1">
      <x:c r="A191" s="1"/>
      <x:c r="B191" s="1"/>
      <x:c r="C191" s="1"/>
      <x:c r="D191" s="1"/>
      <x:c r="E191" s="1"/>
      <x:c r="F191" s="1"/>
      <x:c r="G191" s="1"/>
      <x:c r="H191" s="1"/>
      <x:c r="I191" s="1"/>
      <x:c r="J191" s="1"/>
      <x:c r="K191" s="1"/>
      <x:c r="L191" s="1"/>
      <x:c r="M191" s="1"/>
      <x:c r="N191" s="1"/>
      <x:c r="O191" s="1"/>
      <x:c r="P191" s="1"/>
      <x:c r="Q191" s="1"/>
      <x:c r="R191" s="1"/>
      <x:c r="S191" s="1"/>
      <x:c r="T191" s="1"/>
    </x:row>
    <x:row r="192" ht="18" customHeight="1">
      <x:c r="A192" s="1"/>
      <x:c r="B192" s="1"/>
      <x:c r="C192" s="1"/>
      <x:c r="D192" s="1"/>
      <x:c r="E192" s="1"/>
      <x:c r="F192" s="1"/>
      <x:c r="G192" s="1"/>
      <x:c r="H192" s="1"/>
      <x:c r="I192" s="1"/>
      <x:c r="J192" s="1"/>
      <x:c r="K192" s="1"/>
      <x:c r="L192" s="1"/>
      <x:c r="M192" s="1"/>
      <x:c r="N192" s="1"/>
      <x:c r="O192" s="1"/>
      <x:c r="P192" s="1"/>
      <x:c r="Q192" s="1"/>
      <x:c r="R192" s="1"/>
      <x:c r="S192" s="1"/>
      <x:c r="T192" s="1"/>
    </x:row>
    <x:row r="193" ht="18" customHeight="1">
      <x:c r="A193" s="1"/>
      <x:c r="B193" s="1"/>
      <x:c r="C193" s="1"/>
      <x:c r="D193" s="1"/>
      <x:c r="E193" s="1"/>
      <x:c r="F193" s="1"/>
      <x:c r="G193" s="1"/>
      <x:c r="H193" s="1"/>
      <x:c r="I193" s="1"/>
      <x:c r="J193" s="1"/>
      <x:c r="K193" s="1"/>
      <x:c r="L193" s="1"/>
      <x:c r="M193" s="1"/>
      <x:c r="N193" s="1"/>
      <x:c r="O193" s="1"/>
      <x:c r="P193" s="1"/>
      <x:c r="Q193" s="1"/>
      <x:c r="R193" s="1"/>
      <x:c r="S193" s="1"/>
      <x:c r="T193" s="1"/>
    </x:row>
    <x:row r="194" ht="18" customHeight="1">
      <x:c r="A194" s="1"/>
      <x:c r="B194" s="1"/>
      <x:c r="C194" s="1"/>
      <x:c r="D194" s="1"/>
      <x:c r="E194" s="1"/>
      <x:c r="F194" s="1"/>
      <x:c r="G194" s="1"/>
      <x:c r="H194" s="1"/>
      <x:c r="I194" s="1"/>
      <x:c r="J194" s="1"/>
      <x:c r="K194" s="1"/>
      <x:c r="L194" s="1"/>
      <x:c r="M194" s="1"/>
      <x:c r="N194" s="1"/>
      <x:c r="O194" s="1"/>
      <x:c r="P194" s="1"/>
      <x:c r="Q194" s="1"/>
      <x:c r="R194" s="1"/>
      <x:c r="S194" s="1"/>
      <x:c r="T194" s="1"/>
    </x:row>
    <x:row r="195" ht="18" customHeight="1">
      <x:c r="A195" s="1"/>
      <x:c r="B195" s="1"/>
      <x:c r="C195" s="1"/>
      <x:c r="D195" s="1"/>
      <x:c r="E195" s="1"/>
      <x:c r="F195" s="1"/>
      <x:c r="G195" s="1"/>
      <x:c r="H195" s="1"/>
      <x:c r="I195" s="1"/>
      <x:c r="J195" s="1"/>
      <x:c r="K195" s="1"/>
      <x:c r="L195" s="1"/>
      <x:c r="M195" s="1"/>
      <x:c r="N195" s="1"/>
      <x:c r="O195" s="1"/>
      <x:c r="P195" s="1"/>
      <x:c r="Q195" s="1"/>
      <x:c r="R195" s="1"/>
      <x:c r="S195" s="1"/>
      <x:c r="T195" s="1"/>
    </x:row>
    <x:row r="196" ht="18" customHeight="1">
      <x:c r="A196" s="1"/>
      <x:c r="B196" s="1"/>
      <x:c r="C196" s="1"/>
      <x:c r="D196" s="1"/>
      <x:c r="E196" s="1"/>
      <x:c r="F196" s="1"/>
      <x:c r="G196" s="1"/>
      <x:c r="H196" s="1"/>
      <x:c r="I196" s="1"/>
      <x:c r="J196" s="1"/>
      <x:c r="K196" s="1"/>
      <x:c r="L196" s="1"/>
      <x:c r="M196" s="1"/>
      <x:c r="N196" s="1"/>
      <x:c r="O196" s="1"/>
      <x:c r="P196" s="1"/>
      <x:c r="Q196" s="1"/>
      <x:c r="R196" s="1"/>
      <x:c r="S196" s="1"/>
      <x:c r="T196" s="1"/>
    </x:row>
    <x:row r="197" ht="18" customHeight="1">
      <x:c r="A197" s="1"/>
      <x:c r="B197" s="1"/>
      <x:c r="C197" s="1"/>
      <x:c r="D197" s="1"/>
      <x:c r="E197" s="1"/>
      <x:c r="F197" s="1"/>
      <x:c r="G197" s="1"/>
      <x:c r="H197" s="1"/>
      <x:c r="I197" s="1"/>
      <x:c r="J197" s="1"/>
      <x:c r="K197" s="1"/>
      <x:c r="L197" s="1"/>
      <x:c r="M197" s="1"/>
      <x:c r="N197" s="1"/>
      <x:c r="O197" s="1"/>
      <x:c r="P197" s="1"/>
      <x:c r="Q197" s="1"/>
      <x:c r="R197" s="1"/>
      <x:c r="S197" s="1"/>
      <x:c r="T197" s="1"/>
    </x:row>
    <x:row r="198" ht="18" customHeight="1">
      <x:c r="A198" s="1"/>
      <x:c r="B198" s="1"/>
      <x:c r="C198" s="1"/>
      <x:c r="D198" s="1"/>
      <x:c r="E198" s="1"/>
      <x:c r="F198" s="1"/>
      <x:c r="G198" s="1"/>
      <x:c r="H198" s="1"/>
      <x:c r="I198" s="1"/>
      <x:c r="J198" s="1"/>
      <x:c r="K198" s="1"/>
      <x:c r="L198" s="1"/>
      <x:c r="M198" s="1"/>
      <x:c r="N198" s="1"/>
      <x:c r="O198" s="1"/>
      <x:c r="P198" s="1"/>
      <x:c r="Q198" s="1"/>
      <x:c r="R198" s="1"/>
      <x:c r="S198" s="1"/>
      <x:c r="T198" s="1"/>
    </x:row>
    <x:row r="199" ht="18" customHeight="1">
      <x:c r="A199" s="1"/>
      <x:c r="B199" s="1"/>
      <x:c r="C199" s="1"/>
      <x:c r="D199" s="1"/>
      <x:c r="E199" s="1"/>
      <x:c r="F199" s="1"/>
      <x:c r="G199" s="1"/>
      <x:c r="H199" s="1"/>
      <x:c r="I199" s="1"/>
      <x:c r="J199" s="1"/>
      <x:c r="K199" s="1"/>
      <x:c r="L199" s="1"/>
      <x:c r="M199" s="1"/>
      <x:c r="N199" s="1"/>
      <x:c r="O199" s="1"/>
      <x:c r="P199" s="1"/>
      <x:c r="Q199" s="1"/>
      <x:c r="R199" s="1"/>
      <x:c r="S199" s="1"/>
      <x:c r="T199" s="1"/>
    </x:row>
    <x:row r="200" ht="18" customHeight="1">
      <x:c r="A200" s="1"/>
      <x:c r="B200" s="1"/>
      <x:c r="C200" s="1"/>
      <x:c r="D200" s="1"/>
      <x:c r="E200" s="1"/>
      <x:c r="F200" s="1"/>
      <x:c r="G200" s="1"/>
      <x:c r="H200" s="1"/>
      <x:c r="I200" s="1"/>
      <x:c r="J200" s="1"/>
      <x:c r="K200" s="1"/>
      <x:c r="L200" s="1"/>
      <x:c r="M200" s="1"/>
      <x:c r="N200" s="1"/>
      <x:c r="O200" s="1"/>
      <x:c r="P200" s="1"/>
      <x:c r="Q200" s="1"/>
      <x:c r="R200" s="1"/>
      <x:c r="S200" s="1"/>
      <x:c r="T200" s="1"/>
    </x:row>
    <x:row r="201" ht="18" customHeight="1">
      <x:c r="A201" s="1"/>
      <x:c r="B201" s="1"/>
      <x:c r="C201" s="1"/>
      <x:c r="D201" s="1"/>
      <x:c r="E201" s="1"/>
      <x:c r="F201" s="1"/>
      <x:c r="G201" s="1"/>
      <x:c r="H201" s="1"/>
      <x:c r="I201" s="1"/>
      <x:c r="J201" s="1"/>
      <x:c r="K201" s="1"/>
      <x:c r="L201" s="1"/>
      <x:c r="M201" s="1"/>
      <x:c r="N201" s="1"/>
      <x:c r="O201" s="1"/>
      <x:c r="P201" s="1"/>
      <x:c r="Q201" s="1"/>
      <x:c r="R201" s="1"/>
      <x:c r="S201" s="1"/>
      <x:c r="T201" s="1"/>
    </x:row>
    <x:row r="202" ht="18" customHeight="1">
      <x:c r="A202" s="1"/>
      <x:c r="B202" s="1"/>
      <x:c r="C202" s="1"/>
      <x:c r="D202" s="1"/>
      <x:c r="E202" s="1"/>
      <x:c r="F202" s="1"/>
      <x:c r="G202" s="1"/>
      <x:c r="H202" s="1"/>
      <x:c r="I202" s="1"/>
      <x:c r="J202" s="1"/>
      <x:c r="K202" s="1"/>
      <x:c r="L202" s="1"/>
      <x:c r="M202" s="1"/>
      <x:c r="N202" s="1"/>
      <x:c r="O202" s="1"/>
      <x:c r="P202" s="1"/>
      <x:c r="Q202" s="1"/>
      <x:c r="R202" s="1"/>
      <x:c r="S202" s="1"/>
      <x:c r="T202" s="1"/>
    </x:row>
    <x:row r="203" ht="18" customHeight="1">
      <x:c r="A203" s="1"/>
      <x:c r="B203" s="1"/>
      <x:c r="C203" s="1"/>
      <x:c r="D203" s="1"/>
      <x:c r="E203" s="1"/>
      <x:c r="F203" s="1"/>
      <x:c r="G203" s="1"/>
      <x:c r="H203" s="1"/>
      <x:c r="I203" s="1"/>
      <x:c r="J203" s="1"/>
      <x:c r="K203" s="1"/>
      <x:c r="L203" s="1"/>
      <x:c r="M203" s="1"/>
      <x:c r="N203" s="1"/>
      <x:c r="O203" s="1"/>
      <x:c r="P203" s="1"/>
      <x:c r="Q203" s="1"/>
      <x:c r="R203" s="1"/>
      <x:c r="S203" s="1"/>
      <x:c r="T203" s="1"/>
    </x:row>
    <x:row r="204" ht="18" customHeight="1">
      <x:c r="A204" s="1"/>
      <x:c r="B204" s="1"/>
      <x:c r="C204" s="1"/>
      <x:c r="D204" s="1"/>
      <x:c r="E204" s="1"/>
      <x:c r="F204" s="1"/>
      <x:c r="G204" s="1"/>
      <x:c r="H204" s="1"/>
      <x:c r="I204" s="1"/>
      <x:c r="J204" s="1"/>
      <x:c r="K204" s="1"/>
      <x:c r="L204" s="1"/>
      <x:c r="M204" s="1"/>
      <x:c r="N204" s="1"/>
      <x:c r="O204" s="1"/>
      <x:c r="P204" s="1"/>
      <x:c r="Q204" s="1"/>
      <x:c r="R204" s="1"/>
      <x:c r="S204" s="1"/>
      <x:c r="T204" s="1"/>
    </x:row>
    <x:row r="205" ht="18" customHeight="1">
      <x:c r="A205" s="1"/>
      <x:c r="B205" s="1"/>
      <x:c r="C205" s="1"/>
      <x:c r="D205" s="1"/>
      <x:c r="E205" s="1"/>
      <x:c r="F205" s="1"/>
      <x:c r="G205" s="1"/>
      <x:c r="H205" s="1"/>
      <x:c r="I205" s="1"/>
      <x:c r="J205" s="1"/>
      <x:c r="K205" s="1"/>
      <x:c r="L205" s="1"/>
      <x:c r="M205" s="1"/>
      <x:c r="N205" s="1"/>
      <x:c r="O205" s="1"/>
      <x:c r="P205" s="1"/>
      <x:c r="Q205" s="1"/>
      <x:c r="R205" s="1"/>
      <x:c r="S205" s="1"/>
      <x:c r="T205" s="1"/>
    </x:row>
    <x:row r="206" ht="18" customHeight="1">
      <x:c r="A206" s="1"/>
      <x:c r="B206" s="1"/>
      <x:c r="C206" s="1"/>
      <x:c r="D206" s="1"/>
      <x:c r="E206" s="1"/>
      <x:c r="F206" s="1"/>
      <x:c r="G206" s="1"/>
      <x:c r="H206" s="1"/>
      <x:c r="I206" s="1"/>
      <x:c r="J206" s="1"/>
      <x:c r="K206" s="1"/>
      <x:c r="L206" s="1"/>
      <x:c r="M206" s="1"/>
      <x:c r="N206" s="1"/>
      <x:c r="O206" s="1"/>
      <x:c r="P206" s="1"/>
      <x:c r="Q206" s="1"/>
      <x:c r="R206" s="1"/>
      <x:c r="S206" s="1"/>
      <x:c r="T206" s="1"/>
    </x:row>
    <x:row r="207" ht="18" customHeight="1">
      <x:c r="A207" s="1"/>
      <x:c r="B207" s="1"/>
      <x:c r="C207" s="1"/>
      <x:c r="D207" s="1"/>
      <x:c r="E207" s="1"/>
      <x:c r="F207" s="1"/>
      <x:c r="G207" s="1"/>
      <x:c r="H207" s="1"/>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sheetData>
  <x:mergeCells>
    <x:mergeCell ref="B3:H3"/>
    <x:mergeCell ref="B4:H4"/>
  </x:mergeCells>
  <x:pageMargins left="0.7" right="0.7" top="0.75" bottom="0.75" header="0.3" footer="0.3"/>
</x:worksheet>
</file>

<file path=xl/worksheets/sheet14.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6" hidden="0" customWidth="1"/>
    <x:col min="3" max="3" width="23" hidden="0" customWidth="1"/>
    <x:col min="4" max="4" width="43.0099983215332" hidden="0" customWidth="1"/>
    <x:col min="5" max="5" width="22" hidden="0" customWidth="1"/>
    <x:col min="6" max="6" width="12" hidden="0" customWidth="1"/>
    <x:col min="7" max="7" width="22" hidden="0" customWidth="1"/>
    <x:col min="8" max="8" width="35.0099983215332"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Übergabe</x:v>
      </x:c>
      <x:c r="C3" s="5"/>
      <x:c r="D3" s="5"/>
      <x:c r="E3" s="5"/>
      <x:c r="F3" s="5"/>
      <x:c r="G3" s="5"/>
      <x:c r="H3" s="5"/>
      <x:c r="I3" s="1"/>
      <x:c r="J3" s="1"/>
      <x:c r="K3" s="1"/>
      <x:c r="L3" s="1"/>
      <x:c r="M3" s="1"/>
      <x:c r="N3" s="1"/>
      <x:c r="O3" s="1"/>
      <x:c r="P3" s="1"/>
      <x:c r="Q3" s="1"/>
      <x:c r="R3" s="1"/>
      <x:c r="S3" s="1"/>
      <x:c r="T3" s="1"/>
    </x:row>
    <x:row r="4" ht="20.017499923706055" customHeight="1">
      <x:c r="A4" s="1"/>
      <x:c r="B4" s="8" t="str">
        <x:v>Übernahme, Jahreswechsel und geordnete Übergabe · offene Klärungen in „Offene Vorgänge“</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14" t="str">
        <x:v>Nr.</x:v>
      </x:c>
      <x:c r="C7" s="14" t="str">
        <x:v>Bereich</x:v>
      </x:c>
      <x:c r="D7" s="14" t="str">
        <x:v>Information / Unterlage</x:v>
      </x:c>
      <x:c r="E7" s="14" t="str">
        <x:v>Quelle / zuständig</x:v>
      </x:c>
      <x:c r="F7" s="14" t="str">
        <x:v>Stand</x:v>
      </x:c>
      <x:c r="G7" s="14" t="str">
        <x:v>Ablage</x:v>
      </x:c>
      <x:c r="H7" s="14" t="str">
        <x:v>Notiz</x:v>
      </x:c>
      <x:c r="I7" s="1"/>
      <x:c r="J7" s="1"/>
      <x:c r="K7" s="1"/>
      <x:c r="L7" s="1"/>
      <x:c r="M7" s="1"/>
      <x:c r="N7" s="1"/>
      <x:c r="O7" s="1"/>
      <x:c r="P7" s="1"/>
      <x:c r="Q7" s="1"/>
      <x:c r="R7" s="1"/>
      <x:c r="S7" s="1"/>
      <x:c r="T7" s="1"/>
    </x:row>
    <x:row r="8" ht="18" customHeight="1">
      <x:c r="A8" s="1"/>
      <x:c r="B8" s="19" t="n">
        <x:v>1</x:v>
      </x:c>
      <x:c r="C8" s="27"/>
      <x:c r="D8" s="27"/>
      <x:c r="E8" s="27"/>
      <x:c r="F8" s="27"/>
      <x:c r="G8" s="27"/>
      <x:c r="H8" s="27"/>
      <x:c r="I8" s="1"/>
      <x:c r="J8" s="1"/>
      <x:c r="K8" s="1"/>
      <x:c r="L8" s="1"/>
      <x:c r="M8" s="1"/>
      <x:c r="N8" s="1"/>
      <x:c r="O8" s="1"/>
      <x:c r="P8" s="1"/>
      <x:c r="Q8" s="1"/>
      <x:c r="R8" s="1"/>
      <x:c r="S8" s="1"/>
      <x:c r="T8" s="1"/>
    </x:row>
    <x:row r="9" ht="18" customHeight="1">
      <x:c r="A9" s="1"/>
      <x:c r="B9" s="19" t="n">
        <x:v>2</x:v>
      </x:c>
      <x:c r="C9" s="27"/>
      <x:c r="D9" s="27"/>
      <x:c r="E9" s="27"/>
      <x:c r="F9" s="27"/>
      <x:c r="G9" s="27"/>
      <x:c r="H9" s="27"/>
      <x:c r="I9" s="1"/>
      <x:c r="J9" s="1"/>
      <x:c r="K9" s="1"/>
      <x:c r="L9" s="1"/>
      <x:c r="M9" s="1"/>
      <x:c r="N9" s="1"/>
      <x:c r="O9" s="1"/>
      <x:c r="P9" s="1"/>
      <x:c r="Q9" s="1"/>
      <x:c r="R9" s="1"/>
      <x:c r="S9" s="1"/>
      <x:c r="T9" s="1"/>
    </x:row>
    <x:row r="10" ht="18" customHeight="1">
      <x:c r="A10" s="1"/>
      <x:c r="B10" s="19" t="n">
        <x:v>3</x:v>
      </x:c>
      <x:c r="C10" s="27"/>
      <x:c r="D10" s="27"/>
      <x:c r="E10" s="27"/>
      <x:c r="F10" s="27"/>
      <x:c r="G10" s="27"/>
      <x:c r="H10" s="27"/>
      <x:c r="I10" s="1"/>
      <x:c r="J10" s="1"/>
      <x:c r="K10" s="1"/>
      <x:c r="L10" s="1"/>
      <x:c r="M10" s="1"/>
      <x:c r="N10" s="1"/>
      <x:c r="O10" s="1"/>
      <x:c r="P10" s="1"/>
      <x:c r="Q10" s="1"/>
      <x:c r="R10" s="1"/>
      <x:c r="S10" s="1"/>
      <x:c r="T10" s="1"/>
    </x:row>
    <x:row r="11" ht="18" customHeight="1">
      <x:c r="A11" s="1"/>
      <x:c r="B11" s="19" t="n">
        <x:v>4</x:v>
      </x:c>
      <x:c r="C11" s="27"/>
      <x:c r="D11" s="27"/>
      <x:c r="E11" s="27"/>
      <x:c r="F11" s="27"/>
      <x:c r="G11" s="27"/>
      <x:c r="H11" s="27"/>
      <x:c r="I11" s="1"/>
      <x:c r="J11" s="1"/>
      <x:c r="K11" s="1"/>
      <x:c r="L11" s="1"/>
      <x:c r="M11" s="1"/>
      <x:c r="N11" s="1"/>
      <x:c r="O11" s="1"/>
      <x:c r="P11" s="1"/>
      <x:c r="Q11" s="1"/>
      <x:c r="R11" s="1"/>
      <x:c r="S11" s="1"/>
      <x:c r="T11" s="1"/>
    </x:row>
    <x:row r="12" ht="18" customHeight="1">
      <x:c r="A12" s="1"/>
      <x:c r="B12" s="19" t="n">
        <x:v>5</x:v>
      </x:c>
      <x:c r="C12" s="27"/>
      <x:c r="D12" s="27"/>
      <x:c r="E12" s="27"/>
      <x:c r="F12" s="27"/>
      <x:c r="G12" s="27"/>
      <x:c r="H12" s="27"/>
      <x:c r="I12" s="1"/>
      <x:c r="J12" s="1"/>
      <x:c r="K12" s="1"/>
      <x:c r="L12" s="1"/>
      <x:c r="M12" s="1"/>
      <x:c r="N12" s="1"/>
      <x:c r="O12" s="1"/>
      <x:c r="P12" s="1"/>
      <x:c r="Q12" s="1"/>
      <x:c r="R12" s="1"/>
      <x:c r="S12" s="1"/>
      <x:c r="T12" s="1"/>
    </x:row>
    <x:row r="13" ht="18" customHeight="1">
      <x:c r="A13" s="1"/>
      <x:c r="B13" s="19" t="n">
        <x:v>6</x:v>
      </x:c>
      <x:c r="C13" s="27"/>
      <x:c r="D13" s="27"/>
      <x:c r="E13" s="27"/>
      <x:c r="F13" s="27"/>
      <x:c r="G13" s="27"/>
      <x:c r="H13" s="27"/>
      <x:c r="I13" s="1"/>
      <x:c r="J13" s="1"/>
      <x:c r="K13" s="1"/>
      <x:c r="L13" s="1"/>
      <x:c r="M13" s="1"/>
      <x:c r="N13" s="1"/>
      <x:c r="O13" s="1"/>
      <x:c r="P13" s="1"/>
      <x:c r="Q13" s="1"/>
      <x:c r="R13" s="1"/>
      <x:c r="S13" s="1"/>
      <x:c r="T13" s="1"/>
    </x:row>
    <x:row r="14" ht="18" customHeight="1">
      <x:c r="A14" s="1"/>
      <x:c r="B14" s="19" t="n">
        <x:v>7</x:v>
      </x:c>
      <x:c r="C14" s="27"/>
      <x:c r="D14" s="27"/>
      <x:c r="E14" s="27"/>
      <x:c r="F14" s="27"/>
      <x:c r="G14" s="27"/>
      <x:c r="H14" s="27"/>
      <x:c r="I14" s="1"/>
      <x:c r="J14" s="1"/>
      <x:c r="K14" s="1"/>
      <x:c r="L14" s="1"/>
      <x:c r="M14" s="1"/>
      <x:c r="N14" s="1"/>
      <x:c r="O14" s="1"/>
      <x:c r="P14" s="1"/>
      <x:c r="Q14" s="1"/>
      <x:c r="R14" s="1"/>
      <x:c r="S14" s="1"/>
      <x:c r="T14" s="1"/>
    </x:row>
    <x:row r="15" ht="18" customHeight="1">
      <x:c r="A15" s="1"/>
      <x:c r="B15" s="19" t="n">
        <x:v>8</x:v>
      </x:c>
      <x:c r="C15" s="27"/>
      <x:c r="D15" s="27"/>
      <x:c r="E15" s="27"/>
      <x:c r="F15" s="27"/>
      <x:c r="G15" s="27"/>
      <x:c r="H15" s="27"/>
      <x:c r="I15" s="1"/>
      <x:c r="J15" s="1"/>
      <x:c r="K15" s="1"/>
      <x:c r="L15" s="1"/>
      <x:c r="M15" s="1"/>
      <x:c r="N15" s="1"/>
      <x:c r="O15" s="1"/>
      <x:c r="P15" s="1"/>
      <x:c r="Q15" s="1"/>
      <x:c r="R15" s="1"/>
      <x:c r="S15" s="1"/>
      <x:c r="T15" s="1"/>
    </x:row>
    <x:row r="16" ht="18" customHeight="1">
      <x:c r="A16" s="1"/>
      <x:c r="B16" s="19" t="n">
        <x:v>9</x:v>
      </x:c>
      <x:c r="C16" s="27"/>
      <x:c r="D16" s="27"/>
      <x:c r="E16" s="27"/>
      <x:c r="F16" s="27"/>
      <x:c r="G16" s="27"/>
      <x:c r="H16" s="27"/>
      <x:c r="I16" s="1"/>
      <x:c r="J16" s="1"/>
      <x:c r="K16" s="1"/>
      <x:c r="L16" s="1"/>
      <x:c r="M16" s="1"/>
      <x:c r="N16" s="1"/>
      <x:c r="O16" s="1"/>
      <x:c r="P16" s="1"/>
      <x:c r="Q16" s="1"/>
      <x:c r="R16" s="1"/>
      <x:c r="S16" s="1"/>
      <x:c r="T16" s="1"/>
    </x:row>
    <x:row r="17" ht="18" customHeight="1">
      <x:c r="A17" s="1"/>
      <x:c r="B17" s="19" t="n">
        <x:v>10</x:v>
      </x:c>
      <x:c r="C17" s="27"/>
      <x:c r="D17" s="27"/>
      <x:c r="E17" s="27"/>
      <x:c r="F17" s="27"/>
      <x:c r="G17" s="27"/>
      <x:c r="H17" s="27"/>
      <x:c r="I17" s="1"/>
      <x:c r="J17" s="1"/>
      <x:c r="K17" s="1"/>
      <x:c r="L17" s="1"/>
      <x:c r="M17" s="1"/>
      <x:c r="N17" s="1"/>
      <x:c r="O17" s="1"/>
      <x:c r="P17" s="1"/>
      <x:c r="Q17" s="1"/>
      <x:c r="R17" s="1"/>
      <x:c r="S17" s="1"/>
      <x:c r="T17" s="1"/>
    </x:row>
    <x:row r="18" ht="18" customHeight="1">
      <x:c r="A18" s="1"/>
      <x:c r="B18" s="19" t="n">
        <x:v>11</x:v>
      </x:c>
      <x:c r="C18" s="27"/>
      <x:c r="D18" s="27"/>
      <x:c r="E18" s="27"/>
      <x:c r="F18" s="27"/>
      <x:c r="G18" s="27"/>
      <x:c r="H18" s="27"/>
      <x:c r="I18" s="1"/>
      <x:c r="J18" s="1"/>
      <x:c r="K18" s="1"/>
      <x:c r="L18" s="1"/>
      <x:c r="M18" s="1"/>
      <x:c r="N18" s="1"/>
      <x:c r="O18" s="1"/>
      <x:c r="P18" s="1"/>
      <x:c r="Q18" s="1"/>
      <x:c r="R18" s="1"/>
      <x:c r="S18" s="1"/>
      <x:c r="T18" s="1"/>
    </x:row>
    <x:row r="19" ht="18" customHeight="1">
      <x:c r="A19" s="1"/>
      <x:c r="B19" s="19" t="n">
        <x:v>12</x:v>
      </x:c>
      <x:c r="C19" s="27"/>
      <x:c r="D19" s="27"/>
      <x:c r="E19" s="27"/>
      <x:c r="F19" s="27"/>
      <x:c r="G19" s="27"/>
      <x:c r="H19" s="27"/>
      <x:c r="I19" s="1"/>
      <x:c r="J19" s="1"/>
      <x:c r="K19" s="1"/>
      <x:c r="L19" s="1"/>
      <x:c r="M19" s="1"/>
      <x:c r="N19" s="1"/>
      <x:c r="O19" s="1"/>
      <x:c r="P19" s="1"/>
      <x:c r="Q19" s="1"/>
      <x:c r="R19" s="1"/>
      <x:c r="S19" s="1"/>
      <x:c r="T19" s="1"/>
    </x:row>
    <x:row r="20" ht="18" customHeight="1">
      <x:c r="A20" s="1"/>
      <x:c r="B20" s="19" t="n">
        <x:v>13</x:v>
      </x:c>
      <x:c r="C20" s="27"/>
      <x:c r="D20" s="27"/>
      <x:c r="E20" s="27"/>
      <x:c r="F20" s="27"/>
      <x:c r="G20" s="27"/>
      <x:c r="H20" s="27"/>
      <x:c r="I20" s="1"/>
      <x:c r="J20" s="1"/>
      <x:c r="K20" s="1"/>
      <x:c r="L20" s="1"/>
      <x:c r="M20" s="1"/>
      <x:c r="N20" s="1"/>
      <x:c r="O20" s="1"/>
      <x:c r="P20" s="1"/>
      <x:c r="Q20" s="1"/>
      <x:c r="R20" s="1"/>
      <x:c r="S20" s="1"/>
      <x:c r="T20" s="1"/>
    </x:row>
    <x:row r="21" ht="18" customHeight="1">
      <x:c r="A21" s="1"/>
      <x:c r="B21" s="19" t="n">
        <x:v>14</x:v>
      </x:c>
      <x:c r="C21" s="27"/>
      <x:c r="D21" s="27"/>
      <x:c r="E21" s="27"/>
      <x:c r="F21" s="27"/>
      <x:c r="G21" s="27"/>
      <x:c r="H21" s="27"/>
      <x:c r="I21" s="1"/>
      <x:c r="J21" s="1"/>
      <x:c r="K21" s="1"/>
      <x:c r="L21" s="1"/>
      <x:c r="M21" s="1"/>
      <x:c r="N21" s="1"/>
      <x:c r="O21" s="1"/>
      <x:c r="P21" s="1"/>
      <x:c r="Q21" s="1"/>
      <x:c r="R21" s="1"/>
      <x:c r="S21" s="1"/>
      <x:c r="T21" s="1"/>
    </x:row>
    <x:row r="22" ht="18" customHeight="1">
      <x:c r="A22" s="1"/>
      <x:c r="B22" s="19" t="n">
        <x:v>15</x:v>
      </x:c>
      <x:c r="C22" s="27"/>
      <x:c r="D22" s="27"/>
      <x:c r="E22" s="27"/>
      <x:c r="F22" s="27"/>
      <x:c r="G22" s="27"/>
      <x:c r="H22" s="27"/>
      <x:c r="I22" s="1"/>
      <x:c r="J22" s="1"/>
      <x:c r="K22" s="1"/>
      <x:c r="L22" s="1"/>
      <x:c r="M22" s="1"/>
      <x:c r="N22" s="1"/>
      <x:c r="O22" s="1"/>
      <x:c r="P22" s="1"/>
      <x:c r="Q22" s="1"/>
      <x:c r="R22" s="1"/>
      <x:c r="S22" s="1"/>
      <x:c r="T22" s="1"/>
    </x:row>
    <x:row r="23" ht="18" customHeight="1">
      <x:c r="A23" s="1"/>
      <x:c r="B23" s="19" t="n">
        <x:v>16</x:v>
      </x:c>
      <x:c r="C23" s="27"/>
      <x:c r="D23" s="27"/>
      <x:c r="E23" s="27"/>
      <x:c r="F23" s="27"/>
      <x:c r="G23" s="27"/>
      <x:c r="H23" s="27"/>
      <x:c r="I23" s="1"/>
      <x:c r="J23" s="1"/>
      <x:c r="K23" s="1"/>
      <x:c r="L23" s="1"/>
      <x:c r="M23" s="1"/>
      <x:c r="N23" s="1"/>
      <x:c r="O23" s="1"/>
      <x:c r="P23" s="1"/>
      <x:c r="Q23" s="1"/>
      <x:c r="R23" s="1"/>
      <x:c r="S23" s="1"/>
      <x:c r="T23" s="1"/>
    </x:row>
    <x:row r="24" ht="18" customHeight="1">
      <x:c r="A24" s="1"/>
      <x:c r="B24" s="19" t="n">
        <x:v>17</x:v>
      </x:c>
      <x:c r="C24" s="27"/>
      <x:c r="D24" s="27"/>
      <x:c r="E24" s="27"/>
      <x:c r="F24" s="27"/>
      <x:c r="G24" s="27"/>
      <x:c r="H24" s="27"/>
      <x:c r="I24" s="1"/>
      <x:c r="J24" s="1"/>
      <x:c r="K24" s="1"/>
      <x:c r="L24" s="1"/>
      <x:c r="M24" s="1"/>
      <x:c r="N24" s="1"/>
      <x:c r="O24" s="1"/>
      <x:c r="P24" s="1"/>
      <x:c r="Q24" s="1"/>
      <x:c r="R24" s="1"/>
      <x:c r="S24" s="1"/>
      <x:c r="T24" s="1"/>
    </x:row>
    <x:row r="25" ht="18" customHeight="1">
      <x:c r="A25" s="1"/>
      <x:c r="B25" s="19" t="n">
        <x:v>18</x:v>
      </x:c>
      <x:c r="C25" s="27"/>
      <x:c r="D25" s="27"/>
      <x:c r="E25" s="27"/>
      <x:c r="F25" s="27"/>
      <x:c r="G25" s="27"/>
      <x:c r="H25" s="27"/>
      <x:c r="I25" s="1"/>
      <x:c r="J25" s="1"/>
      <x:c r="K25" s="1"/>
      <x:c r="L25" s="1"/>
      <x:c r="M25" s="1"/>
      <x:c r="N25" s="1"/>
      <x:c r="O25" s="1"/>
      <x:c r="P25" s="1"/>
      <x:c r="Q25" s="1"/>
      <x:c r="R25" s="1"/>
      <x:c r="S25" s="1"/>
      <x:c r="T25" s="1"/>
    </x:row>
    <x:row r="26" ht="18" customHeight="1">
      <x:c r="A26" s="1"/>
      <x:c r="B26" s="19" t="n">
        <x:v>19</x:v>
      </x:c>
      <x:c r="C26" s="27"/>
      <x:c r="D26" s="27"/>
      <x:c r="E26" s="27"/>
      <x:c r="F26" s="27"/>
      <x:c r="G26" s="27"/>
      <x:c r="H26" s="27"/>
      <x:c r="I26" s="1"/>
      <x:c r="J26" s="1"/>
      <x:c r="K26" s="1"/>
      <x:c r="L26" s="1"/>
      <x:c r="M26" s="1"/>
      <x:c r="N26" s="1"/>
      <x:c r="O26" s="1"/>
      <x:c r="P26" s="1"/>
      <x:c r="Q26" s="1"/>
      <x:c r="R26" s="1"/>
      <x:c r="S26" s="1"/>
      <x:c r="T26" s="1"/>
    </x:row>
    <x:row r="27" ht="18" customHeight="1">
      <x:c r="A27" s="1"/>
      <x:c r="B27" s="19" t="n">
        <x:v>20</x:v>
      </x:c>
      <x:c r="C27" s="27"/>
      <x:c r="D27" s="27"/>
      <x:c r="E27" s="27"/>
      <x:c r="F27" s="27"/>
      <x:c r="G27" s="27"/>
      <x:c r="H27" s="27"/>
      <x:c r="I27" s="1"/>
      <x:c r="J27" s="1"/>
      <x:c r="K27" s="1"/>
      <x:c r="L27" s="1"/>
      <x:c r="M27" s="1"/>
      <x:c r="N27" s="1"/>
      <x:c r="O27" s="1"/>
      <x:c r="P27" s="1"/>
      <x:c r="Q27" s="1"/>
      <x:c r="R27" s="1"/>
      <x:c r="S27" s="1"/>
      <x:c r="T27" s="1"/>
    </x:row>
    <x:row r="28" ht="18" customHeight="1">
      <x:c r="A28" s="1"/>
      <x:c r="B28" s="19" t="n">
        <x:v>21</x:v>
      </x:c>
      <x:c r="C28" s="27"/>
      <x:c r="D28" s="27"/>
      <x:c r="E28" s="27"/>
      <x:c r="F28" s="27"/>
      <x:c r="G28" s="27"/>
      <x:c r="H28" s="27"/>
      <x:c r="I28" s="1"/>
      <x:c r="J28" s="1"/>
      <x:c r="K28" s="1"/>
      <x:c r="L28" s="1"/>
      <x:c r="M28" s="1"/>
      <x:c r="N28" s="1"/>
      <x:c r="O28" s="1"/>
      <x:c r="P28" s="1"/>
      <x:c r="Q28" s="1"/>
      <x:c r="R28" s="1"/>
      <x:c r="S28" s="1"/>
      <x:c r="T28" s="1"/>
    </x:row>
    <x:row r="29" ht="18" customHeight="1">
      <x:c r="A29" s="1"/>
      <x:c r="B29" s="19" t="n">
        <x:v>22</x:v>
      </x:c>
      <x:c r="C29" s="27"/>
      <x:c r="D29" s="27"/>
      <x:c r="E29" s="27"/>
      <x:c r="F29" s="27"/>
      <x:c r="G29" s="27"/>
      <x:c r="H29" s="27"/>
      <x:c r="I29" s="1"/>
      <x:c r="J29" s="1"/>
      <x:c r="K29" s="1"/>
      <x:c r="L29" s="1"/>
      <x:c r="M29" s="1"/>
      <x:c r="N29" s="1"/>
      <x:c r="O29" s="1"/>
      <x:c r="P29" s="1"/>
      <x:c r="Q29" s="1"/>
      <x:c r="R29" s="1"/>
      <x:c r="S29" s="1"/>
      <x:c r="T29" s="1"/>
    </x:row>
    <x:row r="30" ht="18" customHeight="1">
      <x:c r="A30" s="1"/>
      <x:c r="B30" s="19" t="n">
        <x:v>23</x:v>
      </x:c>
      <x:c r="C30" s="27"/>
      <x:c r="D30" s="27"/>
      <x:c r="E30" s="27"/>
      <x:c r="F30" s="27"/>
      <x:c r="G30" s="27"/>
      <x:c r="H30" s="27"/>
      <x:c r="I30" s="1"/>
      <x:c r="J30" s="1"/>
      <x:c r="K30" s="1"/>
      <x:c r="L30" s="1"/>
      <x:c r="M30" s="1"/>
      <x:c r="N30" s="1"/>
      <x:c r="O30" s="1"/>
      <x:c r="P30" s="1"/>
      <x:c r="Q30" s="1"/>
      <x:c r="R30" s="1"/>
      <x:c r="S30" s="1"/>
      <x:c r="T30" s="1"/>
    </x:row>
    <x:row r="31" ht="18" customHeight="1">
      <x:c r="A31" s="1"/>
      <x:c r="B31" s="19" t="n">
        <x:v>24</x:v>
      </x:c>
      <x:c r="C31" s="27"/>
      <x:c r="D31" s="27"/>
      <x:c r="E31" s="27"/>
      <x:c r="F31" s="27"/>
      <x:c r="G31" s="27"/>
      <x:c r="H31" s="27"/>
      <x:c r="I31" s="1"/>
      <x:c r="J31" s="1"/>
      <x:c r="K31" s="1"/>
      <x:c r="L31" s="1"/>
      <x:c r="M31" s="1"/>
      <x:c r="N31" s="1"/>
      <x:c r="O31" s="1"/>
      <x:c r="P31" s="1"/>
      <x:c r="Q31" s="1"/>
      <x:c r="R31" s="1"/>
      <x:c r="S31" s="1"/>
      <x:c r="T31" s="1"/>
    </x:row>
    <x:row r="32" ht="18" customHeight="1">
      <x:c r="A32" s="1"/>
      <x:c r="B32" s="19" t="n">
        <x:v>25</x:v>
      </x:c>
      <x:c r="C32" s="27"/>
      <x:c r="D32" s="27"/>
      <x:c r="E32" s="27"/>
      <x:c r="F32" s="27"/>
      <x:c r="G32" s="27"/>
      <x:c r="H32" s="27"/>
      <x:c r="I32" s="1"/>
      <x:c r="J32" s="1"/>
      <x:c r="K32" s="1"/>
      <x:c r="L32" s="1"/>
      <x:c r="M32" s="1"/>
      <x:c r="N32" s="1"/>
      <x:c r="O32" s="1"/>
      <x:c r="P32" s="1"/>
      <x:c r="Q32" s="1"/>
      <x:c r="R32" s="1"/>
      <x:c r="S32" s="1"/>
      <x:c r="T32" s="1"/>
    </x:row>
    <x:row r="33" ht="18" customHeight="1">
      <x:c r="A33" s="1"/>
      <x:c r="B33" s="19" t="n">
        <x:v>26</x:v>
      </x:c>
      <x:c r="C33" s="27"/>
      <x:c r="D33" s="27"/>
      <x:c r="E33" s="27"/>
      <x:c r="F33" s="27"/>
      <x:c r="G33" s="27"/>
      <x:c r="H33" s="27"/>
      <x:c r="I33" s="1"/>
      <x:c r="J33" s="1"/>
      <x:c r="K33" s="1"/>
      <x:c r="L33" s="1"/>
      <x:c r="M33" s="1"/>
      <x:c r="N33" s="1"/>
      <x:c r="O33" s="1"/>
      <x:c r="P33" s="1"/>
      <x:c r="Q33" s="1"/>
      <x:c r="R33" s="1"/>
      <x:c r="S33" s="1"/>
      <x:c r="T33" s="1"/>
    </x:row>
    <x:row r="34" ht="18" customHeight="1">
      <x:c r="A34" s="1"/>
      <x:c r="B34" s="19" t="n">
        <x:v>27</x:v>
      </x:c>
      <x:c r="C34" s="27"/>
      <x:c r="D34" s="27"/>
      <x:c r="E34" s="27"/>
      <x:c r="F34" s="27"/>
      <x:c r="G34" s="27"/>
      <x:c r="H34" s="27"/>
      <x:c r="I34" s="1"/>
      <x:c r="J34" s="1"/>
      <x:c r="K34" s="1"/>
      <x:c r="L34" s="1"/>
      <x:c r="M34" s="1"/>
      <x:c r="N34" s="1"/>
      <x:c r="O34" s="1"/>
      <x:c r="P34" s="1"/>
      <x:c r="Q34" s="1"/>
      <x:c r="R34" s="1"/>
      <x:c r="S34" s="1"/>
      <x:c r="T34" s="1"/>
    </x:row>
    <x:row r="35" ht="18" customHeight="1">
      <x:c r="A35" s="1"/>
      <x:c r="B35" s="19" t="n">
        <x:v>28</x:v>
      </x:c>
      <x:c r="C35" s="27"/>
      <x:c r="D35" s="27"/>
      <x:c r="E35" s="27"/>
      <x:c r="F35" s="27"/>
      <x:c r="G35" s="27"/>
      <x:c r="H35" s="27"/>
      <x:c r="I35" s="1"/>
      <x:c r="J35" s="1"/>
      <x:c r="K35" s="1"/>
      <x:c r="L35" s="1"/>
      <x:c r="M35" s="1"/>
      <x:c r="N35" s="1"/>
      <x:c r="O35" s="1"/>
      <x:c r="P35" s="1"/>
      <x:c r="Q35" s="1"/>
      <x:c r="R35" s="1"/>
      <x:c r="S35" s="1"/>
      <x:c r="T35" s="1"/>
    </x:row>
    <x:row r="36" ht="18" customHeight="1">
      <x:c r="A36" s="1"/>
      <x:c r="B36" s="19" t="n">
        <x:v>29</x:v>
      </x:c>
      <x:c r="C36" s="27"/>
      <x:c r="D36" s="27"/>
      <x:c r="E36" s="27"/>
      <x:c r="F36" s="27"/>
      <x:c r="G36" s="27"/>
      <x:c r="H36" s="27"/>
      <x:c r="I36" s="1"/>
      <x:c r="J36" s="1"/>
      <x:c r="K36" s="1"/>
      <x:c r="L36" s="1"/>
      <x:c r="M36" s="1"/>
      <x:c r="N36" s="1"/>
      <x:c r="O36" s="1"/>
      <x:c r="P36" s="1"/>
      <x:c r="Q36" s="1"/>
      <x:c r="R36" s="1"/>
      <x:c r="S36" s="1"/>
      <x:c r="T36" s="1"/>
    </x:row>
    <x:row r="37" ht="18" customHeight="1">
      <x:c r="A37" s="1"/>
      <x:c r="B37" s="19" t="n">
        <x:v>30</x:v>
      </x:c>
      <x:c r="C37" s="27"/>
      <x:c r="D37" s="27"/>
      <x:c r="E37" s="27"/>
      <x:c r="F37" s="27"/>
      <x:c r="G37" s="27"/>
      <x:c r="H37" s="27"/>
      <x:c r="I37" s="1"/>
      <x:c r="J37" s="1"/>
      <x:c r="K37" s="1"/>
      <x:c r="L37" s="1"/>
      <x:c r="M37" s="1"/>
      <x:c r="N37" s="1"/>
      <x:c r="O37" s="1"/>
      <x:c r="P37" s="1"/>
      <x:c r="Q37" s="1"/>
      <x:c r="R37" s="1"/>
      <x:c r="S37" s="1"/>
      <x:c r="T37" s="1"/>
    </x:row>
    <x:row r="38" ht="18" customHeight="1">
      <x:c r="A38" s="1"/>
      <x:c r="B38" s="19" t="n">
        <x:v>31</x:v>
      </x:c>
      <x:c r="C38" s="27"/>
      <x:c r="D38" s="27"/>
      <x:c r="E38" s="27"/>
      <x:c r="F38" s="27"/>
      <x:c r="G38" s="27"/>
      <x:c r="H38" s="27"/>
      <x:c r="I38" s="1"/>
      <x:c r="J38" s="1"/>
      <x:c r="K38" s="1"/>
      <x:c r="L38" s="1"/>
      <x:c r="M38" s="1"/>
      <x:c r="N38" s="1"/>
      <x:c r="O38" s="1"/>
      <x:c r="P38" s="1"/>
      <x:c r="Q38" s="1"/>
      <x:c r="R38" s="1"/>
      <x:c r="S38" s="1"/>
      <x:c r="T38" s="1"/>
    </x:row>
    <x:row r="39" ht="18" customHeight="1">
      <x:c r="A39" s="1"/>
      <x:c r="B39" s="19" t="n">
        <x:v>32</x:v>
      </x:c>
      <x:c r="C39" s="27"/>
      <x:c r="D39" s="27"/>
      <x:c r="E39" s="27"/>
      <x:c r="F39" s="27"/>
      <x:c r="G39" s="27"/>
      <x:c r="H39" s="27"/>
      <x:c r="I39" s="1"/>
      <x:c r="J39" s="1"/>
      <x:c r="K39" s="1"/>
      <x:c r="L39" s="1"/>
      <x:c r="M39" s="1"/>
      <x:c r="N39" s="1"/>
      <x:c r="O39" s="1"/>
      <x:c r="P39" s="1"/>
      <x:c r="Q39" s="1"/>
      <x:c r="R39" s="1"/>
      <x:c r="S39" s="1"/>
      <x:c r="T39" s="1"/>
    </x:row>
    <x:row r="40" ht="18" customHeight="1">
      <x:c r="A40" s="1"/>
      <x:c r="B40" s="19" t="n">
        <x:v>33</x:v>
      </x:c>
      <x:c r="C40" s="27"/>
      <x:c r="D40" s="27"/>
      <x:c r="E40" s="27"/>
      <x:c r="F40" s="27"/>
      <x:c r="G40" s="27"/>
      <x:c r="H40" s="27"/>
      <x:c r="I40" s="1"/>
      <x:c r="J40" s="1"/>
      <x:c r="K40" s="1"/>
      <x:c r="L40" s="1"/>
      <x:c r="M40" s="1"/>
      <x:c r="N40" s="1"/>
      <x:c r="O40" s="1"/>
      <x:c r="P40" s="1"/>
      <x:c r="Q40" s="1"/>
      <x:c r="R40" s="1"/>
      <x:c r="S40" s="1"/>
      <x:c r="T40" s="1"/>
    </x:row>
    <x:row r="41" ht="18" customHeight="1">
      <x:c r="A41" s="1"/>
      <x:c r="B41" s="19" t="n">
        <x:v>34</x:v>
      </x:c>
      <x:c r="C41" s="27"/>
      <x:c r="D41" s="27"/>
      <x:c r="E41" s="27"/>
      <x:c r="F41" s="27"/>
      <x:c r="G41" s="27"/>
      <x:c r="H41" s="27"/>
      <x:c r="I41" s="1"/>
      <x:c r="J41" s="1"/>
      <x:c r="K41" s="1"/>
      <x:c r="L41" s="1"/>
      <x:c r="M41" s="1"/>
      <x:c r="N41" s="1"/>
      <x:c r="O41" s="1"/>
      <x:c r="P41" s="1"/>
      <x:c r="Q41" s="1"/>
      <x:c r="R41" s="1"/>
      <x:c r="S41" s="1"/>
      <x:c r="T41" s="1"/>
    </x:row>
    <x:row r="42" ht="18" customHeight="1">
      <x:c r="A42" s="1"/>
      <x:c r="B42" s="19" t="n">
        <x:v>35</x:v>
      </x:c>
      <x:c r="C42" s="27"/>
      <x:c r="D42" s="27"/>
      <x:c r="E42" s="27"/>
      <x:c r="F42" s="27"/>
      <x:c r="G42" s="27"/>
      <x:c r="H42" s="27"/>
      <x:c r="I42" s="1"/>
      <x:c r="J42" s="1"/>
      <x:c r="K42" s="1"/>
      <x:c r="L42" s="1"/>
      <x:c r="M42" s="1"/>
      <x:c r="N42" s="1"/>
      <x:c r="O42" s="1"/>
      <x:c r="P42" s="1"/>
      <x:c r="Q42" s="1"/>
      <x:c r="R42" s="1"/>
      <x:c r="S42" s="1"/>
      <x:c r="T42" s="1"/>
    </x:row>
    <x:row r="43" ht="18" customHeight="1">
      <x:c r="A43" s="1"/>
      <x:c r="B43" s="19" t="n">
        <x:v>36</x:v>
      </x:c>
      <x:c r="C43" s="27"/>
      <x:c r="D43" s="27"/>
      <x:c r="E43" s="27"/>
      <x:c r="F43" s="27"/>
      <x:c r="G43" s="27"/>
      <x:c r="H43" s="27"/>
      <x:c r="I43" s="1"/>
      <x:c r="J43" s="1"/>
      <x:c r="K43" s="1"/>
      <x:c r="L43" s="1"/>
      <x:c r="M43" s="1"/>
      <x:c r="N43" s="1"/>
      <x:c r="O43" s="1"/>
      <x:c r="P43" s="1"/>
      <x:c r="Q43" s="1"/>
      <x:c r="R43" s="1"/>
      <x:c r="S43" s="1"/>
      <x:c r="T43" s="1"/>
    </x:row>
    <x:row r="44" ht="18" customHeight="1">
      <x:c r="A44" s="1"/>
      <x:c r="B44" s="19" t="n">
        <x:v>37</x:v>
      </x:c>
      <x:c r="C44" s="27"/>
      <x:c r="D44" s="27"/>
      <x:c r="E44" s="27"/>
      <x:c r="F44" s="27"/>
      <x:c r="G44" s="27"/>
      <x:c r="H44" s="27"/>
      <x:c r="I44" s="1"/>
      <x:c r="J44" s="1"/>
      <x:c r="K44" s="1"/>
      <x:c r="L44" s="1"/>
      <x:c r="M44" s="1"/>
      <x:c r="N44" s="1"/>
      <x:c r="O44" s="1"/>
      <x:c r="P44" s="1"/>
      <x:c r="Q44" s="1"/>
      <x:c r="R44" s="1"/>
      <x:c r="S44" s="1"/>
      <x:c r="T44" s="1"/>
    </x:row>
    <x:row r="45" ht="18" customHeight="1">
      <x:c r="A45" s="1"/>
      <x:c r="B45" s="19" t="n">
        <x:v>38</x:v>
      </x:c>
      <x:c r="C45" s="27"/>
      <x:c r="D45" s="27"/>
      <x:c r="E45" s="27"/>
      <x:c r="F45" s="27"/>
      <x:c r="G45" s="27"/>
      <x:c r="H45" s="27"/>
      <x:c r="I45" s="1"/>
      <x:c r="J45" s="1"/>
      <x:c r="K45" s="1"/>
      <x:c r="L45" s="1"/>
      <x:c r="M45" s="1"/>
      <x:c r="N45" s="1"/>
      <x:c r="O45" s="1"/>
      <x:c r="P45" s="1"/>
      <x:c r="Q45" s="1"/>
      <x:c r="R45" s="1"/>
      <x:c r="S45" s="1"/>
      <x:c r="T45" s="1"/>
    </x:row>
    <x:row r="46" ht="18" customHeight="1">
      <x:c r="A46" s="1"/>
      <x:c r="B46" s="19" t="n">
        <x:v>39</x:v>
      </x:c>
      <x:c r="C46" s="27"/>
      <x:c r="D46" s="27"/>
      <x:c r="E46" s="27"/>
      <x:c r="F46" s="27"/>
      <x:c r="G46" s="27"/>
      <x:c r="H46" s="27"/>
      <x:c r="I46" s="1"/>
      <x:c r="J46" s="1"/>
      <x:c r="K46" s="1"/>
      <x:c r="L46" s="1"/>
      <x:c r="M46" s="1"/>
      <x:c r="N46" s="1"/>
      <x:c r="O46" s="1"/>
      <x:c r="P46" s="1"/>
      <x:c r="Q46" s="1"/>
      <x:c r="R46" s="1"/>
      <x:c r="S46" s="1"/>
      <x:c r="T46" s="1"/>
    </x:row>
    <x:row r="47" ht="18" customHeight="1">
      <x:c r="A47" s="1"/>
      <x:c r="B47" s="19" t="n">
        <x:v>40</x:v>
      </x:c>
      <x:c r="C47" s="27"/>
      <x:c r="D47" s="27"/>
      <x:c r="E47" s="27"/>
      <x:c r="F47" s="27"/>
      <x:c r="G47" s="27"/>
      <x:c r="H47" s="27"/>
      <x:c r="I47" s="1"/>
      <x:c r="J47" s="1"/>
      <x:c r="K47" s="1"/>
      <x:c r="L47" s="1"/>
      <x:c r="M47" s="1"/>
      <x:c r="N47" s="1"/>
      <x:c r="O47" s="1"/>
      <x:c r="P47" s="1"/>
      <x:c r="Q47" s="1"/>
      <x:c r="R47" s="1"/>
      <x:c r="S47" s="1"/>
      <x:c r="T47" s="1"/>
    </x:row>
    <x:row r="48" ht="18" customHeight="1">
      <x:c r="A48" s="1"/>
      <x:c r="B48" s="19" t="n">
        <x:v>41</x:v>
      </x:c>
      <x:c r="C48" s="27"/>
      <x:c r="D48" s="27"/>
      <x:c r="E48" s="27"/>
      <x:c r="F48" s="27"/>
      <x:c r="G48" s="27"/>
      <x:c r="H48" s="27"/>
      <x:c r="I48" s="1"/>
      <x:c r="J48" s="1"/>
      <x:c r="K48" s="1"/>
      <x:c r="L48" s="1"/>
      <x:c r="M48" s="1"/>
      <x:c r="N48" s="1"/>
      <x:c r="O48" s="1"/>
      <x:c r="P48" s="1"/>
      <x:c r="Q48" s="1"/>
      <x:c r="R48" s="1"/>
      <x:c r="S48" s="1"/>
      <x:c r="T48" s="1"/>
    </x:row>
    <x:row r="49" ht="18" customHeight="1">
      <x:c r="A49" s="1"/>
      <x:c r="B49" s="19" t="n">
        <x:v>42</x:v>
      </x:c>
      <x:c r="C49" s="27"/>
      <x:c r="D49" s="27"/>
      <x:c r="E49" s="27"/>
      <x:c r="F49" s="27"/>
      <x:c r="G49" s="27"/>
      <x:c r="H49" s="27"/>
      <x:c r="I49" s="1"/>
      <x:c r="J49" s="1"/>
      <x:c r="K49" s="1"/>
      <x:c r="L49" s="1"/>
      <x:c r="M49" s="1"/>
      <x:c r="N49" s="1"/>
      <x:c r="O49" s="1"/>
      <x:c r="P49" s="1"/>
      <x:c r="Q49" s="1"/>
      <x:c r="R49" s="1"/>
      <x:c r="S49" s="1"/>
      <x:c r="T49" s="1"/>
    </x:row>
    <x:row r="50" ht="18" customHeight="1">
      <x:c r="A50" s="1"/>
      <x:c r="B50" s="19" t="n">
        <x:v>43</x:v>
      </x:c>
      <x:c r="C50" s="27"/>
      <x:c r="D50" s="27"/>
      <x:c r="E50" s="27"/>
      <x:c r="F50" s="27"/>
      <x:c r="G50" s="27"/>
      <x:c r="H50" s="27"/>
      <x:c r="I50" s="1"/>
      <x:c r="J50" s="1"/>
      <x:c r="K50" s="1"/>
      <x:c r="L50" s="1"/>
      <x:c r="M50" s="1"/>
      <x:c r="N50" s="1"/>
      <x:c r="O50" s="1"/>
      <x:c r="P50" s="1"/>
      <x:c r="Q50" s="1"/>
      <x:c r="R50" s="1"/>
      <x:c r="S50" s="1"/>
      <x:c r="T50" s="1"/>
    </x:row>
    <x:row r="51" ht="18" customHeight="1">
      <x:c r="A51" s="1"/>
      <x:c r="B51" s="19" t="n">
        <x:v>44</x:v>
      </x:c>
      <x:c r="C51" s="27"/>
      <x:c r="D51" s="27"/>
      <x:c r="E51" s="27"/>
      <x:c r="F51" s="27"/>
      <x:c r="G51" s="27"/>
      <x:c r="H51" s="27"/>
      <x:c r="I51" s="1"/>
      <x:c r="J51" s="1"/>
      <x:c r="K51" s="1"/>
      <x:c r="L51" s="1"/>
      <x:c r="M51" s="1"/>
      <x:c r="N51" s="1"/>
      <x:c r="O51" s="1"/>
      <x:c r="P51" s="1"/>
      <x:c r="Q51" s="1"/>
      <x:c r="R51" s="1"/>
      <x:c r="S51" s="1"/>
      <x:c r="T51" s="1"/>
    </x:row>
    <x:row r="52" ht="18" customHeight="1">
      <x:c r="A52" s="1"/>
      <x:c r="B52" s="19" t="n">
        <x:v>45</x:v>
      </x:c>
      <x:c r="C52" s="27"/>
      <x:c r="D52" s="27"/>
      <x:c r="E52" s="27"/>
      <x:c r="F52" s="27"/>
      <x:c r="G52" s="27"/>
      <x:c r="H52" s="27"/>
      <x:c r="I52" s="1"/>
      <x:c r="J52" s="1"/>
      <x:c r="K52" s="1"/>
      <x:c r="L52" s="1"/>
      <x:c r="M52" s="1"/>
      <x:c r="N52" s="1"/>
      <x:c r="O52" s="1"/>
      <x:c r="P52" s="1"/>
      <x:c r="Q52" s="1"/>
      <x:c r="R52" s="1"/>
      <x:c r="S52" s="1"/>
      <x:c r="T52" s="1"/>
    </x:row>
    <x:row r="53" ht="18" customHeight="1">
      <x:c r="A53" s="1"/>
      <x:c r="B53" s="19" t="n">
        <x:v>46</x:v>
      </x:c>
      <x:c r="C53" s="27"/>
      <x:c r="D53" s="27"/>
      <x:c r="E53" s="27"/>
      <x:c r="F53" s="27"/>
      <x:c r="G53" s="27"/>
      <x:c r="H53" s="27"/>
      <x:c r="I53" s="1"/>
      <x:c r="J53" s="1"/>
      <x:c r="K53" s="1"/>
      <x:c r="L53" s="1"/>
      <x:c r="M53" s="1"/>
      <x:c r="N53" s="1"/>
      <x:c r="O53" s="1"/>
      <x:c r="P53" s="1"/>
      <x:c r="Q53" s="1"/>
      <x:c r="R53" s="1"/>
      <x:c r="S53" s="1"/>
      <x:c r="T53" s="1"/>
    </x:row>
    <x:row r="54" ht="18" customHeight="1">
      <x:c r="A54" s="1"/>
      <x:c r="B54" s="19" t="n">
        <x:v>47</x:v>
      </x:c>
      <x:c r="C54" s="27"/>
      <x:c r="D54" s="27"/>
      <x:c r="E54" s="27"/>
      <x:c r="F54" s="27"/>
      <x:c r="G54" s="27"/>
      <x:c r="H54" s="27"/>
      <x:c r="I54" s="1"/>
      <x:c r="J54" s="1"/>
      <x:c r="K54" s="1"/>
      <x:c r="L54" s="1"/>
      <x:c r="M54" s="1"/>
      <x:c r="N54" s="1"/>
      <x:c r="O54" s="1"/>
      <x:c r="P54" s="1"/>
      <x:c r="Q54" s="1"/>
      <x:c r="R54" s="1"/>
      <x:c r="S54" s="1"/>
      <x:c r="T54" s="1"/>
    </x:row>
    <x:row r="55" ht="18" customHeight="1">
      <x:c r="A55" s="1"/>
      <x:c r="B55" s="19" t="n">
        <x:v>48</x:v>
      </x:c>
      <x:c r="C55" s="27"/>
      <x:c r="D55" s="27"/>
      <x:c r="E55" s="27"/>
      <x:c r="F55" s="27"/>
      <x:c r="G55" s="27"/>
      <x:c r="H55" s="27"/>
      <x:c r="I55" s="1"/>
      <x:c r="J55" s="1"/>
      <x:c r="K55" s="1"/>
      <x:c r="L55" s="1"/>
      <x:c r="M55" s="1"/>
      <x:c r="N55" s="1"/>
      <x:c r="O55" s="1"/>
      <x:c r="P55" s="1"/>
      <x:c r="Q55" s="1"/>
      <x:c r="R55" s="1"/>
      <x:c r="S55" s="1"/>
      <x:c r="T55" s="1"/>
    </x:row>
    <x:row r="56" ht="18" customHeight="1">
      <x:c r="A56" s="1"/>
      <x:c r="B56" s="19" t="n">
        <x:v>49</x:v>
      </x:c>
      <x:c r="C56" s="27"/>
      <x:c r="D56" s="27"/>
      <x:c r="E56" s="27"/>
      <x:c r="F56" s="27"/>
      <x:c r="G56" s="27"/>
      <x:c r="H56" s="27"/>
      <x:c r="I56" s="1"/>
      <x:c r="J56" s="1"/>
      <x:c r="K56" s="1"/>
      <x:c r="L56" s="1"/>
      <x:c r="M56" s="1"/>
      <x:c r="N56" s="1"/>
      <x:c r="O56" s="1"/>
      <x:c r="P56" s="1"/>
      <x:c r="Q56" s="1"/>
      <x:c r="R56" s="1"/>
      <x:c r="S56" s="1"/>
      <x:c r="T56" s="1"/>
    </x:row>
    <x:row r="57" ht="18" customHeight="1">
      <x:c r="A57" s="1"/>
      <x:c r="B57" s="19" t="n">
        <x:v>50</x:v>
      </x:c>
      <x:c r="C57" s="27"/>
      <x:c r="D57" s="27"/>
      <x:c r="E57" s="27"/>
      <x:c r="F57" s="27"/>
      <x:c r="G57" s="27"/>
      <x:c r="H57" s="27"/>
      <x:c r="I57" s="1"/>
      <x:c r="J57" s="1"/>
      <x:c r="K57" s="1"/>
      <x:c r="L57" s="1"/>
      <x:c r="M57" s="1"/>
      <x:c r="N57" s="1"/>
      <x:c r="O57" s="1"/>
      <x:c r="P57" s="1"/>
      <x:c r="Q57" s="1"/>
      <x:c r="R57" s="1"/>
      <x:c r="S57" s="1"/>
      <x:c r="T57" s="1"/>
    </x:row>
    <x:row r="58" ht="18" customHeight="1">
      <x:c r="A58" s="1"/>
      <x:c r="B58" s="19" t="n">
        <x:v>51</x:v>
      </x:c>
      <x:c r="C58" s="27"/>
      <x:c r="D58" s="27"/>
      <x:c r="E58" s="27"/>
      <x:c r="F58" s="27"/>
      <x:c r="G58" s="27"/>
      <x:c r="H58" s="27"/>
      <x:c r="I58" s="1"/>
      <x:c r="J58" s="1"/>
      <x:c r="K58" s="1"/>
      <x:c r="L58" s="1"/>
      <x:c r="M58" s="1"/>
      <x:c r="N58" s="1"/>
      <x:c r="O58" s="1"/>
      <x:c r="P58" s="1"/>
      <x:c r="Q58" s="1"/>
      <x:c r="R58" s="1"/>
      <x:c r="S58" s="1"/>
      <x:c r="T58" s="1"/>
    </x:row>
    <x:row r="59" ht="18" customHeight="1">
      <x:c r="A59" s="1"/>
      <x:c r="B59" s="19" t="n">
        <x:v>52</x:v>
      </x:c>
      <x:c r="C59" s="27"/>
      <x:c r="D59" s="27"/>
      <x:c r="E59" s="27"/>
      <x:c r="F59" s="27"/>
      <x:c r="G59" s="27"/>
      <x:c r="H59" s="27"/>
      <x:c r="I59" s="1"/>
      <x:c r="J59" s="1"/>
      <x:c r="K59" s="1"/>
      <x:c r="L59" s="1"/>
      <x:c r="M59" s="1"/>
      <x:c r="N59" s="1"/>
      <x:c r="O59" s="1"/>
      <x:c r="P59" s="1"/>
      <x:c r="Q59" s="1"/>
      <x:c r="R59" s="1"/>
      <x:c r="S59" s="1"/>
      <x:c r="T59" s="1"/>
    </x:row>
    <x:row r="60" ht="18" customHeight="1">
      <x:c r="A60" s="1"/>
      <x:c r="B60" s="19" t="n">
        <x:v>53</x:v>
      </x:c>
      <x:c r="C60" s="27"/>
      <x:c r="D60" s="27"/>
      <x:c r="E60" s="27"/>
      <x:c r="F60" s="27"/>
      <x:c r="G60" s="27"/>
      <x:c r="H60" s="27"/>
      <x:c r="I60" s="1"/>
      <x:c r="J60" s="1"/>
      <x:c r="K60" s="1"/>
      <x:c r="L60" s="1"/>
      <x:c r="M60" s="1"/>
      <x:c r="N60" s="1"/>
      <x:c r="O60" s="1"/>
      <x:c r="P60" s="1"/>
      <x:c r="Q60" s="1"/>
      <x:c r="R60" s="1"/>
      <x:c r="S60" s="1"/>
      <x:c r="T60" s="1"/>
    </x:row>
    <x:row r="61" ht="18" customHeight="1">
      <x:c r="A61" s="1"/>
      <x:c r="B61" s="19" t="n">
        <x:v>54</x:v>
      </x:c>
      <x:c r="C61" s="27"/>
      <x:c r="D61" s="27"/>
      <x:c r="E61" s="27"/>
      <x:c r="F61" s="27"/>
      <x:c r="G61" s="27"/>
      <x:c r="H61" s="27"/>
      <x:c r="I61" s="1"/>
      <x:c r="J61" s="1"/>
      <x:c r="K61" s="1"/>
      <x:c r="L61" s="1"/>
      <x:c r="M61" s="1"/>
      <x:c r="N61" s="1"/>
      <x:c r="O61" s="1"/>
      <x:c r="P61" s="1"/>
      <x:c r="Q61" s="1"/>
      <x:c r="R61" s="1"/>
      <x:c r="S61" s="1"/>
      <x:c r="T61" s="1"/>
    </x:row>
    <x:row r="62" ht="18" customHeight="1">
      <x:c r="A62" s="1"/>
      <x:c r="B62" s="19" t="n">
        <x:v>55</x:v>
      </x:c>
      <x:c r="C62" s="27"/>
      <x:c r="D62" s="27"/>
      <x:c r="E62" s="27"/>
      <x:c r="F62" s="27"/>
      <x:c r="G62" s="27"/>
      <x:c r="H62" s="27"/>
      <x:c r="I62" s="1"/>
      <x:c r="J62" s="1"/>
      <x:c r="K62" s="1"/>
      <x:c r="L62" s="1"/>
      <x:c r="M62" s="1"/>
      <x:c r="N62" s="1"/>
      <x:c r="O62" s="1"/>
      <x:c r="P62" s="1"/>
      <x:c r="Q62" s="1"/>
      <x:c r="R62" s="1"/>
      <x:c r="S62" s="1"/>
      <x:c r="T62" s="1"/>
    </x:row>
    <x:row r="63" ht="18" customHeight="1">
      <x:c r="A63" s="1"/>
      <x:c r="B63" s="19" t="n">
        <x:v>56</x:v>
      </x:c>
      <x:c r="C63" s="27"/>
      <x:c r="D63" s="27"/>
      <x:c r="E63" s="27"/>
      <x:c r="F63" s="27"/>
      <x:c r="G63" s="27"/>
      <x:c r="H63" s="27"/>
      <x:c r="I63" s="1"/>
      <x:c r="J63" s="1"/>
      <x:c r="K63" s="1"/>
      <x:c r="L63" s="1"/>
      <x:c r="M63" s="1"/>
      <x:c r="N63" s="1"/>
      <x:c r="O63" s="1"/>
      <x:c r="P63" s="1"/>
      <x:c r="Q63" s="1"/>
      <x:c r="R63" s="1"/>
      <x:c r="S63" s="1"/>
      <x:c r="T63" s="1"/>
    </x:row>
    <x:row r="64" ht="18" customHeight="1">
      <x:c r="A64" s="1"/>
      <x:c r="B64" s="19" t="n">
        <x:v>57</x:v>
      </x:c>
      <x:c r="C64" s="27"/>
      <x:c r="D64" s="27"/>
      <x:c r="E64" s="27"/>
      <x:c r="F64" s="27"/>
      <x:c r="G64" s="27"/>
      <x:c r="H64" s="27"/>
      <x:c r="I64" s="1"/>
      <x:c r="J64" s="1"/>
      <x:c r="K64" s="1"/>
      <x:c r="L64" s="1"/>
      <x:c r="M64" s="1"/>
      <x:c r="N64" s="1"/>
      <x:c r="O64" s="1"/>
      <x:c r="P64" s="1"/>
      <x:c r="Q64" s="1"/>
      <x:c r="R64" s="1"/>
      <x:c r="S64" s="1"/>
      <x:c r="T64" s="1"/>
    </x:row>
    <x:row r="65" ht="18" customHeight="1">
      <x:c r="A65" s="1"/>
      <x:c r="B65" s="19" t="n">
        <x:v>58</x:v>
      </x:c>
      <x:c r="C65" s="27"/>
      <x:c r="D65" s="27"/>
      <x:c r="E65" s="27"/>
      <x:c r="F65" s="27"/>
      <x:c r="G65" s="27"/>
      <x:c r="H65" s="27"/>
      <x:c r="I65" s="1"/>
      <x:c r="J65" s="1"/>
      <x:c r="K65" s="1"/>
      <x:c r="L65" s="1"/>
      <x:c r="M65" s="1"/>
      <x:c r="N65" s="1"/>
      <x:c r="O65" s="1"/>
      <x:c r="P65" s="1"/>
      <x:c r="Q65" s="1"/>
      <x:c r="R65" s="1"/>
      <x:c r="S65" s="1"/>
      <x:c r="T65" s="1"/>
    </x:row>
    <x:row r="66" ht="18" customHeight="1">
      <x:c r="A66" s="1"/>
      <x:c r="B66" s="19" t="n">
        <x:v>59</x:v>
      </x:c>
      <x:c r="C66" s="27"/>
      <x:c r="D66" s="27"/>
      <x:c r="E66" s="27"/>
      <x:c r="F66" s="27"/>
      <x:c r="G66" s="27"/>
      <x:c r="H66" s="27"/>
      <x:c r="I66" s="1"/>
      <x:c r="J66" s="1"/>
      <x:c r="K66" s="1"/>
      <x:c r="L66" s="1"/>
      <x:c r="M66" s="1"/>
      <x:c r="N66" s="1"/>
      <x:c r="O66" s="1"/>
      <x:c r="P66" s="1"/>
      <x:c r="Q66" s="1"/>
      <x:c r="R66" s="1"/>
      <x:c r="S66" s="1"/>
      <x:c r="T66" s="1"/>
    </x:row>
    <x:row r="67" ht="18" customHeight="1">
      <x:c r="A67" s="1"/>
      <x:c r="B67" s="19" t="n">
        <x:v>60</x:v>
      </x:c>
      <x:c r="C67" s="27"/>
      <x:c r="D67" s="27"/>
      <x:c r="E67" s="27"/>
      <x:c r="F67" s="27"/>
      <x:c r="G67" s="27"/>
      <x:c r="H67" s="27"/>
      <x:c r="I67" s="1"/>
      <x:c r="J67" s="1"/>
      <x:c r="K67" s="1"/>
      <x:c r="L67" s="1"/>
      <x:c r="M67" s="1"/>
      <x:c r="N67" s="1"/>
      <x:c r="O67" s="1"/>
      <x:c r="P67" s="1"/>
      <x:c r="Q67" s="1"/>
      <x:c r="R67" s="1"/>
      <x:c r="S67" s="1"/>
      <x:c r="T67" s="1"/>
    </x:row>
    <x:row r="68" ht="18" customHeight="1">
      <x:c r="A68" s="1"/>
      <x:c r="B68" s="19" t="n">
        <x:v>61</x:v>
      </x:c>
      <x:c r="C68" s="27"/>
      <x:c r="D68" s="27"/>
      <x:c r="E68" s="27"/>
      <x:c r="F68" s="27"/>
      <x:c r="G68" s="27"/>
      <x:c r="H68" s="27"/>
      <x:c r="I68" s="1"/>
      <x:c r="J68" s="1"/>
      <x:c r="K68" s="1"/>
      <x:c r="L68" s="1"/>
      <x:c r="M68" s="1"/>
      <x:c r="N68" s="1"/>
      <x:c r="O68" s="1"/>
      <x:c r="P68" s="1"/>
      <x:c r="Q68" s="1"/>
      <x:c r="R68" s="1"/>
      <x:c r="S68" s="1"/>
      <x:c r="T68" s="1"/>
    </x:row>
    <x:row r="69" ht="18" customHeight="1">
      <x:c r="A69" s="1"/>
      <x:c r="B69" s="19" t="n">
        <x:v>62</x:v>
      </x:c>
      <x:c r="C69" s="27"/>
      <x:c r="D69" s="27"/>
      <x:c r="E69" s="27"/>
      <x:c r="F69" s="27"/>
      <x:c r="G69" s="27"/>
      <x:c r="H69" s="27"/>
      <x:c r="I69" s="1"/>
      <x:c r="J69" s="1"/>
      <x:c r="K69" s="1"/>
      <x:c r="L69" s="1"/>
      <x:c r="M69" s="1"/>
      <x:c r="N69" s="1"/>
      <x:c r="O69" s="1"/>
      <x:c r="P69" s="1"/>
      <x:c r="Q69" s="1"/>
      <x:c r="R69" s="1"/>
      <x:c r="S69" s="1"/>
      <x:c r="T69" s="1"/>
    </x:row>
    <x:row r="70" ht="18" customHeight="1">
      <x:c r="A70" s="1"/>
      <x:c r="B70" s="19" t="n">
        <x:v>63</x:v>
      </x:c>
      <x:c r="C70" s="27"/>
      <x:c r="D70" s="27"/>
      <x:c r="E70" s="27"/>
      <x:c r="F70" s="27"/>
      <x:c r="G70" s="27"/>
      <x:c r="H70" s="27"/>
      <x:c r="I70" s="1"/>
      <x:c r="J70" s="1"/>
      <x:c r="K70" s="1"/>
      <x:c r="L70" s="1"/>
      <x:c r="M70" s="1"/>
      <x:c r="N70" s="1"/>
      <x:c r="O70" s="1"/>
      <x:c r="P70" s="1"/>
      <x:c r="Q70" s="1"/>
      <x:c r="R70" s="1"/>
      <x:c r="S70" s="1"/>
      <x:c r="T70" s="1"/>
    </x:row>
    <x:row r="71" ht="18" customHeight="1">
      <x:c r="A71" s="1"/>
      <x:c r="B71" s="19" t="n">
        <x:v>64</x:v>
      </x:c>
      <x:c r="C71" s="27"/>
      <x:c r="D71" s="27"/>
      <x:c r="E71" s="27"/>
      <x:c r="F71" s="27"/>
      <x:c r="G71" s="27"/>
      <x:c r="H71" s="27"/>
      <x:c r="I71" s="1"/>
      <x:c r="J71" s="1"/>
      <x:c r="K71" s="1"/>
      <x:c r="L71" s="1"/>
      <x:c r="M71" s="1"/>
      <x:c r="N71" s="1"/>
      <x:c r="O71" s="1"/>
      <x:c r="P71" s="1"/>
      <x:c r="Q71" s="1"/>
      <x:c r="R71" s="1"/>
      <x:c r="S71" s="1"/>
      <x:c r="T71" s="1"/>
    </x:row>
    <x:row r="72" ht="18" customHeight="1">
      <x:c r="A72" s="1"/>
      <x:c r="B72" s="19" t="n">
        <x:v>65</x:v>
      </x:c>
      <x:c r="C72" s="27"/>
      <x:c r="D72" s="27"/>
      <x:c r="E72" s="27"/>
      <x:c r="F72" s="27"/>
      <x:c r="G72" s="27"/>
      <x:c r="H72" s="27"/>
      <x:c r="I72" s="1"/>
      <x:c r="J72" s="1"/>
      <x:c r="K72" s="1"/>
      <x:c r="L72" s="1"/>
      <x:c r="M72" s="1"/>
      <x:c r="N72" s="1"/>
      <x:c r="O72" s="1"/>
      <x:c r="P72" s="1"/>
      <x:c r="Q72" s="1"/>
      <x:c r="R72" s="1"/>
      <x:c r="S72" s="1"/>
      <x:c r="T72" s="1"/>
    </x:row>
    <x:row r="73" ht="18" customHeight="1">
      <x:c r="A73" s="1"/>
      <x:c r="B73" s="19" t="n">
        <x:v>66</x:v>
      </x:c>
      <x:c r="C73" s="27"/>
      <x:c r="D73" s="27"/>
      <x:c r="E73" s="27"/>
      <x:c r="F73" s="27"/>
      <x:c r="G73" s="27"/>
      <x:c r="H73" s="27"/>
      <x:c r="I73" s="1"/>
      <x:c r="J73" s="1"/>
      <x:c r="K73" s="1"/>
      <x:c r="L73" s="1"/>
      <x:c r="M73" s="1"/>
      <x:c r="N73" s="1"/>
      <x:c r="O73" s="1"/>
      <x:c r="P73" s="1"/>
      <x:c r="Q73" s="1"/>
      <x:c r="R73" s="1"/>
      <x:c r="S73" s="1"/>
      <x:c r="T73" s="1"/>
    </x:row>
    <x:row r="74" ht="18" customHeight="1">
      <x:c r="A74" s="1"/>
      <x:c r="B74" s="19" t="n">
        <x:v>67</x:v>
      </x:c>
      <x:c r="C74" s="27"/>
      <x:c r="D74" s="27"/>
      <x:c r="E74" s="27"/>
      <x:c r="F74" s="27"/>
      <x:c r="G74" s="27"/>
      <x:c r="H74" s="27"/>
      <x:c r="I74" s="1"/>
      <x:c r="J74" s="1"/>
      <x:c r="K74" s="1"/>
      <x:c r="L74" s="1"/>
      <x:c r="M74" s="1"/>
      <x:c r="N74" s="1"/>
      <x:c r="O74" s="1"/>
      <x:c r="P74" s="1"/>
      <x:c r="Q74" s="1"/>
      <x:c r="R74" s="1"/>
      <x:c r="S74" s="1"/>
      <x:c r="T74" s="1"/>
    </x:row>
    <x:row r="75" ht="18" customHeight="1">
      <x:c r="A75" s="1"/>
      <x:c r="B75" s="19" t="n">
        <x:v>68</x:v>
      </x:c>
      <x:c r="C75" s="27"/>
      <x:c r="D75" s="27"/>
      <x:c r="E75" s="27"/>
      <x:c r="F75" s="27"/>
      <x:c r="G75" s="27"/>
      <x:c r="H75" s="27"/>
      <x:c r="I75" s="1"/>
      <x:c r="J75" s="1"/>
      <x:c r="K75" s="1"/>
      <x:c r="L75" s="1"/>
      <x:c r="M75" s="1"/>
      <x:c r="N75" s="1"/>
      <x:c r="O75" s="1"/>
      <x:c r="P75" s="1"/>
      <x:c r="Q75" s="1"/>
      <x:c r="R75" s="1"/>
      <x:c r="S75" s="1"/>
      <x:c r="T75" s="1"/>
    </x:row>
    <x:row r="76" ht="18" customHeight="1">
      <x:c r="A76" s="1"/>
      <x:c r="B76" s="19" t="n">
        <x:v>69</x:v>
      </x:c>
      <x:c r="C76" s="27"/>
      <x:c r="D76" s="27"/>
      <x:c r="E76" s="27"/>
      <x:c r="F76" s="27"/>
      <x:c r="G76" s="27"/>
      <x:c r="H76" s="27"/>
      <x:c r="I76" s="1"/>
      <x:c r="J76" s="1"/>
      <x:c r="K76" s="1"/>
      <x:c r="L76" s="1"/>
      <x:c r="M76" s="1"/>
      <x:c r="N76" s="1"/>
      <x:c r="O76" s="1"/>
      <x:c r="P76" s="1"/>
      <x:c r="Q76" s="1"/>
      <x:c r="R76" s="1"/>
      <x:c r="S76" s="1"/>
      <x:c r="T76" s="1"/>
    </x:row>
    <x:row r="77" ht="18" customHeight="1">
      <x:c r="A77" s="1"/>
      <x:c r="B77" s="19" t="n">
        <x:v>70</x:v>
      </x:c>
      <x:c r="C77" s="27"/>
      <x:c r="D77" s="27"/>
      <x:c r="E77" s="27"/>
      <x:c r="F77" s="27"/>
      <x:c r="G77" s="27"/>
      <x:c r="H77" s="27"/>
      <x:c r="I77" s="1"/>
      <x:c r="J77" s="1"/>
      <x:c r="K77" s="1"/>
      <x:c r="L77" s="1"/>
      <x:c r="M77" s="1"/>
      <x:c r="N77" s="1"/>
      <x:c r="O77" s="1"/>
      <x:c r="P77" s="1"/>
      <x:c r="Q77" s="1"/>
      <x:c r="R77" s="1"/>
      <x:c r="S77" s="1"/>
      <x:c r="T77" s="1"/>
    </x:row>
    <x:row r="78" ht="18" customHeight="1">
      <x:c r="A78" s="1"/>
      <x:c r="B78" s="19" t="n">
        <x:v>71</x:v>
      </x:c>
      <x:c r="C78" s="27"/>
      <x:c r="D78" s="27"/>
      <x:c r="E78" s="27"/>
      <x:c r="F78" s="27"/>
      <x:c r="G78" s="27"/>
      <x:c r="H78" s="27"/>
      <x:c r="I78" s="1"/>
      <x:c r="J78" s="1"/>
      <x:c r="K78" s="1"/>
      <x:c r="L78" s="1"/>
      <x:c r="M78" s="1"/>
      <x:c r="N78" s="1"/>
      <x:c r="O78" s="1"/>
      <x:c r="P78" s="1"/>
      <x:c r="Q78" s="1"/>
      <x:c r="R78" s="1"/>
      <x:c r="S78" s="1"/>
      <x:c r="T78" s="1"/>
    </x:row>
    <x:row r="79" ht="18" customHeight="1">
      <x:c r="A79" s="1"/>
      <x:c r="B79" s="19" t="n">
        <x:v>72</x:v>
      </x:c>
      <x:c r="C79" s="27"/>
      <x:c r="D79" s="27"/>
      <x:c r="E79" s="27"/>
      <x:c r="F79" s="27"/>
      <x:c r="G79" s="27"/>
      <x:c r="H79" s="27"/>
      <x:c r="I79" s="1"/>
      <x:c r="J79" s="1"/>
      <x:c r="K79" s="1"/>
      <x:c r="L79" s="1"/>
      <x:c r="M79" s="1"/>
      <x:c r="N79" s="1"/>
      <x:c r="O79" s="1"/>
      <x:c r="P79" s="1"/>
      <x:c r="Q79" s="1"/>
      <x:c r="R79" s="1"/>
      <x:c r="S79" s="1"/>
      <x:c r="T79" s="1"/>
    </x:row>
    <x:row r="80" ht="18" customHeight="1">
      <x:c r="A80" s="1"/>
      <x:c r="B80" s="19" t="n">
        <x:v>73</x:v>
      </x:c>
      <x:c r="C80" s="27"/>
      <x:c r="D80" s="27"/>
      <x:c r="E80" s="27"/>
      <x:c r="F80" s="27"/>
      <x:c r="G80" s="27"/>
      <x:c r="H80" s="27"/>
      <x:c r="I80" s="1"/>
      <x:c r="J80" s="1"/>
      <x:c r="K80" s="1"/>
      <x:c r="L80" s="1"/>
      <x:c r="M80" s="1"/>
      <x:c r="N80" s="1"/>
      <x:c r="O80" s="1"/>
      <x:c r="P80" s="1"/>
      <x:c r="Q80" s="1"/>
      <x:c r="R80" s="1"/>
      <x:c r="S80" s="1"/>
      <x:c r="T80" s="1"/>
    </x:row>
    <x:row r="81" ht="18" customHeight="1">
      <x:c r="A81" s="1"/>
      <x:c r="B81" s="19" t="n">
        <x:v>74</x:v>
      </x:c>
      <x:c r="C81" s="27"/>
      <x:c r="D81" s="27"/>
      <x:c r="E81" s="27"/>
      <x:c r="F81" s="27"/>
      <x:c r="G81" s="27"/>
      <x:c r="H81" s="27"/>
      <x:c r="I81" s="1"/>
      <x:c r="J81" s="1"/>
      <x:c r="K81" s="1"/>
      <x:c r="L81" s="1"/>
      <x:c r="M81" s="1"/>
      <x:c r="N81" s="1"/>
      <x:c r="O81" s="1"/>
      <x:c r="P81" s="1"/>
      <x:c r="Q81" s="1"/>
      <x:c r="R81" s="1"/>
      <x:c r="S81" s="1"/>
      <x:c r="T81" s="1"/>
    </x:row>
    <x:row r="82" ht="18" customHeight="1">
      <x:c r="A82" s="1"/>
      <x:c r="B82" s="19" t="n">
        <x:v>75</x:v>
      </x:c>
      <x:c r="C82" s="27"/>
      <x:c r="D82" s="27"/>
      <x:c r="E82" s="27"/>
      <x:c r="F82" s="27"/>
      <x:c r="G82" s="27"/>
      <x:c r="H82" s="27"/>
      <x:c r="I82" s="1"/>
      <x:c r="J82" s="1"/>
      <x:c r="K82" s="1"/>
      <x:c r="L82" s="1"/>
      <x:c r="M82" s="1"/>
      <x:c r="N82" s="1"/>
      <x:c r="O82" s="1"/>
      <x:c r="P82" s="1"/>
      <x:c r="Q82" s="1"/>
      <x:c r="R82" s="1"/>
      <x:c r="S82" s="1"/>
      <x:c r="T82" s="1"/>
    </x:row>
    <x:row r="83" ht="18" customHeight="1">
      <x:c r="A83" s="1"/>
      <x:c r="B83" s="19" t="n">
        <x:v>76</x:v>
      </x:c>
      <x:c r="C83" s="27"/>
      <x:c r="D83" s="27"/>
      <x:c r="E83" s="27"/>
      <x:c r="F83" s="27"/>
      <x:c r="G83" s="27"/>
      <x:c r="H83" s="27"/>
      <x:c r="I83" s="1"/>
      <x:c r="J83" s="1"/>
      <x:c r="K83" s="1"/>
      <x:c r="L83" s="1"/>
      <x:c r="M83" s="1"/>
      <x:c r="N83" s="1"/>
      <x:c r="O83" s="1"/>
      <x:c r="P83" s="1"/>
      <x:c r="Q83" s="1"/>
      <x:c r="R83" s="1"/>
      <x:c r="S83" s="1"/>
      <x:c r="T83" s="1"/>
    </x:row>
    <x:row r="84" ht="18" customHeight="1">
      <x:c r="A84" s="1"/>
      <x:c r="B84" s="19" t="n">
        <x:v>77</x:v>
      </x:c>
      <x:c r="C84" s="27"/>
      <x:c r="D84" s="27"/>
      <x:c r="E84" s="27"/>
      <x:c r="F84" s="27"/>
      <x:c r="G84" s="27"/>
      <x:c r="H84" s="27"/>
      <x:c r="I84" s="1"/>
      <x:c r="J84" s="1"/>
      <x:c r="K84" s="1"/>
      <x:c r="L84" s="1"/>
      <x:c r="M84" s="1"/>
      <x:c r="N84" s="1"/>
      <x:c r="O84" s="1"/>
      <x:c r="P84" s="1"/>
      <x:c r="Q84" s="1"/>
      <x:c r="R84" s="1"/>
      <x:c r="S84" s="1"/>
      <x:c r="T84" s="1"/>
    </x:row>
    <x:row r="85" ht="18" customHeight="1">
      <x:c r="A85" s="1"/>
      <x:c r="B85" s="19" t="n">
        <x:v>78</x:v>
      </x:c>
      <x:c r="C85" s="27"/>
      <x:c r="D85" s="27"/>
      <x:c r="E85" s="27"/>
      <x:c r="F85" s="27"/>
      <x:c r="G85" s="27"/>
      <x:c r="H85" s="27"/>
      <x:c r="I85" s="1"/>
      <x:c r="J85" s="1"/>
      <x:c r="K85" s="1"/>
      <x:c r="L85" s="1"/>
      <x:c r="M85" s="1"/>
      <x:c r="N85" s="1"/>
      <x:c r="O85" s="1"/>
      <x:c r="P85" s="1"/>
      <x:c r="Q85" s="1"/>
      <x:c r="R85" s="1"/>
      <x:c r="S85" s="1"/>
      <x:c r="T85" s="1"/>
    </x:row>
    <x:row r="86" ht="18" customHeight="1">
      <x:c r="A86" s="1"/>
      <x:c r="B86" s="19" t="n">
        <x:v>79</x:v>
      </x:c>
      <x:c r="C86" s="27"/>
      <x:c r="D86" s="27"/>
      <x:c r="E86" s="27"/>
      <x:c r="F86" s="27"/>
      <x:c r="G86" s="27"/>
      <x:c r="H86" s="27"/>
      <x:c r="I86" s="1"/>
      <x:c r="J86" s="1"/>
      <x:c r="K86" s="1"/>
      <x:c r="L86" s="1"/>
      <x:c r="M86" s="1"/>
      <x:c r="N86" s="1"/>
      <x:c r="O86" s="1"/>
      <x:c r="P86" s="1"/>
      <x:c r="Q86" s="1"/>
      <x:c r="R86" s="1"/>
      <x:c r="S86" s="1"/>
      <x:c r="T86" s="1"/>
    </x:row>
    <x:row r="87" ht="18" customHeight="1">
      <x:c r="A87" s="1"/>
      <x:c r="B87" s="19" t="n">
        <x:v>80</x:v>
      </x:c>
      <x:c r="C87" s="27"/>
      <x:c r="D87" s="27"/>
      <x:c r="E87" s="27"/>
      <x:c r="F87" s="27"/>
      <x:c r="G87" s="27"/>
      <x:c r="H87" s="27"/>
      <x:c r="I87" s="1"/>
      <x:c r="J87" s="1"/>
      <x:c r="K87" s="1"/>
      <x:c r="L87" s="1"/>
      <x:c r="M87" s="1"/>
      <x:c r="N87" s="1"/>
      <x:c r="O87" s="1"/>
      <x:c r="P87" s="1"/>
      <x:c r="Q87" s="1"/>
      <x:c r="R87" s="1"/>
      <x:c r="S87" s="1"/>
      <x:c r="T87" s="1"/>
    </x:row>
    <x:row r="88" ht="18" customHeight="1">
      <x:c r="A88" s="1"/>
      <x:c r="B88" s="19" t="n">
        <x:v>81</x:v>
      </x:c>
      <x:c r="C88" s="27"/>
      <x:c r="D88" s="27"/>
      <x:c r="E88" s="27"/>
      <x:c r="F88" s="27"/>
      <x:c r="G88" s="27"/>
      <x:c r="H88" s="27"/>
      <x:c r="I88" s="1"/>
      <x:c r="J88" s="1"/>
      <x:c r="K88" s="1"/>
      <x:c r="L88" s="1"/>
      <x:c r="M88" s="1"/>
      <x:c r="N88" s="1"/>
      <x:c r="O88" s="1"/>
      <x:c r="P88" s="1"/>
      <x:c r="Q88" s="1"/>
      <x:c r="R88" s="1"/>
      <x:c r="S88" s="1"/>
      <x:c r="T88" s="1"/>
    </x:row>
    <x:row r="89" ht="18" customHeight="1">
      <x:c r="A89" s="1"/>
      <x:c r="B89" s="19" t="n">
        <x:v>82</x:v>
      </x:c>
      <x:c r="C89" s="27"/>
      <x:c r="D89" s="27"/>
      <x:c r="E89" s="27"/>
      <x:c r="F89" s="27"/>
      <x:c r="G89" s="27"/>
      <x:c r="H89" s="27"/>
      <x:c r="I89" s="1"/>
      <x:c r="J89" s="1"/>
      <x:c r="K89" s="1"/>
      <x:c r="L89" s="1"/>
      <x:c r="M89" s="1"/>
      <x:c r="N89" s="1"/>
      <x:c r="O89" s="1"/>
      <x:c r="P89" s="1"/>
      <x:c r="Q89" s="1"/>
      <x:c r="R89" s="1"/>
      <x:c r="S89" s="1"/>
      <x:c r="T89" s="1"/>
    </x:row>
    <x:row r="90" ht="18" customHeight="1">
      <x:c r="A90" s="1"/>
      <x:c r="B90" s="19" t="n">
        <x:v>83</x:v>
      </x:c>
      <x:c r="C90" s="27"/>
      <x:c r="D90" s="27"/>
      <x:c r="E90" s="27"/>
      <x:c r="F90" s="27"/>
      <x:c r="G90" s="27"/>
      <x:c r="H90" s="27"/>
      <x:c r="I90" s="1"/>
      <x:c r="J90" s="1"/>
      <x:c r="K90" s="1"/>
      <x:c r="L90" s="1"/>
      <x:c r="M90" s="1"/>
      <x:c r="N90" s="1"/>
      <x:c r="O90" s="1"/>
      <x:c r="P90" s="1"/>
      <x:c r="Q90" s="1"/>
      <x:c r="R90" s="1"/>
      <x:c r="S90" s="1"/>
      <x:c r="T90" s="1"/>
    </x:row>
    <x:row r="91" ht="18" customHeight="1">
      <x:c r="A91" s="1"/>
      <x:c r="B91" s="19" t="n">
        <x:v>84</x:v>
      </x:c>
      <x:c r="C91" s="27"/>
      <x:c r="D91" s="27"/>
      <x:c r="E91" s="27"/>
      <x:c r="F91" s="27"/>
      <x:c r="G91" s="27"/>
      <x:c r="H91" s="27"/>
      <x:c r="I91" s="1"/>
      <x:c r="J91" s="1"/>
      <x:c r="K91" s="1"/>
      <x:c r="L91" s="1"/>
      <x:c r="M91" s="1"/>
      <x:c r="N91" s="1"/>
      <x:c r="O91" s="1"/>
      <x:c r="P91" s="1"/>
      <x:c r="Q91" s="1"/>
      <x:c r="R91" s="1"/>
      <x:c r="S91" s="1"/>
      <x:c r="T91" s="1"/>
    </x:row>
    <x:row r="92" ht="18" customHeight="1">
      <x:c r="A92" s="1"/>
      <x:c r="B92" s="19" t="n">
        <x:v>85</x:v>
      </x:c>
      <x:c r="C92" s="27"/>
      <x:c r="D92" s="27"/>
      <x:c r="E92" s="27"/>
      <x:c r="F92" s="27"/>
      <x:c r="G92" s="27"/>
      <x:c r="H92" s="27"/>
      <x:c r="I92" s="1"/>
      <x:c r="J92" s="1"/>
      <x:c r="K92" s="1"/>
      <x:c r="L92" s="1"/>
      <x:c r="M92" s="1"/>
      <x:c r="N92" s="1"/>
      <x:c r="O92" s="1"/>
      <x:c r="P92" s="1"/>
      <x:c r="Q92" s="1"/>
      <x:c r="R92" s="1"/>
      <x:c r="S92" s="1"/>
      <x:c r="T92" s="1"/>
    </x:row>
    <x:row r="93" ht="18" customHeight="1">
      <x:c r="A93" s="1"/>
      <x:c r="B93" s="19" t="n">
        <x:v>86</x:v>
      </x:c>
      <x:c r="C93" s="27"/>
      <x:c r="D93" s="27"/>
      <x:c r="E93" s="27"/>
      <x:c r="F93" s="27"/>
      <x:c r="G93" s="27"/>
      <x:c r="H93" s="27"/>
      <x:c r="I93" s="1"/>
      <x:c r="J93" s="1"/>
      <x:c r="K93" s="1"/>
      <x:c r="L93" s="1"/>
      <x:c r="M93" s="1"/>
      <x:c r="N93" s="1"/>
      <x:c r="O93" s="1"/>
      <x:c r="P93" s="1"/>
      <x:c r="Q93" s="1"/>
      <x:c r="R93" s="1"/>
      <x:c r="S93" s="1"/>
      <x:c r="T93" s="1"/>
    </x:row>
    <x:row r="94" ht="18" customHeight="1">
      <x:c r="A94" s="1"/>
      <x:c r="B94" s="19" t="n">
        <x:v>87</x:v>
      </x:c>
      <x:c r="C94" s="27"/>
      <x:c r="D94" s="27"/>
      <x:c r="E94" s="27"/>
      <x:c r="F94" s="27"/>
      <x:c r="G94" s="27"/>
      <x:c r="H94" s="27"/>
      <x:c r="I94" s="1"/>
      <x:c r="J94" s="1"/>
      <x:c r="K94" s="1"/>
      <x:c r="L94" s="1"/>
      <x:c r="M94" s="1"/>
      <x:c r="N94" s="1"/>
      <x:c r="O94" s="1"/>
      <x:c r="P94" s="1"/>
      <x:c r="Q94" s="1"/>
      <x:c r="R94" s="1"/>
      <x:c r="S94" s="1"/>
      <x:c r="T94" s="1"/>
    </x:row>
    <x:row r="95" ht="18" customHeight="1">
      <x:c r="A95" s="1"/>
      <x:c r="B95" s="19" t="n">
        <x:v>88</x:v>
      </x:c>
      <x:c r="C95" s="27"/>
      <x:c r="D95" s="27"/>
      <x:c r="E95" s="27"/>
      <x:c r="F95" s="27"/>
      <x:c r="G95" s="27"/>
      <x:c r="H95" s="27"/>
      <x:c r="I95" s="1"/>
      <x:c r="J95" s="1"/>
      <x:c r="K95" s="1"/>
      <x:c r="L95" s="1"/>
      <x:c r="M95" s="1"/>
      <x:c r="N95" s="1"/>
      <x:c r="O95" s="1"/>
      <x:c r="P95" s="1"/>
      <x:c r="Q95" s="1"/>
      <x:c r="R95" s="1"/>
      <x:c r="S95" s="1"/>
      <x:c r="T95" s="1"/>
    </x:row>
    <x:row r="96" ht="18" customHeight="1">
      <x:c r="A96" s="1"/>
      <x:c r="B96" s="19" t="n">
        <x:v>89</x:v>
      </x:c>
      <x:c r="C96" s="27"/>
      <x:c r="D96" s="27"/>
      <x:c r="E96" s="27"/>
      <x:c r="F96" s="27"/>
      <x:c r="G96" s="27"/>
      <x:c r="H96" s="27"/>
      <x:c r="I96" s="1"/>
      <x:c r="J96" s="1"/>
      <x:c r="K96" s="1"/>
      <x:c r="L96" s="1"/>
      <x:c r="M96" s="1"/>
      <x:c r="N96" s="1"/>
      <x:c r="O96" s="1"/>
      <x:c r="P96" s="1"/>
      <x:c r="Q96" s="1"/>
      <x:c r="R96" s="1"/>
      <x:c r="S96" s="1"/>
      <x:c r="T96" s="1"/>
    </x:row>
    <x:row r="97" ht="18" customHeight="1">
      <x:c r="A97" s="1"/>
      <x:c r="B97" s="19" t="n">
        <x:v>90</x:v>
      </x:c>
      <x:c r="C97" s="27"/>
      <x:c r="D97" s="27"/>
      <x:c r="E97" s="27"/>
      <x:c r="F97" s="27"/>
      <x:c r="G97" s="27"/>
      <x:c r="H97" s="27"/>
      <x:c r="I97" s="1"/>
      <x:c r="J97" s="1"/>
      <x:c r="K97" s="1"/>
      <x:c r="L97" s="1"/>
      <x:c r="M97" s="1"/>
      <x:c r="N97" s="1"/>
      <x:c r="O97" s="1"/>
      <x:c r="P97" s="1"/>
      <x:c r="Q97" s="1"/>
      <x:c r="R97" s="1"/>
      <x:c r="S97" s="1"/>
      <x:c r="T97" s="1"/>
    </x:row>
    <x:row r="98" ht="18" customHeight="1">
      <x:c r="A98" s="1"/>
      <x:c r="B98" s="19" t="n">
        <x:v>91</x:v>
      </x:c>
      <x:c r="C98" s="27"/>
      <x:c r="D98" s="27"/>
      <x:c r="E98" s="27"/>
      <x:c r="F98" s="27"/>
      <x:c r="G98" s="27"/>
      <x:c r="H98" s="27"/>
      <x:c r="I98" s="1"/>
      <x:c r="J98" s="1"/>
      <x:c r="K98" s="1"/>
      <x:c r="L98" s="1"/>
      <x:c r="M98" s="1"/>
      <x:c r="N98" s="1"/>
      <x:c r="O98" s="1"/>
      <x:c r="P98" s="1"/>
      <x:c r="Q98" s="1"/>
      <x:c r="R98" s="1"/>
      <x:c r="S98" s="1"/>
      <x:c r="T98" s="1"/>
    </x:row>
    <x:row r="99" ht="18" customHeight="1">
      <x:c r="A99" s="1"/>
      <x:c r="B99" s="19" t="n">
        <x:v>92</x:v>
      </x:c>
      <x:c r="C99" s="27"/>
      <x:c r="D99" s="27"/>
      <x:c r="E99" s="27"/>
      <x:c r="F99" s="27"/>
      <x:c r="G99" s="27"/>
      <x:c r="H99" s="27"/>
      <x:c r="I99" s="1"/>
      <x:c r="J99" s="1"/>
      <x:c r="K99" s="1"/>
      <x:c r="L99" s="1"/>
      <x:c r="M99" s="1"/>
      <x:c r="N99" s="1"/>
      <x:c r="O99" s="1"/>
      <x:c r="P99" s="1"/>
      <x:c r="Q99" s="1"/>
      <x:c r="R99" s="1"/>
      <x:c r="S99" s="1"/>
      <x:c r="T99" s="1"/>
    </x:row>
    <x:row r="100" ht="18" customHeight="1">
      <x:c r="A100" s="1"/>
      <x:c r="B100" s="19" t="n">
        <x:v>93</x:v>
      </x:c>
      <x:c r="C100" s="27"/>
      <x:c r="D100" s="27"/>
      <x:c r="E100" s="27"/>
      <x:c r="F100" s="27"/>
      <x:c r="G100" s="27"/>
      <x:c r="H100" s="27"/>
      <x:c r="I100" s="1"/>
      <x:c r="J100" s="1"/>
      <x:c r="K100" s="1"/>
      <x:c r="L100" s="1"/>
      <x:c r="M100" s="1"/>
      <x:c r="N100" s="1"/>
      <x:c r="O100" s="1"/>
      <x:c r="P100" s="1"/>
      <x:c r="Q100" s="1"/>
      <x:c r="R100" s="1"/>
      <x:c r="S100" s="1"/>
      <x:c r="T100" s="1"/>
    </x:row>
    <x:row r="101" ht="18" customHeight="1">
      <x:c r="A101" s="1"/>
      <x:c r="B101" s="19" t="n">
        <x:v>94</x:v>
      </x:c>
      <x:c r="C101" s="27"/>
      <x:c r="D101" s="27"/>
      <x:c r="E101" s="27"/>
      <x:c r="F101" s="27"/>
      <x:c r="G101" s="27"/>
      <x:c r="H101" s="27"/>
      <x:c r="I101" s="1"/>
      <x:c r="J101" s="1"/>
      <x:c r="K101" s="1"/>
      <x:c r="L101" s="1"/>
      <x:c r="M101" s="1"/>
      <x:c r="N101" s="1"/>
      <x:c r="O101" s="1"/>
      <x:c r="P101" s="1"/>
      <x:c r="Q101" s="1"/>
      <x:c r="R101" s="1"/>
      <x:c r="S101" s="1"/>
      <x:c r="T101" s="1"/>
    </x:row>
    <x:row r="102" ht="18" customHeight="1">
      <x:c r="A102" s="1"/>
      <x:c r="B102" s="19" t="n">
        <x:v>95</x:v>
      </x:c>
      <x:c r="C102" s="27"/>
      <x:c r="D102" s="27"/>
      <x:c r="E102" s="27"/>
      <x:c r="F102" s="27"/>
      <x:c r="G102" s="27"/>
      <x:c r="H102" s="27"/>
      <x:c r="I102" s="1"/>
      <x:c r="J102" s="1"/>
      <x:c r="K102" s="1"/>
      <x:c r="L102" s="1"/>
      <x:c r="M102" s="1"/>
      <x:c r="N102" s="1"/>
      <x:c r="O102" s="1"/>
      <x:c r="P102" s="1"/>
      <x:c r="Q102" s="1"/>
      <x:c r="R102" s="1"/>
      <x:c r="S102" s="1"/>
      <x:c r="T102" s="1"/>
    </x:row>
    <x:row r="103" ht="18" customHeight="1">
      <x:c r="A103" s="1"/>
      <x:c r="B103" s="19" t="n">
        <x:v>96</x:v>
      </x:c>
      <x:c r="C103" s="27"/>
      <x:c r="D103" s="27"/>
      <x:c r="E103" s="27"/>
      <x:c r="F103" s="27"/>
      <x:c r="G103" s="27"/>
      <x:c r="H103" s="27"/>
      <x:c r="I103" s="1"/>
      <x:c r="J103" s="1"/>
      <x:c r="K103" s="1"/>
      <x:c r="L103" s="1"/>
      <x:c r="M103" s="1"/>
      <x:c r="N103" s="1"/>
      <x:c r="O103" s="1"/>
      <x:c r="P103" s="1"/>
      <x:c r="Q103" s="1"/>
      <x:c r="R103" s="1"/>
      <x:c r="S103" s="1"/>
      <x:c r="T103" s="1"/>
    </x:row>
    <x:row r="104" ht="18" customHeight="1">
      <x:c r="A104" s="1"/>
      <x:c r="B104" s="19" t="n">
        <x:v>97</x:v>
      </x:c>
      <x:c r="C104" s="27"/>
      <x:c r="D104" s="27"/>
      <x:c r="E104" s="27"/>
      <x:c r="F104" s="27"/>
      <x:c r="G104" s="27"/>
      <x:c r="H104" s="27"/>
      <x:c r="I104" s="1"/>
      <x:c r="J104" s="1"/>
      <x:c r="K104" s="1"/>
      <x:c r="L104" s="1"/>
      <x:c r="M104" s="1"/>
      <x:c r="N104" s="1"/>
      <x:c r="O104" s="1"/>
      <x:c r="P104" s="1"/>
      <x:c r="Q104" s="1"/>
      <x:c r="R104" s="1"/>
      <x:c r="S104" s="1"/>
      <x:c r="T104" s="1"/>
    </x:row>
    <x:row r="105" ht="18" customHeight="1">
      <x:c r="A105" s="1"/>
      <x:c r="B105" s="19" t="n">
        <x:v>98</x:v>
      </x:c>
      <x:c r="C105" s="27"/>
      <x:c r="D105" s="27"/>
      <x:c r="E105" s="27"/>
      <x:c r="F105" s="27"/>
      <x:c r="G105" s="27"/>
      <x:c r="H105" s="27"/>
      <x:c r="I105" s="1"/>
      <x:c r="J105" s="1"/>
      <x:c r="K105" s="1"/>
      <x:c r="L105" s="1"/>
      <x:c r="M105" s="1"/>
      <x:c r="N105" s="1"/>
      <x:c r="O105" s="1"/>
      <x:c r="P105" s="1"/>
      <x:c r="Q105" s="1"/>
      <x:c r="R105" s="1"/>
      <x:c r="S105" s="1"/>
      <x:c r="T105" s="1"/>
    </x:row>
    <x:row r="106" ht="18" customHeight="1">
      <x:c r="A106" s="1"/>
      <x:c r="B106" s="19" t="n">
        <x:v>99</x:v>
      </x:c>
      <x:c r="C106" s="27"/>
      <x:c r="D106" s="27"/>
      <x:c r="E106" s="27"/>
      <x:c r="F106" s="27"/>
      <x:c r="G106" s="27"/>
      <x:c r="H106" s="27"/>
      <x:c r="I106" s="1"/>
      <x:c r="J106" s="1"/>
      <x:c r="K106" s="1"/>
      <x:c r="L106" s="1"/>
      <x:c r="M106" s="1"/>
      <x:c r="N106" s="1"/>
      <x:c r="O106" s="1"/>
      <x:c r="P106" s="1"/>
      <x:c r="Q106" s="1"/>
      <x:c r="R106" s="1"/>
      <x:c r="S106" s="1"/>
      <x:c r="T106" s="1"/>
    </x:row>
    <x:row r="107" ht="18" customHeight="1">
      <x:c r="A107" s="1"/>
      <x:c r="B107" s="19" t="n">
        <x:v>100</x:v>
      </x:c>
      <x:c r="C107" s="27"/>
      <x:c r="D107" s="27"/>
      <x:c r="E107" s="27"/>
      <x:c r="F107" s="27"/>
      <x:c r="G107" s="27"/>
      <x:c r="H107" s="27"/>
      <x:c r="I107" s="1"/>
      <x:c r="J107" s="1"/>
      <x:c r="K107" s="1"/>
      <x:c r="L107" s="1"/>
      <x:c r="M107" s="1"/>
      <x:c r="N107" s="1"/>
      <x:c r="O107" s="1"/>
      <x:c r="P107" s="1"/>
      <x:c r="Q107" s="1"/>
      <x:c r="R107" s="1"/>
      <x:c r="S107" s="1"/>
      <x:c r="T107" s="1"/>
    </x:row>
    <x:row r="108" ht="18" customHeight="1">
      <x:c r="A108" s="1"/>
      <x:c r="B108" s="1"/>
      <x:c r="C108" s="1"/>
      <x:c r="D108" s="1"/>
      <x:c r="E108" s="1"/>
      <x:c r="F108" s="1"/>
      <x:c r="G108" s="1"/>
      <x:c r="H108" s="1"/>
      <x:c r="I108" s="1"/>
      <x:c r="J108" s="1"/>
      <x:c r="K108" s="1"/>
      <x:c r="L108" s="1"/>
      <x:c r="M108" s="1"/>
      <x:c r="N108" s="1"/>
      <x:c r="O108" s="1"/>
      <x:c r="P108" s="1"/>
      <x:c r="Q108" s="1"/>
      <x:c r="R108" s="1"/>
      <x:c r="S108" s="1"/>
      <x:c r="T108" s="1"/>
    </x:row>
    <x:row r="109" ht="18" customHeight="1">
      <x:c r="A109" s="1"/>
      <x:c r="B109" s="1"/>
      <x:c r="C109" s="1"/>
      <x:c r="D109" s="1"/>
      <x:c r="E109" s="1"/>
      <x:c r="F109" s="1"/>
      <x:c r="G109" s="1"/>
      <x:c r="H109" s="1"/>
      <x:c r="I109" s="1"/>
      <x:c r="J109" s="1"/>
      <x:c r="K109" s="1"/>
      <x:c r="L109" s="1"/>
      <x:c r="M109" s="1"/>
      <x:c r="N109" s="1"/>
      <x:c r="O109" s="1"/>
      <x:c r="P109" s="1"/>
      <x:c r="Q109" s="1"/>
      <x:c r="R109" s="1"/>
      <x:c r="S109" s="1"/>
      <x:c r="T109" s="1"/>
    </x:row>
    <x:row r="110" ht="18" customHeight="1">
      <x:c r="A110" s="1"/>
      <x:c r="B110" s="1"/>
      <x:c r="C110" s="1"/>
      <x:c r="D110" s="1"/>
      <x:c r="E110" s="1"/>
      <x:c r="F110" s="1"/>
      <x:c r="G110" s="1"/>
      <x:c r="H110" s="1"/>
      <x:c r="I110" s="1"/>
      <x:c r="J110" s="1"/>
      <x:c r="K110" s="1"/>
      <x:c r="L110" s="1"/>
      <x:c r="M110" s="1"/>
      <x:c r="N110" s="1"/>
      <x:c r="O110" s="1"/>
      <x:c r="P110" s="1"/>
      <x:c r="Q110" s="1"/>
      <x:c r="R110" s="1"/>
      <x:c r="S110" s="1"/>
      <x:c r="T110" s="1"/>
    </x:row>
    <x:row r="111" ht="18" customHeight="1">
      <x:c r="A111" s="1"/>
      <x:c r="B111" s="1"/>
      <x:c r="C111" s="1"/>
      <x:c r="D111" s="1"/>
      <x:c r="E111" s="1"/>
      <x:c r="F111" s="1"/>
      <x:c r="G111" s="1"/>
      <x:c r="H111" s="1"/>
      <x:c r="I111" s="1"/>
      <x:c r="J111" s="1"/>
      <x:c r="K111" s="1"/>
      <x:c r="L111" s="1"/>
      <x:c r="M111" s="1"/>
      <x:c r="N111" s="1"/>
      <x:c r="O111" s="1"/>
      <x:c r="P111" s="1"/>
      <x:c r="Q111" s="1"/>
      <x:c r="R111" s="1"/>
      <x:c r="S111" s="1"/>
      <x:c r="T111" s="1"/>
    </x:row>
    <x:row r="112" ht="18" customHeight="1">
      <x:c r="A112" s="1"/>
      <x:c r="B112" s="1"/>
      <x:c r="C112" s="1"/>
      <x:c r="D112" s="1"/>
      <x:c r="E112" s="1"/>
      <x:c r="F112" s="1"/>
      <x:c r="G112" s="1"/>
      <x:c r="H112" s="1"/>
      <x:c r="I112" s="1"/>
      <x:c r="J112" s="1"/>
      <x:c r="K112" s="1"/>
      <x:c r="L112" s="1"/>
      <x:c r="M112" s="1"/>
      <x:c r="N112" s="1"/>
      <x:c r="O112" s="1"/>
      <x:c r="P112" s="1"/>
      <x:c r="Q112" s="1"/>
      <x:c r="R112" s="1"/>
      <x:c r="S112" s="1"/>
      <x:c r="T112" s="1"/>
    </x:row>
    <x:row r="113" ht="18" customHeight="1">
      <x:c r="A113" s="1"/>
      <x:c r="B113" s="1"/>
      <x:c r="C113" s="1"/>
      <x:c r="D113" s="1"/>
      <x:c r="E113" s="1"/>
      <x:c r="F113" s="1"/>
      <x:c r="G113" s="1"/>
      <x:c r="H113" s="1"/>
      <x:c r="I113" s="1"/>
      <x:c r="J113" s="1"/>
      <x:c r="K113" s="1"/>
      <x:c r="L113" s="1"/>
      <x:c r="M113" s="1"/>
      <x:c r="N113" s="1"/>
      <x:c r="O113" s="1"/>
      <x:c r="P113" s="1"/>
      <x:c r="Q113" s="1"/>
      <x:c r="R113" s="1"/>
      <x:c r="S113" s="1"/>
      <x:c r="T113" s="1"/>
    </x:row>
    <x:row r="114" ht="18" customHeight="1">
      <x:c r="A114" s="1"/>
      <x:c r="B114" s="1"/>
      <x:c r="C114" s="1"/>
      <x:c r="D114" s="1"/>
      <x:c r="E114" s="1"/>
      <x:c r="F114" s="1"/>
      <x:c r="G114" s="1"/>
      <x:c r="H114" s="1"/>
      <x:c r="I114" s="1"/>
      <x:c r="J114" s="1"/>
      <x:c r="K114" s="1"/>
      <x:c r="L114" s="1"/>
      <x:c r="M114" s="1"/>
      <x:c r="N114" s="1"/>
      <x:c r="O114" s="1"/>
      <x:c r="P114" s="1"/>
      <x:c r="Q114" s="1"/>
      <x:c r="R114" s="1"/>
      <x:c r="S114" s="1"/>
      <x:c r="T114" s="1"/>
    </x:row>
    <x:row r="115" ht="18" customHeight="1">
      <x:c r="A115" s="1"/>
      <x:c r="B115" s="1"/>
      <x:c r="C115" s="1"/>
      <x:c r="D115" s="1"/>
      <x:c r="E115" s="1"/>
      <x:c r="F115" s="1"/>
      <x:c r="G115" s="1"/>
      <x:c r="H115" s="1"/>
      <x:c r="I115" s="1"/>
      <x:c r="J115" s="1"/>
      <x:c r="K115" s="1"/>
      <x:c r="L115" s="1"/>
      <x:c r="M115" s="1"/>
      <x:c r="N115" s="1"/>
      <x:c r="O115" s="1"/>
      <x:c r="P115" s="1"/>
      <x:c r="Q115" s="1"/>
      <x:c r="R115" s="1"/>
      <x:c r="S115" s="1"/>
      <x:c r="T115" s="1"/>
    </x:row>
    <x:row r="116" ht="18" customHeight="1">
      <x:c r="A116" s="1"/>
      <x:c r="B116" s="1"/>
      <x:c r="C116" s="1"/>
      <x:c r="D116" s="1"/>
      <x:c r="E116" s="1"/>
      <x:c r="F116" s="1"/>
      <x:c r="G116" s="1"/>
      <x:c r="H116" s="1"/>
      <x:c r="I116" s="1"/>
      <x:c r="J116" s="1"/>
      <x:c r="K116" s="1"/>
      <x:c r="L116" s="1"/>
      <x:c r="M116" s="1"/>
      <x:c r="N116" s="1"/>
      <x:c r="O116" s="1"/>
      <x:c r="P116" s="1"/>
      <x:c r="Q116" s="1"/>
      <x:c r="R116" s="1"/>
      <x:c r="S116" s="1"/>
      <x:c r="T116" s="1"/>
    </x:row>
    <x:row r="117" ht="18" customHeight="1">
      <x:c r="A117" s="1"/>
      <x:c r="B117" s="1"/>
      <x:c r="C117" s="1"/>
      <x:c r="D117" s="1"/>
      <x:c r="E117" s="1"/>
      <x:c r="F117" s="1"/>
      <x:c r="G117" s="1"/>
      <x:c r="H117" s="1"/>
      <x:c r="I117" s="1"/>
      <x:c r="J117" s="1"/>
      <x:c r="K117" s="1"/>
      <x:c r="L117" s="1"/>
      <x:c r="M117" s="1"/>
      <x:c r="N117" s="1"/>
      <x:c r="O117" s="1"/>
      <x:c r="P117" s="1"/>
      <x:c r="Q117" s="1"/>
      <x:c r="R117" s="1"/>
      <x:c r="S117" s="1"/>
      <x:c r="T117" s="1"/>
    </x:row>
    <x:row r="118" ht="18" customHeight="1">
      <x:c r="A118" s="1"/>
      <x:c r="B118" s="1"/>
      <x:c r="C118" s="1"/>
      <x:c r="D118" s="1"/>
      <x:c r="E118" s="1"/>
      <x:c r="F118" s="1"/>
      <x:c r="G118" s="1"/>
      <x:c r="H118" s="1"/>
      <x:c r="I118" s="1"/>
      <x:c r="J118" s="1"/>
      <x:c r="K118" s="1"/>
      <x:c r="L118" s="1"/>
      <x:c r="M118" s="1"/>
      <x:c r="N118" s="1"/>
      <x:c r="O118" s="1"/>
      <x:c r="P118" s="1"/>
      <x:c r="Q118" s="1"/>
      <x:c r="R118" s="1"/>
      <x:c r="S118" s="1"/>
      <x:c r="T118" s="1"/>
    </x:row>
    <x:row r="119" ht="18" customHeight="1">
      <x:c r="A119" s="1"/>
      <x:c r="B119" s="1"/>
      <x:c r="C119" s="1"/>
      <x:c r="D119" s="1"/>
      <x:c r="E119" s="1"/>
      <x:c r="F119" s="1"/>
      <x:c r="G119" s="1"/>
      <x:c r="H119" s="1"/>
      <x:c r="I119" s="1"/>
      <x:c r="J119" s="1"/>
      <x:c r="K119" s="1"/>
      <x:c r="L119" s="1"/>
      <x:c r="M119" s="1"/>
      <x:c r="N119" s="1"/>
      <x:c r="O119" s="1"/>
      <x:c r="P119" s="1"/>
      <x:c r="Q119" s="1"/>
      <x:c r="R119" s="1"/>
      <x:c r="S119" s="1"/>
      <x:c r="T119" s="1"/>
    </x:row>
    <x:row r="120" ht="18" customHeight="1">
      <x:c r="A120" s="1"/>
      <x:c r="B120" s="1"/>
      <x:c r="C120" s="1"/>
      <x:c r="D120" s="1"/>
      <x:c r="E120" s="1"/>
      <x:c r="F120" s="1"/>
      <x:c r="G120" s="1"/>
      <x:c r="H120" s="1"/>
      <x:c r="I120" s="1"/>
      <x:c r="J120" s="1"/>
      <x:c r="K120" s="1"/>
      <x:c r="L120" s="1"/>
      <x:c r="M120" s="1"/>
      <x:c r="N120" s="1"/>
      <x:c r="O120" s="1"/>
      <x:c r="P120" s="1"/>
      <x:c r="Q120" s="1"/>
      <x:c r="R120" s="1"/>
      <x:c r="S120" s="1"/>
      <x:c r="T120" s="1"/>
    </x:row>
    <x:row r="121" ht="18" customHeight="1">
      <x:c r="A121" s="1"/>
      <x:c r="B121" s="1"/>
      <x:c r="C121" s="1"/>
      <x:c r="D121" s="1"/>
      <x:c r="E121" s="1"/>
      <x:c r="F121" s="1"/>
      <x:c r="G121" s="1"/>
      <x:c r="H121" s="1"/>
      <x:c r="I121" s="1"/>
      <x:c r="J121" s="1"/>
      <x:c r="K121" s="1"/>
      <x:c r="L121" s="1"/>
      <x:c r="M121" s="1"/>
      <x:c r="N121" s="1"/>
      <x:c r="O121" s="1"/>
      <x:c r="P121" s="1"/>
      <x:c r="Q121" s="1"/>
      <x:c r="R121" s="1"/>
      <x:c r="S121" s="1"/>
      <x:c r="T121" s="1"/>
    </x:row>
    <x:row r="122" ht="18" customHeight="1">
      <x:c r="A122" s="1"/>
      <x:c r="B122" s="1"/>
      <x:c r="C122" s="1"/>
      <x:c r="D122" s="1"/>
      <x:c r="E122" s="1"/>
      <x:c r="F122" s="1"/>
      <x:c r="G122" s="1"/>
      <x:c r="H122" s="1"/>
      <x:c r="I122" s="1"/>
      <x:c r="J122" s="1"/>
      <x:c r="K122" s="1"/>
      <x:c r="L122" s="1"/>
      <x:c r="M122" s="1"/>
      <x:c r="N122" s="1"/>
      <x:c r="O122" s="1"/>
      <x:c r="P122" s="1"/>
      <x:c r="Q122" s="1"/>
      <x:c r="R122" s="1"/>
      <x:c r="S122" s="1"/>
      <x:c r="T122" s="1"/>
    </x:row>
    <x:row r="123" ht="18" customHeight="1">
      <x:c r="A123" s="1"/>
      <x:c r="B123" s="1"/>
      <x:c r="C123" s="1"/>
      <x:c r="D123" s="1"/>
      <x:c r="E123" s="1"/>
      <x:c r="F123" s="1"/>
      <x:c r="G123" s="1"/>
      <x:c r="H123" s="1"/>
      <x:c r="I123" s="1"/>
      <x:c r="J123" s="1"/>
      <x:c r="K123" s="1"/>
      <x:c r="L123" s="1"/>
      <x:c r="M123" s="1"/>
      <x:c r="N123" s="1"/>
      <x:c r="O123" s="1"/>
      <x:c r="P123" s="1"/>
      <x:c r="Q123" s="1"/>
      <x:c r="R123" s="1"/>
      <x:c r="S123" s="1"/>
      <x:c r="T123" s="1"/>
    </x:row>
    <x:row r="124" ht="18" customHeight="1">
      <x:c r="A124" s="1"/>
      <x:c r="B124" s="1"/>
      <x:c r="C124" s="1"/>
      <x:c r="D124" s="1"/>
      <x:c r="E124" s="1"/>
      <x:c r="F124" s="1"/>
      <x:c r="G124" s="1"/>
      <x:c r="H124" s="1"/>
      <x:c r="I124" s="1"/>
      <x:c r="J124" s="1"/>
      <x:c r="K124" s="1"/>
      <x:c r="L124" s="1"/>
      <x:c r="M124" s="1"/>
      <x:c r="N124" s="1"/>
      <x:c r="O124" s="1"/>
      <x:c r="P124" s="1"/>
      <x:c r="Q124" s="1"/>
      <x:c r="R124" s="1"/>
      <x:c r="S124" s="1"/>
      <x:c r="T124" s="1"/>
    </x:row>
    <x:row r="125" ht="18" customHeight="1">
      <x:c r="A125" s="1"/>
      <x:c r="B125" s="1"/>
      <x:c r="C125" s="1"/>
      <x:c r="D125" s="1"/>
      <x:c r="E125" s="1"/>
      <x:c r="F125" s="1"/>
      <x:c r="G125" s="1"/>
      <x:c r="H125" s="1"/>
      <x:c r="I125" s="1"/>
      <x:c r="J125" s="1"/>
      <x:c r="K125" s="1"/>
      <x:c r="L125" s="1"/>
      <x:c r="M125" s="1"/>
      <x:c r="N125" s="1"/>
      <x:c r="O125" s="1"/>
      <x:c r="P125" s="1"/>
      <x:c r="Q125" s="1"/>
      <x:c r="R125" s="1"/>
      <x:c r="S125" s="1"/>
      <x:c r="T125" s="1"/>
    </x:row>
    <x:row r="126" ht="18" customHeight="1">
      <x:c r="A126" s="1"/>
      <x:c r="B126" s="1"/>
      <x:c r="C126" s="1"/>
      <x:c r="D126" s="1"/>
      <x:c r="E126" s="1"/>
      <x:c r="F126" s="1"/>
      <x:c r="G126" s="1"/>
      <x:c r="H126" s="1"/>
      <x:c r="I126" s="1"/>
      <x:c r="J126" s="1"/>
      <x:c r="K126" s="1"/>
      <x:c r="L126" s="1"/>
      <x:c r="M126" s="1"/>
      <x:c r="N126" s="1"/>
      <x:c r="O126" s="1"/>
      <x:c r="P126" s="1"/>
      <x:c r="Q126" s="1"/>
      <x:c r="R126" s="1"/>
      <x:c r="S126" s="1"/>
      <x:c r="T126" s="1"/>
    </x:row>
    <x:row r="127" ht="18" customHeight="1">
      <x:c r="A127" s="1"/>
      <x:c r="B127" s="1"/>
      <x:c r="C127" s="1"/>
      <x:c r="D127" s="1"/>
      <x:c r="E127" s="1"/>
      <x:c r="F127" s="1"/>
      <x:c r="G127" s="1"/>
      <x:c r="H127" s="1"/>
      <x:c r="I127" s="1"/>
      <x:c r="J127" s="1"/>
      <x:c r="K127" s="1"/>
      <x:c r="L127" s="1"/>
      <x:c r="M127" s="1"/>
      <x:c r="N127" s="1"/>
      <x:c r="O127" s="1"/>
      <x:c r="P127" s="1"/>
      <x:c r="Q127" s="1"/>
      <x:c r="R127" s="1"/>
      <x:c r="S127" s="1"/>
      <x:c r="T127" s="1"/>
    </x:row>
    <x:row r="128" ht="18" customHeight="1">
      <x:c r="A128" s="1"/>
      <x:c r="B128" s="1"/>
      <x:c r="C128" s="1"/>
      <x:c r="D128" s="1"/>
      <x:c r="E128" s="1"/>
      <x:c r="F128" s="1"/>
      <x:c r="G128" s="1"/>
      <x:c r="H128" s="1"/>
      <x:c r="I128" s="1"/>
      <x:c r="J128" s="1"/>
      <x:c r="K128" s="1"/>
      <x:c r="L128" s="1"/>
      <x:c r="M128" s="1"/>
      <x:c r="N128" s="1"/>
      <x:c r="O128" s="1"/>
      <x:c r="P128" s="1"/>
      <x:c r="Q128" s="1"/>
      <x:c r="R128" s="1"/>
      <x:c r="S128" s="1"/>
      <x:c r="T128" s="1"/>
    </x:row>
    <x:row r="129" ht="18" customHeight="1">
      <x:c r="A129" s="1"/>
      <x:c r="B129" s="1"/>
      <x:c r="C129" s="1"/>
      <x:c r="D129" s="1"/>
      <x:c r="E129" s="1"/>
      <x:c r="F129" s="1"/>
      <x:c r="G129" s="1"/>
      <x:c r="H129" s="1"/>
      <x:c r="I129" s="1"/>
      <x:c r="J129" s="1"/>
      <x:c r="K129" s="1"/>
      <x:c r="L129" s="1"/>
      <x:c r="M129" s="1"/>
      <x:c r="N129" s="1"/>
      <x:c r="O129" s="1"/>
      <x:c r="P129" s="1"/>
      <x:c r="Q129" s="1"/>
      <x:c r="R129" s="1"/>
      <x:c r="S129" s="1"/>
      <x:c r="T129" s="1"/>
    </x:row>
    <x:row r="130" ht="18" customHeight="1">
      <x:c r="A130" s="1"/>
      <x:c r="B130" s="1"/>
      <x:c r="C130" s="1"/>
      <x:c r="D130" s="1"/>
      <x:c r="E130" s="1"/>
      <x:c r="F130" s="1"/>
      <x:c r="G130" s="1"/>
      <x:c r="H130" s="1"/>
      <x:c r="I130" s="1"/>
      <x:c r="J130" s="1"/>
      <x:c r="K130" s="1"/>
      <x:c r="L130" s="1"/>
      <x:c r="M130" s="1"/>
      <x:c r="N130" s="1"/>
      <x:c r="O130" s="1"/>
      <x:c r="P130" s="1"/>
      <x:c r="Q130" s="1"/>
      <x:c r="R130" s="1"/>
      <x:c r="S130" s="1"/>
      <x:c r="T130" s="1"/>
    </x:row>
    <x:row r="131" ht="18" customHeight="1">
      <x:c r="A131" s="1"/>
      <x:c r="B131" s="1"/>
      <x:c r="C131" s="1"/>
      <x:c r="D131" s="1"/>
      <x:c r="E131" s="1"/>
      <x:c r="F131" s="1"/>
      <x:c r="G131" s="1"/>
      <x:c r="H131" s="1"/>
      <x:c r="I131" s="1"/>
      <x:c r="J131" s="1"/>
      <x:c r="K131" s="1"/>
      <x:c r="L131" s="1"/>
      <x:c r="M131" s="1"/>
      <x:c r="N131" s="1"/>
      <x:c r="O131" s="1"/>
      <x:c r="P131" s="1"/>
      <x:c r="Q131" s="1"/>
      <x:c r="R131" s="1"/>
      <x:c r="S131" s="1"/>
      <x:c r="T131" s="1"/>
    </x:row>
    <x:row r="132" ht="18" customHeight="1">
      <x:c r="A132" s="1"/>
      <x:c r="B132" s="1"/>
      <x:c r="C132" s="1"/>
      <x:c r="D132" s="1"/>
      <x:c r="E132" s="1"/>
      <x:c r="F132" s="1"/>
      <x:c r="G132" s="1"/>
      <x:c r="H132" s="1"/>
      <x:c r="I132" s="1"/>
      <x:c r="J132" s="1"/>
      <x:c r="K132" s="1"/>
      <x:c r="L132" s="1"/>
      <x:c r="M132" s="1"/>
      <x:c r="N132" s="1"/>
      <x:c r="O132" s="1"/>
      <x:c r="P132" s="1"/>
      <x:c r="Q132" s="1"/>
      <x:c r="R132" s="1"/>
      <x:c r="S132" s="1"/>
      <x:c r="T132" s="1"/>
    </x:row>
    <x:row r="133" ht="18" customHeight="1">
      <x:c r="A133" s="1"/>
      <x:c r="B133" s="1"/>
      <x:c r="C133" s="1"/>
      <x:c r="D133" s="1"/>
      <x:c r="E133" s="1"/>
      <x:c r="F133" s="1"/>
      <x:c r="G133" s="1"/>
      <x:c r="H133" s="1"/>
      <x:c r="I133" s="1"/>
      <x:c r="J133" s="1"/>
      <x:c r="K133" s="1"/>
      <x:c r="L133" s="1"/>
      <x:c r="M133" s="1"/>
      <x:c r="N133" s="1"/>
      <x:c r="O133" s="1"/>
      <x:c r="P133" s="1"/>
      <x:c r="Q133" s="1"/>
      <x:c r="R133" s="1"/>
      <x:c r="S133" s="1"/>
      <x:c r="T133" s="1"/>
    </x:row>
    <x:row r="134" ht="18" customHeight="1">
      <x:c r="A134" s="1"/>
      <x:c r="B134" s="1"/>
      <x:c r="C134" s="1"/>
      <x:c r="D134" s="1"/>
      <x:c r="E134" s="1"/>
      <x:c r="F134" s="1"/>
      <x:c r="G134" s="1"/>
      <x:c r="H134" s="1"/>
      <x:c r="I134" s="1"/>
      <x:c r="J134" s="1"/>
      <x:c r="K134" s="1"/>
      <x:c r="L134" s="1"/>
      <x:c r="M134" s="1"/>
      <x:c r="N134" s="1"/>
      <x:c r="O134" s="1"/>
      <x:c r="P134" s="1"/>
      <x:c r="Q134" s="1"/>
      <x:c r="R134" s="1"/>
      <x:c r="S134" s="1"/>
      <x:c r="T134" s="1"/>
    </x:row>
    <x:row r="135" ht="18" customHeight="1">
      <x:c r="A135" s="1"/>
      <x:c r="B135" s="1"/>
      <x:c r="C135" s="1"/>
      <x:c r="D135" s="1"/>
      <x:c r="E135" s="1"/>
      <x:c r="F135" s="1"/>
      <x:c r="G135" s="1"/>
      <x:c r="H135" s="1"/>
      <x:c r="I135" s="1"/>
      <x:c r="J135" s="1"/>
      <x:c r="K135" s="1"/>
      <x:c r="L135" s="1"/>
      <x:c r="M135" s="1"/>
      <x:c r="N135" s="1"/>
      <x:c r="O135" s="1"/>
      <x:c r="P135" s="1"/>
      <x:c r="Q135" s="1"/>
      <x:c r="R135" s="1"/>
      <x:c r="S135" s="1"/>
      <x:c r="T135" s="1"/>
    </x:row>
    <x:row r="136" ht="18" customHeight="1">
      <x:c r="A136" s="1"/>
      <x:c r="B136" s="1"/>
      <x:c r="C136" s="1"/>
      <x:c r="D136" s="1"/>
      <x:c r="E136" s="1"/>
      <x:c r="F136" s="1"/>
      <x:c r="G136" s="1"/>
      <x:c r="H136" s="1"/>
      <x:c r="I136" s="1"/>
      <x:c r="J136" s="1"/>
      <x:c r="K136" s="1"/>
      <x:c r="L136" s="1"/>
      <x:c r="M136" s="1"/>
      <x:c r="N136" s="1"/>
      <x:c r="O136" s="1"/>
      <x:c r="P136" s="1"/>
      <x:c r="Q136" s="1"/>
      <x:c r="R136" s="1"/>
      <x:c r="S136" s="1"/>
      <x:c r="T136" s="1"/>
    </x:row>
    <x:row r="137" ht="18" customHeight="1">
      <x:c r="A137" s="1"/>
      <x:c r="B137" s="1"/>
      <x:c r="C137" s="1"/>
      <x:c r="D137" s="1"/>
      <x:c r="E137" s="1"/>
      <x:c r="F137" s="1"/>
      <x:c r="G137" s="1"/>
      <x:c r="H137" s="1"/>
      <x:c r="I137" s="1"/>
      <x:c r="J137" s="1"/>
      <x:c r="K137" s="1"/>
      <x:c r="L137" s="1"/>
      <x:c r="M137" s="1"/>
      <x:c r="N137" s="1"/>
      <x:c r="O137" s="1"/>
      <x:c r="P137" s="1"/>
      <x:c r="Q137" s="1"/>
      <x:c r="R137" s="1"/>
      <x:c r="S137" s="1"/>
      <x:c r="T137" s="1"/>
    </x:row>
    <x:row r="138" ht="18" customHeight="1">
      <x:c r="A138" s="1"/>
      <x:c r="B138" s="1"/>
      <x:c r="C138" s="1"/>
      <x:c r="D138" s="1"/>
      <x:c r="E138" s="1"/>
      <x:c r="F138" s="1"/>
      <x:c r="G138" s="1"/>
      <x:c r="H138" s="1"/>
      <x:c r="I138" s="1"/>
      <x:c r="J138" s="1"/>
      <x:c r="K138" s="1"/>
      <x:c r="L138" s="1"/>
      <x:c r="M138" s="1"/>
      <x:c r="N138" s="1"/>
      <x:c r="O138" s="1"/>
      <x:c r="P138" s="1"/>
      <x:c r="Q138" s="1"/>
      <x:c r="R138" s="1"/>
      <x:c r="S138" s="1"/>
      <x:c r="T138" s="1"/>
    </x:row>
    <x:row r="139" ht="18" customHeight="1">
      <x:c r="A139" s="1"/>
      <x:c r="B139" s="1"/>
      <x:c r="C139" s="1"/>
      <x:c r="D139" s="1"/>
      <x:c r="E139" s="1"/>
      <x:c r="F139" s="1"/>
      <x:c r="G139" s="1"/>
      <x:c r="H139" s="1"/>
      <x:c r="I139" s="1"/>
      <x:c r="J139" s="1"/>
      <x:c r="K139" s="1"/>
      <x:c r="L139" s="1"/>
      <x:c r="M139" s="1"/>
      <x:c r="N139" s="1"/>
      <x:c r="O139" s="1"/>
      <x:c r="P139" s="1"/>
      <x:c r="Q139" s="1"/>
      <x:c r="R139" s="1"/>
      <x:c r="S139" s="1"/>
      <x:c r="T139" s="1"/>
    </x:row>
    <x:row r="140" ht="18" customHeight="1">
      <x:c r="A140" s="1"/>
      <x:c r="B140" s="1"/>
      <x:c r="C140" s="1"/>
      <x:c r="D140" s="1"/>
      <x:c r="E140" s="1"/>
      <x:c r="F140" s="1"/>
      <x:c r="G140" s="1"/>
      <x:c r="H140" s="1"/>
      <x:c r="I140" s="1"/>
      <x:c r="J140" s="1"/>
      <x:c r="K140" s="1"/>
      <x:c r="L140" s="1"/>
      <x:c r="M140" s="1"/>
      <x:c r="N140" s="1"/>
      <x:c r="O140" s="1"/>
      <x:c r="P140" s="1"/>
      <x:c r="Q140" s="1"/>
      <x:c r="R140" s="1"/>
      <x:c r="S140" s="1"/>
      <x:c r="T140" s="1"/>
    </x:row>
    <x:row r="141" ht="18" customHeight="1">
      <x:c r="A141" s="1"/>
      <x:c r="B141" s="1"/>
      <x:c r="C141" s="1"/>
      <x:c r="D141" s="1"/>
      <x:c r="E141" s="1"/>
      <x:c r="F141" s="1"/>
      <x:c r="G141" s="1"/>
      <x:c r="H141" s="1"/>
      <x:c r="I141" s="1"/>
      <x:c r="J141" s="1"/>
      <x:c r="K141" s="1"/>
      <x:c r="L141" s="1"/>
      <x:c r="M141" s="1"/>
      <x:c r="N141" s="1"/>
      <x:c r="O141" s="1"/>
      <x:c r="P141" s="1"/>
      <x:c r="Q141" s="1"/>
      <x:c r="R141" s="1"/>
      <x:c r="S141" s="1"/>
      <x:c r="T141" s="1"/>
    </x:row>
    <x:row r="142" ht="18" customHeight="1">
      <x:c r="A142" s="1"/>
      <x:c r="B142" s="1"/>
      <x:c r="C142" s="1"/>
      <x:c r="D142" s="1"/>
      <x:c r="E142" s="1"/>
      <x:c r="F142" s="1"/>
      <x:c r="G142" s="1"/>
      <x:c r="H142" s="1"/>
      <x:c r="I142" s="1"/>
      <x:c r="J142" s="1"/>
      <x:c r="K142" s="1"/>
      <x:c r="L142" s="1"/>
      <x:c r="M142" s="1"/>
      <x:c r="N142" s="1"/>
      <x:c r="O142" s="1"/>
      <x:c r="P142" s="1"/>
      <x:c r="Q142" s="1"/>
      <x:c r="R142" s="1"/>
      <x:c r="S142" s="1"/>
      <x:c r="T142" s="1"/>
    </x:row>
    <x:row r="143" ht="18" customHeight="1">
      <x:c r="A143" s="1"/>
      <x:c r="B143" s="1"/>
      <x:c r="C143" s="1"/>
      <x:c r="D143" s="1"/>
      <x:c r="E143" s="1"/>
      <x:c r="F143" s="1"/>
      <x:c r="G143" s="1"/>
      <x:c r="H143" s="1"/>
      <x:c r="I143" s="1"/>
      <x:c r="J143" s="1"/>
      <x:c r="K143" s="1"/>
      <x:c r="L143" s="1"/>
      <x:c r="M143" s="1"/>
      <x:c r="N143" s="1"/>
      <x:c r="O143" s="1"/>
      <x:c r="P143" s="1"/>
      <x:c r="Q143" s="1"/>
      <x:c r="R143" s="1"/>
      <x:c r="S143" s="1"/>
      <x:c r="T143" s="1"/>
    </x:row>
    <x:row r="144" ht="18" customHeight="1">
      <x:c r="A144" s="1"/>
      <x:c r="B144" s="1"/>
      <x:c r="C144" s="1"/>
      <x:c r="D144" s="1"/>
      <x:c r="E144" s="1"/>
      <x:c r="F144" s="1"/>
      <x:c r="G144" s="1"/>
      <x:c r="H144" s="1"/>
      <x:c r="I144" s="1"/>
      <x:c r="J144" s="1"/>
      <x:c r="K144" s="1"/>
      <x:c r="L144" s="1"/>
      <x:c r="M144" s="1"/>
      <x:c r="N144" s="1"/>
      <x:c r="O144" s="1"/>
      <x:c r="P144" s="1"/>
      <x:c r="Q144" s="1"/>
      <x:c r="R144" s="1"/>
      <x:c r="S144" s="1"/>
      <x:c r="T144" s="1"/>
    </x:row>
    <x:row r="145" ht="18" customHeight="1">
      <x:c r="A145" s="1"/>
      <x:c r="B145" s="1"/>
      <x:c r="C145" s="1"/>
      <x:c r="D145" s="1"/>
      <x:c r="E145" s="1"/>
      <x:c r="F145" s="1"/>
      <x:c r="G145" s="1"/>
      <x:c r="H145" s="1"/>
      <x:c r="I145" s="1"/>
      <x:c r="J145" s="1"/>
      <x:c r="K145" s="1"/>
      <x:c r="L145" s="1"/>
      <x:c r="M145" s="1"/>
      <x:c r="N145" s="1"/>
      <x:c r="O145" s="1"/>
      <x:c r="P145" s="1"/>
      <x:c r="Q145" s="1"/>
      <x:c r="R145" s="1"/>
      <x:c r="S145" s="1"/>
      <x:c r="T145" s="1"/>
    </x:row>
    <x:row r="146" ht="18" customHeight="1">
      <x:c r="A146" s="1"/>
      <x:c r="B146" s="1"/>
      <x:c r="C146" s="1"/>
      <x:c r="D146" s="1"/>
      <x:c r="E146" s="1"/>
      <x:c r="F146" s="1"/>
      <x:c r="G146" s="1"/>
      <x:c r="H146" s="1"/>
      <x:c r="I146" s="1"/>
      <x:c r="J146" s="1"/>
      <x:c r="K146" s="1"/>
      <x:c r="L146" s="1"/>
      <x:c r="M146" s="1"/>
      <x:c r="N146" s="1"/>
      <x:c r="O146" s="1"/>
      <x:c r="P146" s="1"/>
      <x:c r="Q146" s="1"/>
      <x:c r="R146" s="1"/>
      <x:c r="S146" s="1"/>
      <x:c r="T146" s="1"/>
    </x:row>
    <x:row r="147" ht="18" customHeight="1">
      <x:c r="A147" s="1"/>
      <x:c r="B147" s="1"/>
      <x:c r="C147" s="1"/>
      <x:c r="D147" s="1"/>
      <x:c r="E147" s="1"/>
      <x:c r="F147" s="1"/>
      <x:c r="G147" s="1"/>
      <x:c r="H147" s="1"/>
      <x:c r="I147" s="1"/>
      <x:c r="J147" s="1"/>
      <x:c r="K147" s="1"/>
      <x:c r="L147" s="1"/>
      <x:c r="M147" s="1"/>
      <x:c r="N147" s="1"/>
      <x:c r="O147" s="1"/>
      <x:c r="P147" s="1"/>
      <x:c r="Q147" s="1"/>
      <x:c r="R147" s="1"/>
      <x:c r="S147" s="1"/>
      <x:c r="T147" s="1"/>
    </x:row>
    <x:row r="148" ht="18" customHeight="1">
      <x:c r="A148" s="1"/>
      <x:c r="B148" s="1"/>
      <x:c r="C148" s="1"/>
      <x:c r="D148" s="1"/>
      <x:c r="E148" s="1"/>
      <x:c r="F148" s="1"/>
      <x:c r="G148" s="1"/>
      <x:c r="H148" s="1"/>
      <x:c r="I148" s="1"/>
      <x:c r="J148" s="1"/>
      <x:c r="K148" s="1"/>
      <x:c r="L148" s="1"/>
      <x:c r="M148" s="1"/>
      <x:c r="N148" s="1"/>
      <x:c r="O148" s="1"/>
      <x:c r="P148" s="1"/>
      <x:c r="Q148" s="1"/>
      <x:c r="R148" s="1"/>
      <x:c r="S148" s="1"/>
      <x:c r="T148" s="1"/>
    </x:row>
    <x:row r="149" ht="18" customHeight="1">
      <x:c r="A149" s="1"/>
      <x:c r="B149" s="1"/>
      <x:c r="C149" s="1"/>
      <x:c r="D149" s="1"/>
      <x:c r="E149" s="1"/>
      <x:c r="F149" s="1"/>
      <x:c r="G149" s="1"/>
      <x:c r="H149" s="1"/>
      <x:c r="I149" s="1"/>
      <x:c r="J149" s="1"/>
      <x:c r="K149" s="1"/>
      <x:c r="L149" s="1"/>
      <x:c r="M149" s="1"/>
      <x:c r="N149" s="1"/>
      <x:c r="O149" s="1"/>
      <x:c r="P149" s="1"/>
      <x:c r="Q149" s="1"/>
      <x:c r="R149" s="1"/>
      <x:c r="S149" s="1"/>
      <x:c r="T149" s="1"/>
    </x:row>
    <x:row r="150" ht="18" customHeight="1">
      <x:c r="A150" s="1"/>
      <x:c r="B150" s="1"/>
      <x:c r="C150" s="1"/>
      <x:c r="D150" s="1"/>
      <x:c r="E150" s="1"/>
      <x:c r="F150" s="1"/>
      <x:c r="G150" s="1"/>
      <x:c r="H150" s="1"/>
      <x:c r="I150" s="1"/>
      <x:c r="J150" s="1"/>
      <x:c r="K150" s="1"/>
      <x:c r="L150" s="1"/>
      <x:c r="M150" s="1"/>
      <x:c r="N150" s="1"/>
      <x:c r="O150" s="1"/>
      <x:c r="P150" s="1"/>
      <x:c r="Q150" s="1"/>
      <x:c r="R150" s="1"/>
      <x:c r="S150" s="1"/>
      <x:c r="T150" s="1"/>
    </x:row>
    <x:row r="151" ht="18" customHeight="1">
      <x:c r="A151" s="1"/>
      <x:c r="B151" s="1"/>
      <x:c r="C151" s="1"/>
      <x:c r="D151" s="1"/>
      <x:c r="E151" s="1"/>
      <x:c r="F151" s="1"/>
      <x:c r="G151" s="1"/>
      <x:c r="H151" s="1"/>
      <x:c r="I151" s="1"/>
      <x:c r="J151" s="1"/>
      <x:c r="K151" s="1"/>
      <x:c r="L151" s="1"/>
      <x:c r="M151" s="1"/>
      <x:c r="N151" s="1"/>
      <x:c r="O151" s="1"/>
      <x:c r="P151" s="1"/>
      <x:c r="Q151" s="1"/>
      <x:c r="R151" s="1"/>
      <x:c r="S151" s="1"/>
      <x:c r="T151" s="1"/>
    </x:row>
    <x:row r="152" ht="18" customHeight="1">
      <x:c r="A152" s="1"/>
      <x:c r="B152" s="1"/>
      <x:c r="C152" s="1"/>
      <x:c r="D152" s="1"/>
      <x:c r="E152" s="1"/>
      <x:c r="F152" s="1"/>
      <x:c r="G152" s="1"/>
      <x:c r="H152" s="1"/>
      <x:c r="I152" s="1"/>
      <x:c r="J152" s="1"/>
      <x:c r="K152" s="1"/>
      <x:c r="L152" s="1"/>
      <x:c r="M152" s="1"/>
      <x:c r="N152" s="1"/>
      <x:c r="O152" s="1"/>
      <x:c r="P152" s="1"/>
      <x:c r="Q152" s="1"/>
      <x:c r="R152" s="1"/>
      <x:c r="S152" s="1"/>
      <x:c r="T152" s="1"/>
    </x:row>
    <x:row r="153" ht="18" customHeight="1">
      <x:c r="A153" s="1"/>
      <x:c r="B153" s="1"/>
      <x:c r="C153" s="1"/>
      <x:c r="D153" s="1"/>
      <x:c r="E153" s="1"/>
      <x:c r="F153" s="1"/>
      <x:c r="G153" s="1"/>
      <x:c r="H153" s="1"/>
      <x:c r="I153" s="1"/>
      <x:c r="J153" s="1"/>
      <x:c r="K153" s="1"/>
      <x:c r="L153" s="1"/>
      <x:c r="M153" s="1"/>
      <x:c r="N153" s="1"/>
      <x:c r="O153" s="1"/>
      <x:c r="P153" s="1"/>
      <x:c r="Q153" s="1"/>
      <x:c r="R153" s="1"/>
      <x:c r="S153" s="1"/>
      <x:c r="T153" s="1"/>
    </x:row>
    <x:row r="154" ht="18" customHeight="1">
      <x:c r="A154" s="1"/>
      <x:c r="B154" s="1"/>
      <x:c r="C154" s="1"/>
      <x:c r="D154" s="1"/>
      <x:c r="E154" s="1"/>
      <x:c r="F154" s="1"/>
      <x:c r="G154" s="1"/>
      <x:c r="H154" s="1"/>
      <x:c r="I154" s="1"/>
      <x:c r="J154" s="1"/>
      <x:c r="K154" s="1"/>
      <x:c r="L154" s="1"/>
      <x:c r="M154" s="1"/>
      <x:c r="N154" s="1"/>
      <x:c r="O154" s="1"/>
      <x:c r="P154" s="1"/>
      <x:c r="Q154" s="1"/>
      <x:c r="R154" s="1"/>
      <x:c r="S154" s="1"/>
      <x:c r="T154" s="1"/>
    </x:row>
    <x:row r="155" ht="18" customHeight="1">
      <x:c r="A155" s="1"/>
      <x:c r="B155" s="1"/>
      <x:c r="C155" s="1"/>
      <x:c r="D155" s="1"/>
      <x:c r="E155" s="1"/>
      <x:c r="F155" s="1"/>
      <x:c r="G155" s="1"/>
      <x:c r="H155" s="1"/>
      <x:c r="I155" s="1"/>
      <x:c r="J155" s="1"/>
      <x:c r="K155" s="1"/>
      <x:c r="L155" s="1"/>
      <x:c r="M155" s="1"/>
      <x:c r="N155" s="1"/>
      <x:c r="O155" s="1"/>
      <x:c r="P155" s="1"/>
      <x:c r="Q155" s="1"/>
      <x:c r="R155" s="1"/>
      <x:c r="S155" s="1"/>
      <x:c r="T155" s="1"/>
    </x:row>
    <x:row r="156" ht="18" customHeight="1">
      <x:c r="A156" s="1"/>
      <x:c r="B156" s="1"/>
      <x:c r="C156" s="1"/>
      <x:c r="D156" s="1"/>
      <x:c r="E156" s="1"/>
      <x:c r="F156" s="1"/>
      <x:c r="G156" s="1"/>
      <x:c r="H156" s="1"/>
      <x:c r="I156" s="1"/>
      <x:c r="J156" s="1"/>
      <x:c r="K156" s="1"/>
      <x:c r="L156" s="1"/>
      <x:c r="M156" s="1"/>
      <x:c r="N156" s="1"/>
      <x:c r="O156" s="1"/>
      <x:c r="P156" s="1"/>
      <x:c r="Q156" s="1"/>
      <x:c r="R156" s="1"/>
      <x:c r="S156" s="1"/>
      <x:c r="T156" s="1"/>
    </x:row>
    <x:row r="157" ht="18" customHeight="1">
      <x:c r="A157" s="1"/>
      <x:c r="B157" s="1"/>
      <x:c r="C157" s="1"/>
      <x:c r="D157" s="1"/>
      <x:c r="E157" s="1"/>
      <x:c r="F157" s="1"/>
      <x:c r="G157" s="1"/>
      <x:c r="H157" s="1"/>
      <x:c r="I157" s="1"/>
      <x:c r="J157" s="1"/>
      <x:c r="K157" s="1"/>
      <x:c r="L157" s="1"/>
      <x:c r="M157" s="1"/>
      <x:c r="N157" s="1"/>
      <x:c r="O157" s="1"/>
      <x:c r="P157" s="1"/>
      <x:c r="Q157" s="1"/>
      <x:c r="R157" s="1"/>
      <x:c r="S157" s="1"/>
      <x:c r="T157" s="1"/>
    </x:row>
    <x:row r="158" ht="18" customHeight="1">
      <x:c r="A158" s="1"/>
      <x:c r="B158" s="1"/>
      <x:c r="C158" s="1"/>
      <x:c r="D158" s="1"/>
      <x:c r="E158" s="1"/>
      <x:c r="F158" s="1"/>
      <x:c r="G158" s="1"/>
      <x:c r="H158" s="1"/>
      <x:c r="I158" s="1"/>
      <x:c r="J158" s="1"/>
      <x:c r="K158" s="1"/>
      <x:c r="L158" s="1"/>
      <x:c r="M158" s="1"/>
      <x:c r="N158" s="1"/>
      <x:c r="O158" s="1"/>
      <x:c r="P158" s="1"/>
      <x:c r="Q158" s="1"/>
      <x:c r="R158" s="1"/>
      <x:c r="S158" s="1"/>
      <x:c r="T158" s="1"/>
    </x:row>
    <x:row r="159" ht="18" customHeight="1">
      <x:c r="A159" s="1"/>
      <x:c r="B159" s="1"/>
      <x:c r="C159" s="1"/>
      <x:c r="D159" s="1"/>
      <x:c r="E159" s="1"/>
      <x:c r="F159" s="1"/>
      <x:c r="G159" s="1"/>
      <x:c r="H159" s="1"/>
      <x:c r="I159" s="1"/>
      <x:c r="J159" s="1"/>
      <x:c r="K159" s="1"/>
      <x:c r="L159" s="1"/>
      <x:c r="M159" s="1"/>
      <x:c r="N159" s="1"/>
      <x:c r="O159" s="1"/>
      <x:c r="P159" s="1"/>
      <x:c r="Q159" s="1"/>
      <x:c r="R159" s="1"/>
      <x:c r="S159" s="1"/>
      <x:c r="T159" s="1"/>
    </x:row>
    <x:row r="160" ht="18" customHeight="1">
      <x:c r="A160" s="1"/>
      <x:c r="B160" s="1"/>
      <x:c r="C160" s="1"/>
      <x:c r="D160" s="1"/>
      <x:c r="E160" s="1"/>
      <x:c r="F160" s="1"/>
      <x:c r="G160" s="1"/>
      <x:c r="H160" s="1"/>
      <x:c r="I160" s="1"/>
      <x:c r="J160" s="1"/>
      <x:c r="K160" s="1"/>
      <x:c r="L160" s="1"/>
      <x:c r="M160" s="1"/>
      <x:c r="N160" s="1"/>
      <x:c r="O160" s="1"/>
      <x:c r="P160" s="1"/>
      <x:c r="Q160" s="1"/>
      <x:c r="R160" s="1"/>
      <x:c r="S160" s="1"/>
      <x:c r="T160" s="1"/>
    </x:row>
    <x:row r="161" ht="18" customHeight="1">
      <x:c r="A161" s="1"/>
      <x:c r="B161" s="1"/>
      <x:c r="C161" s="1"/>
      <x:c r="D161" s="1"/>
      <x:c r="E161" s="1"/>
      <x:c r="F161" s="1"/>
      <x:c r="G161" s="1"/>
      <x:c r="H161" s="1"/>
      <x:c r="I161" s="1"/>
      <x:c r="J161" s="1"/>
      <x:c r="K161" s="1"/>
      <x:c r="L161" s="1"/>
      <x:c r="M161" s="1"/>
      <x:c r="N161" s="1"/>
      <x:c r="O161" s="1"/>
      <x:c r="P161" s="1"/>
      <x:c r="Q161" s="1"/>
      <x:c r="R161" s="1"/>
      <x:c r="S161" s="1"/>
      <x:c r="T161" s="1"/>
    </x:row>
    <x:row r="162" ht="18" customHeight="1">
      <x:c r="A162" s="1"/>
      <x:c r="B162" s="1"/>
      <x:c r="C162" s="1"/>
      <x:c r="D162" s="1"/>
      <x:c r="E162" s="1"/>
      <x:c r="F162" s="1"/>
      <x:c r="G162" s="1"/>
      <x:c r="H162" s="1"/>
      <x:c r="I162" s="1"/>
      <x:c r="J162" s="1"/>
      <x:c r="K162" s="1"/>
      <x:c r="L162" s="1"/>
      <x:c r="M162" s="1"/>
      <x:c r="N162" s="1"/>
      <x:c r="O162" s="1"/>
      <x:c r="P162" s="1"/>
      <x:c r="Q162" s="1"/>
      <x:c r="R162" s="1"/>
      <x:c r="S162" s="1"/>
      <x:c r="T162" s="1"/>
    </x:row>
    <x:row r="163" ht="18" customHeight="1">
      <x:c r="A163" s="1"/>
      <x:c r="B163" s="1"/>
      <x:c r="C163" s="1"/>
      <x:c r="D163" s="1"/>
      <x:c r="E163" s="1"/>
      <x:c r="F163" s="1"/>
      <x:c r="G163" s="1"/>
      <x:c r="H163" s="1"/>
      <x:c r="I163" s="1"/>
      <x:c r="J163" s="1"/>
      <x:c r="K163" s="1"/>
      <x:c r="L163" s="1"/>
      <x:c r="M163" s="1"/>
      <x:c r="N163" s="1"/>
      <x:c r="O163" s="1"/>
      <x:c r="P163" s="1"/>
      <x:c r="Q163" s="1"/>
      <x:c r="R163" s="1"/>
      <x:c r="S163" s="1"/>
      <x:c r="T163" s="1"/>
    </x:row>
    <x:row r="164" ht="18" customHeight="1">
      <x:c r="A164" s="1"/>
      <x:c r="B164" s="1"/>
      <x:c r="C164" s="1"/>
      <x:c r="D164" s="1"/>
      <x:c r="E164" s="1"/>
      <x:c r="F164" s="1"/>
      <x:c r="G164" s="1"/>
      <x:c r="H164" s="1"/>
      <x:c r="I164" s="1"/>
      <x:c r="J164" s="1"/>
      <x:c r="K164" s="1"/>
      <x:c r="L164" s="1"/>
      <x:c r="M164" s="1"/>
      <x:c r="N164" s="1"/>
      <x:c r="O164" s="1"/>
      <x:c r="P164" s="1"/>
      <x:c r="Q164" s="1"/>
      <x:c r="R164" s="1"/>
      <x:c r="S164" s="1"/>
      <x:c r="T164" s="1"/>
    </x:row>
    <x:row r="165" ht="18" customHeight="1">
      <x:c r="A165" s="1"/>
      <x:c r="B165" s="1"/>
      <x:c r="C165" s="1"/>
      <x:c r="D165" s="1"/>
      <x:c r="E165" s="1"/>
      <x:c r="F165" s="1"/>
      <x:c r="G165" s="1"/>
      <x:c r="H165" s="1"/>
      <x:c r="I165" s="1"/>
      <x:c r="J165" s="1"/>
      <x:c r="K165" s="1"/>
      <x:c r="L165" s="1"/>
      <x:c r="M165" s="1"/>
      <x:c r="N165" s="1"/>
      <x:c r="O165" s="1"/>
      <x:c r="P165" s="1"/>
      <x:c r="Q165" s="1"/>
      <x:c r="R165" s="1"/>
      <x:c r="S165" s="1"/>
      <x:c r="T165" s="1"/>
    </x:row>
    <x:row r="166" ht="18" customHeight="1">
      <x:c r="A166" s="1"/>
      <x:c r="B166" s="1"/>
      <x:c r="C166" s="1"/>
      <x:c r="D166" s="1"/>
      <x:c r="E166" s="1"/>
      <x:c r="F166" s="1"/>
      <x:c r="G166" s="1"/>
      <x:c r="H166" s="1"/>
      <x:c r="I166" s="1"/>
      <x:c r="J166" s="1"/>
      <x:c r="K166" s="1"/>
      <x:c r="L166" s="1"/>
      <x:c r="M166" s="1"/>
      <x:c r="N166" s="1"/>
      <x:c r="O166" s="1"/>
      <x:c r="P166" s="1"/>
      <x:c r="Q166" s="1"/>
      <x:c r="R166" s="1"/>
      <x:c r="S166" s="1"/>
      <x:c r="T166" s="1"/>
    </x:row>
    <x:row r="167" ht="18" customHeight="1">
      <x:c r="A167" s="1"/>
      <x:c r="B167" s="1"/>
      <x:c r="C167" s="1"/>
      <x:c r="D167" s="1"/>
      <x:c r="E167" s="1"/>
      <x:c r="F167" s="1"/>
      <x:c r="G167" s="1"/>
      <x:c r="H167" s="1"/>
      <x:c r="I167" s="1"/>
      <x:c r="J167" s="1"/>
      <x:c r="K167" s="1"/>
      <x:c r="L167" s="1"/>
      <x:c r="M167" s="1"/>
      <x:c r="N167" s="1"/>
      <x:c r="O167" s="1"/>
      <x:c r="P167" s="1"/>
      <x:c r="Q167" s="1"/>
      <x:c r="R167" s="1"/>
      <x:c r="S167" s="1"/>
      <x:c r="T167" s="1"/>
    </x:row>
    <x:row r="168" ht="18" customHeight="1">
      <x:c r="A168" s="1"/>
      <x:c r="B168" s="1"/>
      <x:c r="C168" s="1"/>
      <x:c r="D168" s="1"/>
      <x:c r="E168" s="1"/>
      <x:c r="F168" s="1"/>
      <x:c r="G168" s="1"/>
      <x:c r="H168" s="1"/>
      <x:c r="I168" s="1"/>
      <x:c r="J168" s="1"/>
      <x:c r="K168" s="1"/>
      <x:c r="L168" s="1"/>
      <x:c r="M168" s="1"/>
      <x:c r="N168" s="1"/>
      <x:c r="O168" s="1"/>
      <x:c r="P168" s="1"/>
      <x:c r="Q168" s="1"/>
      <x:c r="R168" s="1"/>
      <x:c r="S168" s="1"/>
      <x:c r="T168" s="1"/>
    </x:row>
    <x:row r="169" ht="18" customHeight="1">
      <x:c r="A169" s="1"/>
      <x:c r="B169" s="1"/>
      <x:c r="C169" s="1"/>
      <x:c r="D169" s="1"/>
      <x:c r="E169" s="1"/>
      <x:c r="F169" s="1"/>
      <x:c r="G169" s="1"/>
      <x:c r="H169" s="1"/>
      <x:c r="I169" s="1"/>
      <x:c r="J169" s="1"/>
      <x:c r="K169" s="1"/>
      <x:c r="L169" s="1"/>
      <x:c r="M169" s="1"/>
      <x:c r="N169" s="1"/>
      <x:c r="O169" s="1"/>
      <x:c r="P169" s="1"/>
      <x:c r="Q169" s="1"/>
      <x:c r="R169" s="1"/>
      <x:c r="S169" s="1"/>
      <x:c r="T169" s="1"/>
    </x:row>
    <x:row r="170" ht="18" customHeight="1">
      <x:c r="A170" s="1"/>
      <x:c r="B170" s="1"/>
      <x:c r="C170" s="1"/>
      <x:c r="D170" s="1"/>
      <x:c r="E170" s="1"/>
      <x:c r="F170" s="1"/>
      <x:c r="G170" s="1"/>
      <x:c r="H170" s="1"/>
      <x:c r="I170" s="1"/>
      <x:c r="J170" s="1"/>
      <x:c r="K170" s="1"/>
      <x:c r="L170" s="1"/>
      <x:c r="M170" s="1"/>
      <x:c r="N170" s="1"/>
      <x:c r="O170" s="1"/>
      <x:c r="P170" s="1"/>
      <x:c r="Q170" s="1"/>
      <x:c r="R170" s="1"/>
      <x:c r="S170" s="1"/>
      <x:c r="T170" s="1"/>
    </x:row>
    <x:row r="171" ht="18" customHeight="1">
      <x:c r="A171" s="1"/>
      <x:c r="B171" s="1"/>
      <x:c r="C171" s="1"/>
      <x:c r="D171" s="1"/>
      <x:c r="E171" s="1"/>
      <x:c r="F171" s="1"/>
      <x:c r="G171" s="1"/>
      <x:c r="H171" s="1"/>
      <x:c r="I171" s="1"/>
      <x:c r="J171" s="1"/>
      <x:c r="K171" s="1"/>
      <x:c r="L171" s="1"/>
      <x:c r="M171" s="1"/>
      <x:c r="N171" s="1"/>
      <x:c r="O171" s="1"/>
      <x:c r="P171" s="1"/>
      <x:c r="Q171" s="1"/>
      <x:c r="R171" s="1"/>
      <x:c r="S171" s="1"/>
      <x:c r="T171" s="1"/>
    </x:row>
    <x:row r="172" ht="18" customHeight="1">
      <x:c r="A172" s="1"/>
      <x:c r="B172" s="1"/>
      <x:c r="C172" s="1"/>
      <x:c r="D172" s="1"/>
      <x:c r="E172" s="1"/>
      <x:c r="F172" s="1"/>
      <x:c r="G172" s="1"/>
      <x:c r="H172" s="1"/>
      <x:c r="I172" s="1"/>
      <x:c r="J172" s="1"/>
      <x:c r="K172" s="1"/>
      <x:c r="L172" s="1"/>
      <x:c r="M172" s="1"/>
      <x:c r="N172" s="1"/>
      <x:c r="O172" s="1"/>
      <x:c r="P172" s="1"/>
      <x:c r="Q172" s="1"/>
      <x:c r="R172" s="1"/>
      <x:c r="S172" s="1"/>
      <x:c r="T172" s="1"/>
    </x:row>
    <x:row r="173" ht="18" customHeight="1">
      <x:c r="A173" s="1"/>
      <x:c r="B173" s="1"/>
      <x:c r="C173" s="1"/>
      <x:c r="D173" s="1"/>
      <x:c r="E173" s="1"/>
      <x:c r="F173" s="1"/>
      <x:c r="G173" s="1"/>
      <x:c r="H173" s="1"/>
      <x:c r="I173" s="1"/>
      <x:c r="J173" s="1"/>
      <x:c r="K173" s="1"/>
      <x:c r="L173" s="1"/>
      <x:c r="M173" s="1"/>
      <x:c r="N173" s="1"/>
      <x:c r="O173" s="1"/>
      <x:c r="P173" s="1"/>
      <x:c r="Q173" s="1"/>
      <x:c r="R173" s="1"/>
      <x:c r="S173" s="1"/>
      <x:c r="T173" s="1"/>
    </x:row>
    <x:row r="174" ht="18" customHeight="1">
      <x:c r="A174" s="1"/>
      <x:c r="B174" s="1"/>
      <x:c r="C174" s="1"/>
      <x:c r="D174" s="1"/>
      <x:c r="E174" s="1"/>
      <x:c r="F174" s="1"/>
      <x:c r="G174" s="1"/>
      <x:c r="H174" s="1"/>
      <x:c r="I174" s="1"/>
      <x:c r="J174" s="1"/>
      <x:c r="K174" s="1"/>
      <x:c r="L174" s="1"/>
      <x:c r="M174" s="1"/>
      <x:c r="N174" s="1"/>
      <x:c r="O174" s="1"/>
      <x:c r="P174" s="1"/>
      <x:c r="Q174" s="1"/>
      <x:c r="R174" s="1"/>
      <x:c r="S174" s="1"/>
      <x:c r="T174" s="1"/>
    </x:row>
    <x:row r="175" ht="18" customHeight="1">
      <x:c r="A175" s="1"/>
      <x:c r="B175" s="1"/>
      <x:c r="C175" s="1"/>
      <x:c r="D175" s="1"/>
      <x:c r="E175" s="1"/>
      <x:c r="F175" s="1"/>
      <x:c r="G175" s="1"/>
      <x:c r="H175" s="1"/>
      <x:c r="I175" s="1"/>
      <x:c r="J175" s="1"/>
      <x:c r="K175" s="1"/>
      <x:c r="L175" s="1"/>
      <x:c r="M175" s="1"/>
      <x:c r="N175" s="1"/>
      <x:c r="O175" s="1"/>
      <x:c r="P175" s="1"/>
      <x:c r="Q175" s="1"/>
      <x:c r="R175" s="1"/>
      <x:c r="S175" s="1"/>
      <x:c r="T175" s="1"/>
    </x:row>
    <x:row r="176" ht="18" customHeight="1">
      <x:c r="A176" s="1"/>
      <x:c r="B176" s="1"/>
      <x:c r="C176" s="1"/>
      <x:c r="D176" s="1"/>
      <x:c r="E176" s="1"/>
      <x:c r="F176" s="1"/>
      <x:c r="G176" s="1"/>
      <x:c r="H176" s="1"/>
      <x:c r="I176" s="1"/>
      <x:c r="J176" s="1"/>
      <x:c r="K176" s="1"/>
      <x:c r="L176" s="1"/>
      <x:c r="M176" s="1"/>
      <x:c r="N176" s="1"/>
      <x:c r="O176" s="1"/>
      <x:c r="P176" s="1"/>
      <x:c r="Q176" s="1"/>
      <x:c r="R176" s="1"/>
      <x:c r="S176" s="1"/>
      <x:c r="T176" s="1"/>
    </x:row>
    <x:row r="177" ht="18" customHeight="1">
      <x:c r="A177" s="1"/>
      <x:c r="B177" s="1"/>
      <x:c r="C177" s="1"/>
      <x:c r="D177" s="1"/>
      <x:c r="E177" s="1"/>
      <x:c r="F177" s="1"/>
      <x:c r="G177" s="1"/>
      <x:c r="H177" s="1"/>
      <x:c r="I177" s="1"/>
      <x:c r="J177" s="1"/>
      <x:c r="K177" s="1"/>
      <x:c r="L177" s="1"/>
      <x:c r="M177" s="1"/>
      <x:c r="N177" s="1"/>
      <x:c r="O177" s="1"/>
      <x:c r="P177" s="1"/>
      <x:c r="Q177" s="1"/>
      <x:c r="R177" s="1"/>
      <x:c r="S177" s="1"/>
      <x:c r="T177" s="1"/>
    </x:row>
    <x:row r="178" ht="18" customHeight="1">
      <x:c r="A178" s="1"/>
      <x:c r="B178" s="1"/>
      <x:c r="C178" s="1"/>
      <x:c r="D178" s="1"/>
      <x:c r="E178" s="1"/>
      <x:c r="F178" s="1"/>
      <x:c r="G178" s="1"/>
      <x:c r="H178" s="1"/>
      <x:c r="I178" s="1"/>
      <x:c r="J178" s="1"/>
      <x:c r="K178" s="1"/>
      <x:c r="L178" s="1"/>
      <x:c r="M178" s="1"/>
      <x:c r="N178" s="1"/>
      <x:c r="O178" s="1"/>
      <x:c r="P178" s="1"/>
      <x:c r="Q178" s="1"/>
      <x:c r="R178" s="1"/>
      <x:c r="S178" s="1"/>
      <x:c r="T178" s="1"/>
    </x:row>
    <x:row r="179" ht="18" customHeight="1">
      <x:c r="A179" s="1"/>
      <x:c r="B179" s="1"/>
      <x:c r="C179" s="1"/>
      <x:c r="D179" s="1"/>
      <x:c r="E179" s="1"/>
      <x:c r="F179" s="1"/>
      <x:c r="G179" s="1"/>
      <x:c r="H179" s="1"/>
      <x:c r="I179" s="1"/>
      <x:c r="J179" s="1"/>
      <x:c r="K179" s="1"/>
      <x:c r="L179" s="1"/>
      <x:c r="M179" s="1"/>
      <x:c r="N179" s="1"/>
      <x:c r="O179" s="1"/>
      <x:c r="P179" s="1"/>
      <x:c r="Q179" s="1"/>
      <x:c r="R179" s="1"/>
      <x:c r="S179" s="1"/>
      <x:c r="T179" s="1"/>
    </x:row>
    <x:row r="180" ht="18" customHeight="1">
      <x:c r="A180" s="1"/>
      <x:c r="B180" s="1"/>
      <x:c r="C180" s="1"/>
      <x:c r="D180" s="1"/>
      <x:c r="E180" s="1"/>
      <x:c r="F180" s="1"/>
      <x:c r="G180" s="1"/>
      <x:c r="H180" s="1"/>
      <x:c r="I180" s="1"/>
      <x:c r="J180" s="1"/>
      <x:c r="K180" s="1"/>
      <x:c r="L180" s="1"/>
      <x:c r="M180" s="1"/>
      <x:c r="N180" s="1"/>
      <x:c r="O180" s="1"/>
      <x:c r="P180" s="1"/>
      <x:c r="Q180" s="1"/>
      <x:c r="R180" s="1"/>
      <x:c r="S180" s="1"/>
      <x:c r="T180" s="1"/>
    </x:row>
    <x:row r="181" ht="18" customHeight="1">
      <x:c r="A181" s="1"/>
      <x:c r="B181" s="1"/>
      <x:c r="C181" s="1"/>
      <x:c r="D181" s="1"/>
      <x:c r="E181" s="1"/>
      <x:c r="F181" s="1"/>
      <x:c r="G181" s="1"/>
      <x:c r="H181" s="1"/>
      <x:c r="I181" s="1"/>
      <x:c r="J181" s="1"/>
      <x:c r="K181" s="1"/>
      <x:c r="L181" s="1"/>
      <x:c r="M181" s="1"/>
      <x:c r="N181" s="1"/>
      <x:c r="O181" s="1"/>
      <x:c r="P181" s="1"/>
      <x:c r="Q181" s="1"/>
      <x:c r="R181" s="1"/>
      <x:c r="S181" s="1"/>
      <x:c r="T181" s="1"/>
    </x:row>
    <x:row r="182" ht="18" customHeight="1">
      <x:c r="A182" s="1"/>
      <x:c r="B182" s="1"/>
      <x:c r="C182" s="1"/>
      <x:c r="D182" s="1"/>
      <x:c r="E182" s="1"/>
      <x:c r="F182" s="1"/>
      <x:c r="G182" s="1"/>
      <x:c r="H182" s="1"/>
      <x:c r="I182" s="1"/>
      <x:c r="J182" s="1"/>
      <x:c r="K182" s="1"/>
      <x:c r="L182" s="1"/>
      <x:c r="M182" s="1"/>
      <x:c r="N182" s="1"/>
      <x:c r="O182" s="1"/>
      <x:c r="P182" s="1"/>
      <x:c r="Q182" s="1"/>
      <x:c r="R182" s="1"/>
      <x:c r="S182" s="1"/>
      <x:c r="T182" s="1"/>
    </x:row>
    <x:row r="183" ht="18" customHeight="1">
      <x:c r="A183" s="1"/>
      <x:c r="B183" s="1"/>
      <x:c r="C183" s="1"/>
      <x:c r="D183" s="1"/>
      <x:c r="E183" s="1"/>
      <x:c r="F183" s="1"/>
      <x:c r="G183" s="1"/>
      <x:c r="H183" s="1"/>
      <x:c r="I183" s="1"/>
      <x:c r="J183" s="1"/>
      <x:c r="K183" s="1"/>
      <x:c r="L183" s="1"/>
      <x:c r="M183" s="1"/>
      <x:c r="N183" s="1"/>
      <x:c r="O183" s="1"/>
      <x:c r="P183" s="1"/>
      <x:c r="Q183" s="1"/>
      <x:c r="R183" s="1"/>
      <x:c r="S183" s="1"/>
      <x:c r="T183" s="1"/>
    </x:row>
    <x:row r="184" ht="18" customHeight="1">
      <x:c r="A184" s="1"/>
      <x:c r="B184" s="1"/>
      <x:c r="C184" s="1"/>
      <x:c r="D184" s="1"/>
      <x:c r="E184" s="1"/>
      <x:c r="F184" s="1"/>
      <x:c r="G184" s="1"/>
      <x:c r="H184" s="1"/>
      <x:c r="I184" s="1"/>
      <x:c r="J184" s="1"/>
      <x:c r="K184" s="1"/>
      <x:c r="L184" s="1"/>
      <x:c r="M184" s="1"/>
      <x:c r="N184" s="1"/>
      <x:c r="O184" s="1"/>
      <x:c r="P184" s="1"/>
      <x:c r="Q184" s="1"/>
      <x:c r="R184" s="1"/>
      <x:c r="S184" s="1"/>
      <x:c r="T184" s="1"/>
    </x:row>
    <x:row r="185" ht="18" customHeight="1">
      <x:c r="A185" s="1"/>
      <x:c r="B185" s="1"/>
      <x:c r="C185" s="1"/>
      <x:c r="D185" s="1"/>
      <x:c r="E185" s="1"/>
      <x:c r="F185" s="1"/>
      <x:c r="G185" s="1"/>
      <x:c r="H185" s="1"/>
      <x:c r="I185" s="1"/>
      <x:c r="J185" s="1"/>
      <x:c r="K185" s="1"/>
      <x:c r="L185" s="1"/>
      <x:c r="M185" s="1"/>
      <x:c r="N185" s="1"/>
      <x:c r="O185" s="1"/>
      <x:c r="P185" s="1"/>
      <x:c r="Q185" s="1"/>
      <x:c r="R185" s="1"/>
      <x:c r="S185" s="1"/>
      <x:c r="T185" s="1"/>
    </x:row>
    <x:row r="186" ht="18" customHeight="1">
      <x:c r="A186" s="1"/>
      <x:c r="B186" s="1"/>
      <x:c r="C186" s="1"/>
      <x:c r="D186" s="1"/>
      <x:c r="E186" s="1"/>
      <x:c r="F186" s="1"/>
      <x:c r="G186" s="1"/>
      <x:c r="H186" s="1"/>
      <x:c r="I186" s="1"/>
      <x:c r="J186" s="1"/>
      <x:c r="K186" s="1"/>
      <x:c r="L186" s="1"/>
      <x:c r="M186" s="1"/>
      <x:c r="N186" s="1"/>
      <x:c r="O186" s="1"/>
      <x:c r="P186" s="1"/>
      <x:c r="Q186" s="1"/>
      <x:c r="R186" s="1"/>
      <x:c r="S186" s="1"/>
      <x:c r="T186" s="1"/>
    </x:row>
    <x:row r="187" ht="18" customHeight="1">
      <x:c r="A187" s="1"/>
      <x:c r="B187" s="1"/>
      <x:c r="C187" s="1"/>
      <x:c r="D187" s="1"/>
      <x:c r="E187" s="1"/>
      <x:c r="F187" s="1"/>
      <x:c r="G187" s="1"/>
      <x:c r="H187" s="1"/>
      <x:c r="I187" s="1"/>
      <x:c r="J187" s="1"/>
      <x:c r="K187" s="1"/>
      <x:c r="L187" s="1"/>
      <x:c r="M187" s="1"/>
      <x:c r="N187" s="1"/>
      <x:c r="O187" s="1"/>
      <x:c r="P187" s="1"/>
      <x:c r="Q187" s="1"/>
      <x:c r="R187" s="1"/>
      <x:c r="S187" s="1"/>
      <x:c r="T187" s="1"/>
    </x:row>
    <x:row r="188" ht="18" customHeight="1">
      <x:c r="A188" s="1"/>
      <x:c r="B188" s="1"/>
      <x:c r="C188" s="1"/>
      <x:c r="D188" s="1"/>
      <x:c r="E188" s="1"/>
      <x:c r="F188" s="1"/>
      <x:c r="G188" s="1"/>
      <x:c r="H188" s="1"/>
      <x:c r="I188" s="1"/>
      <x:c r="J188" s="1"/>
      <x:c r="K188" s="1"/>
      <x:c r="L188" s="1"/>
      <x:c r="M188" s="1"/>
      <x:c r="N188" s="1"/>
      <x:c r="O188" s="1"/>
      <x:c r="P188" s="1"/>
      <x:c r="Q188" s="1"/>
      <x:c r="R188" s="1"/>
      <x:c r="S188" s="1"/>
      <x:c r="T188" s="1"/>
    </x:row>
    <x:row r="189" ht="18" customHeight="1">
      <x:c r="A189" s="1"/>
      <x:c r="B189" s="1"/>
      <x:c r="C189" s="1"/>
      <x:c r="D189" s="1"/>
      <x:c r="E189" s="1"/>
      <x:c r="F189" s="1"/>
      <x:c r="G189" s="1"/>
      <x:c r="H189" s="1"/>
      <x:c r="I189" s="1"/>
      <x:c r="J189" s="1"/>
      <x:c r="K189" s="1"/>
      <x:c r="L189" s="1"/>
      <x:c r="M189" s="1"/>
      <x:c r="N189" s="1"/>
      <x:c r="O189" s="1"/>
      <x:c r="P189" s="1"/>
      <x:c r="Q189" s="1"/>
      <x:c r="R189" s="1"/>
      <x:c r="S189" s="1"/>
      <x:c r="T189" s="1"/>
    </x:row>
    <x:row r="190" ht="18" customHeight="1">
      <x:c r="A190" s="1"/>
      <x:c r="B190" s="1"/>
      <x:c r="C190" s="1"/>
      <x:c r="D190" s="1"/>
      <x:c r="E190" s="1"/>
      <x:c r="F190" s="1"/>
      <x:c r="G190" s="1"/>
      <x:c r="H190" s="1"/>
      <x:c r="I190" s="1"/>
      <x:c r="J190" s="1"/>
      <x:c r="K190" s="1"/>
      <x:c r="L190" s="1"/>
      <x:c r="M190" s="1"/>
      <x:c r="N190" s="1"/>
      <x:c r="O190" s="1"/>
      <x:c r="P190" s="1"/>
      <x:c r="Q190" s="1"/>
      <x:c r="R190" s="1"/>
      <x:c r="S190" s="1"/>
      <x:c r="T190" s="1"/>
    </x:row>
    <x:row r="191" ht="18" customHeight="1">
      <x:c r="A191" s="1"/>
      <x:c r="B191" s="1"/>
      <x:c r="C191" s="1"/>
      <x:c r="D191" s="1"/>
      <x:c r="E191" s="1"/>
      <x:c r="F191" s="1"/>
      <x:c r="G191" s="1"/>
      <x:c r="H191" s="1"/>
      <x:c r="I191" s="1"/>
      <x:c r="J191" s="1"/>
      <x:c r="K191" s="1"/>
      <x:c r="L191" s="1"/>
      <x:c r="M191" s="1"/>
      <x:c r="N191" s="1"/>
      <x:c r="O191" s="1"/>
      <x:c r="P191" s="1"/>
      <x:c r="Q191" s="1"/>
      <x:c r="R191" s="1"/>
      <x:c r="S191" s="1"/>
      <x:c r="T191" s="1"/>
    </x:row>
    <x:row r="192" ht="18" customHeight="1">
      <x:c r="A192" s="1"/>
      <x:c r="B192" s="1"/>
      <x:c r="C192" s="1"/>
      <x:c r="D192" s="1"/>
      <x:c r="E192" s="1"/>
      <x:c r="F192" s="1"/>
      <x:c r="G192" s="1"/>
      <x:c r="H192" s="1"/>
      <x:c r="I192" s="1"/>
      <x:c r="J192" s="1"/>
      <x:c r="K192" s="1"/>
      <x:c r="L192" s="1"/>
      <x:c r="M192" s="1"/>
      <x:c r="N192" s="1"/>
      <x:c r="O192" s="1"/>
      <x:c r="P192" s="1"/>
      <x:c r="Q192" s="1"/>
      <x:c r="R192" s="1"/>
      <x:c r="S192" s="1"/>
      <x:c r="T192" s="1"/>
    </x:row>
    <x:row r="193" ht="18" customHeight="1">
      <x:c r="A193" s="1"/>
      <x:c r="B193" s="1"/>
      <x:c r="C193" s="1"/>
      <x:c r="D193" s="1"/>
      <x:c r="E193" s="1"/>
      <x:c r="F193" s="1"/>
      <x:c r="G193" s="1"/>
      <x:c r="H193" s="1"/>
      <x:c r="I193" s="1"/>
      <x:c r="J193" s="1"/>
      <x:c r="K193" s="1"/>
      <x:c r="L193" s="1"/>
      <x:c r="M193" s="1"/>
      <x:c r="N193" s="1"/>
      <x:c r="O193" s="1"/>
      <x:c r="P193" s="1"/>
      <x:c r="Q193" s="1"/>
      <x:c r="R193" s="1"/>
      <x:c r="S193" s="1"/>
      <x:c r="T193" s="1"/>
    </x:row>
    <x:row r="194" ht="18" customHeight="1">
      <x:c r="A194" s="1"/>
      <x:c r="B194" s="1"/>
      <x:c r="C194" s="1"/>
      <x:c r="D194" s="1"/>
      <x:c r="E194" s="1"/>
      <x:c r="F194" s="1"/>
      <x:c r="G194" s="1"/>
      <x:c r="H194" s="1"/>
      <x:c r="I194" s="1"/>
      <x:c r="J194" s="1"/>
      <x:c r="K194" s="1"/>
      <x:c r="L194" s="1"/>
      <x:c r="M194" s="1"/>
      <x:c r="N194" s="1"/>
      <x:c r="O194" s="1"/>
      <x:c r="P194" s="1"/>
      <x:c r="Q194" s="1"/>
      <x:c r="R194" s="1"/>
      <x:c r="S194" s="1"/>
      <x:c r="T194" s="1"/>
    </x:row>
    <x:row r="195" ht="18" customHeight="1">
      <x:c r="A195" s="1"/>
      <x:c r="B195" s="1"/>
      <x:c r="C195" s="1"/>
      <x:c r="D195" s="1"/>
      <x:c r="E195" s="1"/>
      <x:c r="F195" s="1"/>
      <x:c r="G195" s="1"/>
      <x:c r="H195" s="1"/>
      <x:c r="I195" s="1"/>
      <x:c r="J195" s="1"/>
      <x:c r="K195" s="1"/>
      <x:c r="L195" s="1"/>
      <x:c r="M195" s="1"/>
      <x:c r="N195" s="1"/>
      <x:c r="O195" s="1"/>
      <x:c r="P195" s="1"/>
      <x:c r="Q195" s="1"/>
      <x:c r="R195" s="1"/>
      <x:c r="S195" s="1"/>
      <x:c r="T195" s="1"/>
    </x:row>
    <x:row r="196" ht="18" customHeight="1">
      <x:c r="A196" s="1"/>
      <x:c r="B196" s="1"/>
      <x:c r="C196" s="1"/>
      <x:c r="D196" s="1"/>
      <x:c r="E196" s="1"/>
      <x:c r="F196" s="1"/>
      <x:c r="G196" s="1"/>
      <x:c r="H196" s="1"/>
      <x:c r="I196" s="1"/>
      <x:c r="J196" s="1"/>
      <x:c r="K196" s="1"/>
      <x:c r="L196" s="1"/>
      <x:c r="M196" s="1"/>
      <x:c r="N196" s="1"/>
      <x:c r="O196" s="1"/>
      <x:c r="P196" s="1"/>
      <x:c r="Q196" s="1"/>
      <x:c r="R196" s="1"/>
      <x:c r="S196" s="1"/>
      <x:c r="T196" s="1"/>
    </x:row>
    <x:row r="197" ht="18" customHeight="1">
      <x:c r="A197" s="1"/>
      <x:c r="B197" s="1"/>
      <x:c r="C197" s="1"/>
      <x:c r="D197" s="1"/>
      <x:c r="E197" s="1"/>
      <x:c r="F197" s="1"/>
      <x:c r="G197" s="1"/>
      <x:c r="H197" s="1"/>
      <x:c r="I197" s="1"/>
      <x:c r="J197" s="1"/>
      <x:c r="K197" s="1"/>
      <x:c r="L197" s="1"/>
      <x:c r="M197" s="1"/>
      <x:c r="N197" s="1"/>
      <x:c r="O197" s="1"/>
      <x:c r="P197" s="1"/>
      <x:c r="Q197" s="1"/>
      <x:c r="R197" s="1"/>
      <x:c r="S197" s="1"/>
      <x:c r="T197" s="1"/>
    </x:row>
    <x:row r="198" ht="18" customHeight="1">
      <x:c r="A198" s="1"/>
      <x:c r="B198" s="1"/>
      <x:c r="C198" s="1"/>
      <x:c r="D198" s="1"/>
      <x:c r="E198" s="1"/>
      <x:c r="F198" s="1"/>
      <x:c r="G198" s="1"/>
      <x:c r="H198" s="1"/>
      <x:c r="I198" s="1"/>
      <x:c r="J198" s="1"/>
      <x:c r="K198" s="1"/>
      <x:c r="L198" s="1"/>
      <x:c r="M198" s="1"/>
      <x:c r="N198" s="1"/>
      <x:c r="O198" s="1"/>
      <x:c r="P198" s="1"/>
      <x:c r="Q198" s="1"/>
      <x:c r="R198" s="1"/>
      <x:c r="S198" s="1"/>
      <x:c r="T198" s="1"/>
    </x:row>
    <x:row r="199" ht="18" customHeight="1">
      <x:c r="A199" s="1"/>
      <x:c r="B199" s="1"/>
      <x:c r="C199" s="1"/>
      <x:c r="D199" s="1"/>
      <x:c r="E199" s="1"/>
      <x:c r="F199" s="1"/>
      <x:c r="G199" s="1"/>
      <x:c r="H199" s="1"/>
      <x:c r="I199" s="1"/>
      <x:c r="J199" s="1"/>
      <x:c r="K199" s="1"/>
      <x:c r="L199" s="1"/>
      <x:c r="M199" s="1"/>
      <x:c r="N199" s="1"/>
      <x:c r="O199" s="1"/>
      <x:c r="P199" s="1"/>
      <x:c r="Q199" s="1"/>
      <x:c r="R199" s="1"/>
      <x:c r="S199" s="1"/>
      <x:c r="T199" s="1"/>
    </x:row>
    <x:row r="200" ht="18" customHeight="1">
      <x:c r="A200" s="1"/>
      <x:c r="B200" s="1"/>
      <x:c r="C200" s="1"/>
      <x:c r="D200" s="1"/>
      <x:c r="E200" s="1"/>
      <x:c r="F200" s="1"/>
      <x:c r="G200" s="1"/>
      <x:c r="H200" s="1"/>
      <x:c r="I200" s="1"/>
      <x:c r="J200" s="1"/>
      <x:c r="K200" s="1"/>
      <x:c r="L200" s="1"/>
      <x:c r="M200" s="1"/>
      <x:c r="N200" s="1"/>
      <x:c r="O200" s="1"/>
      <x:c r="P200" s="1"/>
      <x:c r="Q200" s="1"/>
      <x:c r="R200" s="1"/>
      <x:c r="S200" s="1"/>
      <x:c r="T200" s="1"/>
    </x:row>
    <x:row r="201" ht="18" customHeight="1">
      <x:c r="A201" s="1"/>
      <x:c r="B201" s="1"/>
      <x:c r="C201" s="1"/>
      <x:c r="D201" s="1"/>
      <x:c r="E201" s="1"/>
      <x:c r="F201" s="1"/>
      <x:c r="G201" s="1"/>
      <x:c r="H201" s="1"/>
      <x:c r="I201" s="1"/>
      <x:c r="J201" s="1"/>
      <x:c r="K201" s="1"/>
      <x:c r="L201" s="1"/>
      <x:c r="M201" s="1"/>
      <x:c r="N201" s="1"/>
      <x:c r="O201" s="1"/>
      <x:c r="P201" s="1"/>
      <x:c r="Q201" s="1"/>
      <x:c r="R201" s="1"/>
      <x:c r="S201" s="1"/>
      <x:c r="T201" s="1"/>
    </x:row>
    <x:row r="202" ht="18" customHeight="1">
      <x:c r="A202" s="1"/>
      <x:c r="B202" s="1"/>
      <x:c r="C202" s="1"/>
      <x:c r="D202" s="1"/>
      <x:c r="E202" s="1"/>
      <x:c r="F202" s="1"/>
      <x:c r="G202" s="1"/>
      <x:c r="H202" s="1"/>
      <x:c r="I202" s="1"/>
      <x:c r="J202" s="1"/>
      <x:c r="K202" s="1"/>
      <x:c r="L202" s="1"/>
      <x:c r="M202" s="1"/>
      <x:c r="N202" s="1"/>
      <x:c r="O202" s="1"/>
      <x:c r="P202" s="1"/>
      <x:c r="Q202" s="1"/>
      <x:c r="R202" s="1"/>
      <x:c r="S202" s="1"/>
      <x:c r="T202" s="1"/>
    </x:row>
    <x:row r="203" ht="18" customHeight="1">
      <x:c r="A203" s="1"/>
      <x:c r="B203" s="1"/>
      <x:c r="C203" s="1"/>
      <x:c r="D203" s="1"/>
      <x:c r="E203" s="1"/>
      <x:c r="F203" s="1"/>
      <x:c r="G203" s="1"/>
      <x:c r="H203" s="1"/>
      <x:c r="I203" s="1"/>
      <x:c r="J203" s="1"/>
      <x:c r="K203" s="1"/>
      <x:c r="L203" s="1"/>
      <x:c r="M203" s="1"/>
      <x:c r="N203" s="1"/>
      <x:c r="O203" s="1"/>
      <x:c r="P203" s="1"/>
      <x:c r="Q203" s="1"/>
      <x:c r="R203" s="1"/>
      <x:c r="S203" s="1"/>
      <x:c r="T203" s="1"/>
    </x:row>
    <x:row r="204" ht="18" customHeight="1">
      <x:c r="A204" s="1"/>
      <x:c r="B204" s="1"/>
      <x:c r="C204" s="1"/>
      <x:c r="D204" s="1"/>
      <x:c r="E204" s="1"/>
      <x:c r="F204" s="1"/>
      <x:c r="G204" s="1"/>
      <x:c r="H204" s="1"/>
      <x:c r="I204" s="1"/>
      <x:c r="J204" s="1"/>
      <x:c r="K204" s="1"/>
      <x:c r="L204" s="1"/>
      <x:c r="M204" s="1"/>
      <x:c r="N204" s="1"/>
      <x:c r="O204" s="1"/>
      <x:c r="P204" s="1"/>
      <x:c r="Q204" s="1"/>
      <x:c r="R204" s="1"/>
      <x:c r="S204" s="1"/>
      <x:c r="T204" s="1"/>
    </x:row>
    <x:row r="205" ht="18" customHeight="1">
      <x:c r="A205" s="1"/>
      <x:c r="B205" s="1"/>
      <x:c r="C205" s="1"/>
      <x:c r="D205" s="1"/>
      <x:c r="E205" s="1"/>
      <x:c r="F205" s="1"/>
      <x:c r="G205" s="1"/>
      <x:c r="H205" s="1"/>
      <x:c r="I205" s="1"/>
      <x:c r="J205" s="1"/>
      <x:c r="K205" s="1"/>
      <x:c r="L205" s="1"/>
      <x:c r="M205" s="1"/>
      <x:c r="N205" s="1"/>
      <x:c r="O205" s="1"/>
      <x:c r="P205" s="1"/>
      <x:c r="Q205" s="1"/>
      <x:c r="R205" s="1"/>
      <x:c r="S205" s="1"/>
      <x:c r="T205" s="1"/>
    </x:row>
    <x:row r="206" ht="18" customHeight="1">
      <x:c r="A206" s="1"/>
      <x:c r="B206" s="1"/>
      <x:c r="C206" s="1"/>
      <x:c r="D206" s="1"/>
      <x:c r="E206" s="1"/>
      <x:c r="F206" s="1"/>
      <x:c r="G206" s="1"/>
      <x:c r="H206" s="1"/>
      <x:c r="I206" s="1"/>
      <x:c r="J206" s="1"/>
      <x:c r="K206" s="1"/>
      <x:c r="L206" s="1"/>
      <x:c r="M206" s="1"/>
      <x:c r="N206" s="1"/>
      <x:c r="O206" s="1"/>
      <x:c r="P206" s="1"/>
      <x:c r="Q206" s="1"/>
      <x:c r="R206" s="1"/>
      <x:c r="S206" s="1"/>
      <x:c r="T206" s="1"/>
    </x:row>
    <x:row r="207" ht="18" customHeight="1">
      <x:c r="A207" s="1"/>
      <x:c r="B207" s="1"/>
      <x:c r="C207" s="1"/>
      <x:c r="D207" s="1"/>
      <x:c r="E207" s="1"/>
      <x:c r="F207" s="1"/>
      <x:c r="G207" s="1"/>
      <x:c r="H207" s="1"/>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sheetData>
  <x:mergeCells>
    <x:mergeCell ref="B3:H3"/>
    <x:mergeCell ref="B4:H4"/>
  </x:mergeCells>
  <x:pageMargins left="0.7" right="0.7" top="0.75" bottom="0.75" header="0.3" footer="0.3"/>
</x:worksheet>
</file>

<file path=xl/worksheets/sheet15.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23" hidden="0" customWidth="1"/>
    <x:col min="3" max="3" width="23" hidden="0" customWidth="1"/>
    <x:col min="4" max="4" width="22" hidden="0" customWidth="1"/>
    <x:col min="5" max="5" width="28" hidden="0" customWidth="1"/>
    <x:col min="6" max="6" width="31.010000228881836" hidden="0" customWidth="1"/>
    <x:col min="7" max="7" width="12" hidden="0" customWidth="1"/>
    <x:col min="8" max="8" width="31.010000228881836"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Schulinterne Systeme</x:v>
      </x:c>
      <x:c r="C3" s="5"/>
      <x:c r="D3" s="5"/>
      <x:c r="E3" s="5"/>
      <x:c r="F3" s="5"/>
      <x:c r="G3" s="5"/>
      <x:c r="H3" s="5"/>
      <x:c r="I3" s="1"/>
      <x:c r="J3" s="1"/>
      <x:c r="K3" s="1"/>
      <x:c r="L3" s="1"/>
      <x:c r="M3" s="1"/>
      <x:c r="N3" s="1"/>
      <x:c r="O3" s="1"/>
      <x:c r="P3" s="1"/>
      <x:c r="Q3" s="1"/>
      <x:c r="R3" s="1"/>
      <x:c r="S3" s="1"/>
      <x:c r="T3" s="1"/>
    </x:row>
    <x:row r="4" ht="20.017499923706055" customHeight="1">
      <x:c r="A4" s="1"/>
      <x:c r="B4" s="8" t="str">
        <x:v>Standalone vollständig nutzbar · später verbindliche Systeme eintragen und Doppelerfassung vermeiden</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18" customHeight="1">
      <x:c r="A6" s="1"/>
      <x:c r="B6" s="1"/>
      <x:c r="C6" s="1"/>
      <x:c r="D6" s="1"/>
      <x:c r="E6" s="1"/>
      <x:c r="F6" s="1"/>
      <x:c r="G6" s="1"/>
      <x:c r="H6" s="1"/>
      <x:c r="I6" s="1"/>
      <x:c r="J6" s="1"/>
      <x:c r="K6" s="1"/>
      <x:c r="L6" s="1"/>
      <x:c r="M6" s="1"/>
      <x:c r="N6" s="1"/>
      <x:c r="O6" s="1"/>
      <x:c r="P6" s="1"/>
      <x:c r="Q6" s="1"/>
      <x:c r="R6" s="1"/>
      <x:c r="S6" s="1"/>
      <x:c r="T6" s="1"/>
    </x:row>
    <x:row r="7" ht="22.987499237060547" customHeight="1">
      <x:c r="A7" s="1"/>
      <x:c r="B7" s="40" t="str">
        <x:v>Bereich</x:v>
      </x:c>
      <x:c r="C7" s="40" t="str">
        <x:v>Verbindliches System</x:v>
      </x:c>
      <x:c r="D7" s="40" t="str">
        <x:v>Zugang / Ort</x:v>
      </x:c>
      <x:c r="E7" s="40" t="str">
        <x:v>Lokale Nutzung</x:v>
      </x:c>
      <x:c r="F7" s="40" t="str">
        <x:v>Doppelerfassung vermeiden</x:v>
      </x:c>
      <x:c r="G7" s="40" t="str">
        <x:v>Stand</x:v>
      </x:c>
      <x:c r="H7" s="40" t="str">
        <x:v>Notiz</x:v>
      </x:c>
      <x:c r="I7" s="1"/>
      <x:c r="J7" s="1"/>
      <x:c r="K7" s="1"/>
      <x:c r="L7" s="1"/>
      <x:c r="M7" s="1"/>
      <x:c r="N7" s="1"/>
      <x:c r="O7" s="1"/>
      <x:c r="P7" s="1"/>
      <x:c r="Q7" s="1"/>
      <x:c r="R7" s="1"/>
      <x:c r="S7" s="1"/>
      <x:c r="T7" s="1"/>
    </x:row>
    <x:row r="8" ht="38.01750183105469" customHeight="1">
      <x:c r="A8" s="1"/>
      <x:c r="B8" s="59" t="str">
        <x:v>Kalender &amp; Termine</x:v>
      </x:c>
      <x:c r="C8" s="60" t="str">
        <x:v>lokal</x:v>
      </x:c>
      <x:c r="D8" s="61" t="str">
        <x:v>Klassenleitung.ods / Cockpit.ods</x:v>
      </x:c>
      <x:c r="E8" s="61" t="str">
        <x:v>vollständig</x:v>
      </x:c>
      <x:c r="F8" s="61" t="str">
        <x:v>Termin nur einmal verbindlich ändern</x:v>
      </x:c>
      <x:c r="G8" s="62" t="str">
        <x:v>offen</x:v>
      </x:c>
      <x:c r="H8" s="62" t="str"/>
      <x:c r="I8" s="1"/>
      <x:c r="J8" s="1"/>
      <x:c r="K8" s="1"/>
      <x:c r="L8" s="1"/>
      <x:c r="M8" s="1"/>
      <x:c r="N8" s="1"/>
      <x:c r="O8" s="1"/>
      <x:c r="P8" s="1"/>
      <x:c r="Q8" s="1"/>
      <x:c r="R8" s="1"/>
      <x:c r="S8" s="1"/>
      <x:c r="T8" s="1"/>
    </x:row>
    <x:row r="9" ht="38.01750183105469" customHeight="1">
      <x:c r="A9" s="1"/>
      <x:c r="B9" s="59" t="str">
        <x:v>Vertretungsplan</x:v>
      </x:c>
      <x:c r="C9" s="60" t="str">
        <x:v>noch offen</x:v>
      </x:c>
      <x:c r="D9" s="61" t="str"/>
      <x:c r="E9" s="61" t="str">
        <x:v>Prüfroutine</x:v>
      </x:c>
      <x:c r="F9" s="61" t="str">
        <x:v>keine eigene Kopie</x:v>
      </x:c>
      <x:c r="G9" s="62" t="str">
        <x:v>offen</x:v>
      </x:c>
      <x:c r="H9" s="62" t="str"/>
      <x:c r="I9" s="1"/>
      <x:c r="J9" s="1"/>
      <x:c r="K9" s="1"/>
      <x:c r="L9" s="1"/>
      <x:c r="M9" s="1"/>
      <x:c r="N9" s="1"/>
      <x:c r="O9" s="1"/>
      <x:c r="P9" s="1"/>
      <x:c r="Q9" s="1"/>
      <x:c r="R9" s="1"/>
      <x:c r="S9" s="1"/>
      <x:c r="T9" s="1"/>
    </x:row>
    <x:row r="10" ht="38.01750183105469" customHeight="1">
      <x:c r="A10" s="1"/>
      <x:c r="B10" s="59" t="str">
        <x:v>Räume</x:v>
      </x:c>
      <x:c r="C10" s="60" t="str">
        <x:v>noch offen</x:v>
      </x:c>
      <x:c r="D10" s="61" t="str"/>
      <x:c r="E10" s="61" t="str">
        <x:v>Planung / Verweis</x:v>
      </x:c>
      <x:c r="F10" s="61" t="str">
        <x:v>Buchung später nur im Schulsystem</x:v>
      </x:c>
      <x:c r="G10" s="62" t="str">
        <x:v>offen</x:v>
      </x:c>
      <x:c r="H10" s="62" t="str"/>
      <x:c r="I10" s="1"/>
      <x:c r="J10" s="1"/>
      <x:c r="K10" s="1"/>
      <x:c r="L10" s="1"/>
      <x:c r="M10" s="1"/>
      <x:c r="N10" s="1"/>
      <x:c r="O10" s="1"/>
      <x:c r="P10" s="1"/>
      <x:c r="Q10" s="1"/>
      <x:c r="R10" s="1"/>
      <x:c r="S10" s="1"/>
      <x:c r="T10" s="1"/>
    </x:row>
    <x:row r="11" ht="38.01750183105469" customHeight="1">
      <x:c r="A11" s="1"/>
      <x:c r="B11" s="59" t="str">
        <x:v>Klassenarbeiten</x:v>
      </x:c>
      <x:c r="C11" s="60" t="str">
        <x:v>noch offen</x:v>
      </x:c>
      <x:c r="D11" s="61" t="str"/>
      <x:c r="E11" s="61" t="str">
        <x:v>Vorbereitung / Fristen</x:v>
      </x:c>
      <x:c r="F11" s="61" t="str">
        <x:v>Termin später nur einmal verbindlich führen</x:v>
      </x:c>
      <x:c r="G11" s="62" t="str">
        <x:v>offen</x:v>
      </x:c>
      <x:c r="H11" s="62" t="str"/>
      <x:c r="I11" s="1"/>
      <x:c r="J11" s="1"/>
      <x:c r="K11" s="1"/>
      <x:c r="L11" s="1"/>
      <x:c r="M11" s="1"/>
      <x:c r="N11" s="1"/>
      <x:c r="O11" s="1"/>
      <x:c r="P11" s="1"/>
      <x:c r="Q11" s="1"/>
      <x:c r="R11" s="1"/>
      <x:c r="S11" s="1"/>
      <x:c r="T11" s="1"/>
    </x:row>
    <x:row r="12" ht="38.01750183105469" customHeight="1">
      <x:c r="A12" s="1"/>
      <x:c r="B12" s="59" t="str">
        <x:v>Fehlzeiten</x:v>
      </x:c>
      <x:c r="C12" s="60" t="str">
        <x:v>Klassenbuch / optional lokal</x:v>
      </x:c>
      <x:c r="D12" s="61" t="str">
        <x:v>Blatt Fehlzeiten</x:v>
      </x:c>
      <x:c r="E12" s="61" t="str">
        <x:v>Kontrolle offener Entschuldigungen</x:v>
      </x:c>
      <x:c r="F12" s="61" t="str">
        <x:v>nicht parallel pflegen, sobald Schulsystem vollständig ist</x:v>
      </x:c>
      <x:c r="G12" s="62" t="str">
        <x:v>offen</x:v>
      </x:c>
      <x:c r="H12" s="62" t="str"/>
      <x:c r="I12" s="1"/>
      <x:c r="J12" s="1"/>
      <x:c r="K12" s="1"/>
      <x:c r="L12" s="1"/>
      <x:c r="M12" s="1"/>
      <x:c r="N12" s="1"/>
      <x:c r="O12" s="1"/>
      <x:c r="P12" s="1"/>
      <x:c r="Q12" s="1"/>
      <x:c r="R12" s="1"/>
      <x:c r="S12" s="1"/>
      <x:c r="T12" s="1"/>
    </x:row>
    <x:row r="13" ht="38.01750183105469" customHeight="1">
      <x:c r="A13" s="1"/>
      <x:c r="B13" s="59" t="str">
        <x:v>Noten</x:v>
      </x:c>
      <x:c r="C13" s="60" t="str">
        <x:v>Bewertung.ods</x:v>
      </x:c>
      <x:c r="D13" s="61" t="str"/>
      <x:c r="E13" s="61" t="str">
        <x:v>nur Verweis</x:v>
      </x:c>
      <x:c r="F13" s="61" t="str">
        <x:v>keine Noten in dieser Mappe</x:v>
      </x:c>
      <x:c r="G13" s="62" t="str">
        <x:v>geklärt</x:v>
      </x:c>
      <x:c r="H13" s="62" t="str"/>
      <x:c r="I13" s="1"/>
      <x:c r="J13" s="1"/>
      <x:c r="K13" s="1"/>
      <x:c r="L13" s="1"/>
      <x:c r="M13" s="1"/>
      <x:c r="N13" s="1"/>
      <x:c r="O13" s="1"/>
      <x:c r="P13" s="1"/>
      <x:c r="Q13" s="1"/>
      <x:c r="R13" s="1"/>
      <x:c r="S13" s="1"/>
      <x:c r="T13" s="1"/>
    </x:row>
    <x:row r="14" ht="38.01750183105469" customHeight="1">
      <x:c r="A14" s="1"/>
      <x:c r="B14" s="59" t="str">
        <x:v>Elternkommunikation</x:v>
      </x:c>
      <x:c r="C14" s="60" t="str">
        <x:v>lokal</x:v>
      </x:c>
      <x:c r="D14" s="61" t="str"/>
      <x:c r="E14" s="61" t="str">
        <x:v>Vorbereitung / Register</x:v>
      </x:c>
      <x:c r="F14" s="61" t="str">
        <x:v>später nach Schulregel dokumentieren</x:v>
      </x:c>
      <x:c r="G14" s="62" t="str">
        <x:v>offen</x:v>
      </x:c>
      <x:c r="H14" s="62" t="str"/>
      <x:c r="I14" s="1"/>
      <x:c r="J14" s="1"/>
      <x:c r="K14" s="1"/>
      <x:c r="L14" s="1"/>
      <x:c r="M14" s="1"/>
      <x:c r="N14" s="1"/>
      <x:c r="O14" s="1"/>
      <x:c r="P14" s="1"/>
      <x:c r="Q14" s="1"/>
      <x:c r="R14" s="1"/>
      <x:c r="S14" s="1"/>
      <x:c r="T14" s="1"/>
    </x:row>
    <x:row r="15" ht="38.01750183105469" customHeight="1">
      <x:c r="A15" s="1"/>
      <x:c r="B15" s="59" t="str">
        <x:v>Förderung</x:v>
      </x:c>
      <x:c r="C15" s="60" t="str">
        <x:v>lokal</x:v>
      </x:c>
      <x:c r="D15" s="61" t="str"/>
      <x:c r="E15" s="61" t="str">
        <x:v>Fristen / Verweise</x:v>
      </x:c>
      <x:c r="F15" s="61" t="str">
        <x:v>Inhalte nur am zulässigen Ort</x:v>
      </x:c>
      <x:c r="G15" s="62" t="str">
        <x:v>offen</x:v>
      </x:c>
      <x:c r="H15" s="62" t="str"/>
      <x:c r="I15" s="1"/>
      <x:c r="J15" s="1"/>
      <x:c r="K15" s="1"/>
      <x:c r="L15" s="1"/>
      <x:c r="M15" s="1"/>
      <x:c r="N15" s="1"/>
      <x:c r="O15" s="1"/>
      <x:c r="P15" s="1"/>
      <x:c r="Q15" s="1"/>
      <x:c r="R15" s="1"/>
      <x:c r="S15" s="1"/>
      <x:c r="T15" s="1"/>
    </x:row>
    <x:row r="16" ht="38.01750183105469" customHeight="1">
      <x:c r="A16" s="1"/>
      <x:c r="B16" s="59" t="str">
        <x:v>Konferenzen</x:v>
      </x:c>
      <x:c r="C16" s="60" t="str">
        <x:v>lokal</x:v>
      </x:c>
      <x:c r="D16" s="61" t="str"/>
      <x:c r="E16" s="61" t="str">
        <x:v>Vorbereitung / Register</x:v>
      </x:c>
      <x:c r="F16" s="61" t="str">
        <x:v>Protokolle am offiziellen Ort</x:v>
      </x:c>
      <x:c r="G16" s="62" t="str">
        <x:v>offen</x:v>
      </x:c>
      <x:c r="H16" s="62" t="str"/>
      <x:c r="I16" s="1"/>
      <x:c r="J16" s="1"/>
      <x:c r="K16" s="1"/>
      <x:c r="L16" s="1"/>
      <x:c r="M16" s="1"/>
      <x:c r="N16" s="1"/>
      <x:c r="O16" s="1"/>
      <x:c r="P16" s="1"/>
      <x:c r="Q16" s="1"/>
      <x:c r="R16" s="1"/>
      <x:c r="S16" s="1"/>
      <x:c r="T16" s="1"/>
    </x:row>
    <x:row r="17" ht="38.01750183105469" customHeight="1">
      <x:c r="A17" s="1"/>
      <x:c r="B17" s="59" t="str">
        <x:v>Materialablage</x:v>
      </x:c>
      <x:c r="C17" s="60" t="str">
        <x:v>lokal</x:v>
      </x:c>
      <x:c r="D17" s="61" t="str">
        <x:v>Schulordner</x:v>
      </x:c>
      <x:c r="E17" s="61" t="str">
        <x:v>Verweise</x:v>
      </x:c>
      <x:c r="F17" s="61" t="str">
        <x:v>Datei nur einmal speichern</x:v>
      </x:c>
      <x:c r="G17" s="62" t="str">
        <x:v>geklärt</x:v>
      </x:c>
      <x:c r="H17" s="62" t="str"/>
      <x:c r="I17" s="1"/>
      <x:c r="J17" s="1"/>
      <x:c r="K17" s="1"/>
      <x:c r="L17" s="1"/>
      <x:c r="M17" s="1"/>
      <x:c r="N17" s="1"/>
      <x:c r="O17" s="1"/>
      <x:c r="P17" s="1"/>
      <x:c r="Q17" s="1"/>
      <x:c r="R17" s="1"/>
      <x:c r="S17" s="1"/>
      <x:c r="T17" s="1"/>
    </x:row>
    <x:row r="18" ht="38.01750183105469" customHeight="1">
      <x:c r="A18" s="1"/>
      <x:c r="B18" s="59" t="str">
        <x:v>Kinderschutz / Krisen</x:v>
      </x:c>
      <x:c r="C18" s="60" t="str">
        <x:v>schulisches Verfahren</x:v>
      </x:c>
      <x:c r="D18" s="61" t="str"/>
      <x:c r="E18" s="61" t="str">
        <x:v>nur Aufgaben / Verweise</x:v>
      </x:c>
      <x:c r="F18" s="61" t="str">
        <x:v>keine Falldokumentation in dieser Mappe</x:v>
      </x:c>
      <x:c r="G18" s="62" t="str">
        <x:v>offen</x:v>
      </x:c>
      <x:c r="H18" s="62" t="str"/>
      <x:c r="I18" s="1"/>
      <x:c r="J18" s="1"/>
      <x:c r="K18" s="1"/>
      <x:c r="L18" s="1"/>
      <x:c r="M18" s="1"/>
      <x:c r="N18" s="1"/>
      <x:c r="O18" s="1"/>
      <x:c r="P18" s="1"/>
      <x:c r="Q18" s="1"/>
      <x:c r="R18" s="1"/>
      <x:c r="S18" s="1"/>
      <x:c r="T18" s="1"/>
    </x:row>
    <x:row r="19" ht="38.01750183105469" customHeight="1">
      <x:c r="A19" s="1"/>
      <x:c r="B19" s="59" t="str">
        <x:v>Datenschutz</x:v>
      </x:c>
      <x:c r="C19" s="60" t="str">
        <x:v>schulische Vorgaben</x:v>
      </x:c>
      <x:c r="D19" s="61" t="str"/>
      <x:c r="E19" s="61" t="str">
        <x:v>Minimaldaten</x:v>
      </x:c>
      <x:c r="F19" s="61" t="str">
        <x:v>keine Schattenakte</x:v>
      </x:c>
      <x:c r="G19" s="62" t="str">
        <x:v>offen</x:v>
      </x:c>
      <x:c r="H19" s="62" t="str"/>
      <x:c r="I19" s="1"/>
      <x:c r="J19" s="1"/>
      <x:c r="K19" s="1"/>
      <x:c r="L19" s="1"/>
      <x:c r="M19" s="1"/>
      <x:c r="N19" s="1"/>
      <x:c r="O19" s="1"/>
      <x:c r="P19" s="1"/>
      <x:c r="Q19" s="1"/>
      <x:c r="R19" s="1"/>
      <x:c r="S19" s="1"/>
      <x:c r="T19" s="1"/>
    </x:row>
    <x:row r="20" ht="18" customHeight="1">
      <x:c r="A20" s="1"/>
      <x:c r="B20" s="1"/>
      <x:c r="C20" s="1"/>
      <x:c r="D20" s="1"/>
      <x:c r="E20" s="1"/>
      <x:c r="F20" s="1"/>
      <x:c r="G20" s="1"/>
      <x:c r="H20" s="1"/>
      <x:c r="I20" s="1"/>
      <x:c r="J20" s="1"/>
      <x:c r="K20" s="1"/>
      <x:c r="L20" s="1"/>
      <x:c r="M20" s="1"/>
      <x:c r="N20" s="1"/>
      <x:c r="O20" s="1"/>
      <x:c r="P20" s="1"/>
      <x:c r="Q20" s="1"/>
      <x:c r="R20" s="1"/>
      <x:c r="S20" s="1"/>
      <x:c r="T20" s="1"/>
    </x:row>
    <x:row r="21" ht="18" customHeight="1">
      <x:c r="A21" s="1"/>
      <x:c r="B21" s="1"/>
      <x:c r="C21" s="1"/>
      <x:c r="D21" s="1"/>
      <x:c r="E21" s="1"/>
      <x:c r="F21" s="1"/>
      <x:c r="G21" s="1"/>
      <x:c r="H21" s="1"/>
      <x:c r="I21" s="1"/>
      <x:c r="J21" s="1"/>
      <x:c r="K21" s="1"/>
      <x:c r="L21" s="1"/>
      <x:c r="M21" s="1"/>
      <x:c r="N21" s="1"/>
      <x:c r="O21" s="1"/>
      <x:c r="P21" s="1"/>
      <x:c r="Q21" s="1"/>
      <x:c r="R21" s="1"/>
      <x:c r="S21" s="1"/>
      <x:c r="T21" s="1"/>
    </x:row>
    <x:row r="22" ht="18" customHeight="1">
      <x:c r="A22" s="1"/>
      <x:c r="B22" s="1"/>
      <x:c r="C22" s="1"/>
      <x:c r="D22" s="1"/>
      <x:c r="E22" s="1"/>
      <x:c r="F22" s="1"/>
      <x:c r="G22" s="1"/>
      <x:c r="H22" s="1"/>
      <x:c r="I22" s="1"/>
      <x:c r="J22" s="1"/>
      <x:c r="K22" s="1"/>
      <x:c r="L22" s="1"/>
      <x:c r="M22" s="1"/>
      <x:c r="N22" s="1"/>
      <x:c r="O22" s="1"/>
      <x:c r="P22" s="1"/>
      <x:c r="Q22" s="1"/>
      <x:c r="R22" s="1"/>
      <x:c r="S22" s="1"/>
      <x:c r="T22" s="1"/>
    </x:row>
    <x:row r="23" ht="18" customHeight="1">
      <x:c r="A23" s="1"/>
      <x:c r="B23" s="1"/>
      <x:c r="C23" s="1"/>
      <x:c r="D23" s="1"/>
      <x:c r="E23" s="1"/>
      <x:c r="F23" s="1"/>
      <x:c r="G23" s="1"/>
      <x:c r="H23" s="1"/>
      <x:c r="I23" s="1"/>
      <x:c r="J23" s="1"/>
      <x:c r="K23" s="1"/>
      <x:c r="L23" s="1"/>
      <x:c r="M23" s="1"/>
      <x:c r="N23" s="1"/>
      <x:c r="O23" s="1"/>
      <x:c r="P23" s="1"/>
      <x:c r="Q23" s="1"/>
      <x:c r="R23" s="1"/>
      <x:c r="S23" s="1"/>
      <x:c r="T23" s="1"/>
    </x:row>
    <x:row r="24" ht="18" customHeight="1">
      <x:c r="A24" s="1"/>
      <x:c r="B24" s="1"/>
      <x:c r="C24" s="1"/>
      <x:c r="D24" s="1"/>
      <x:c r="E24" s="1"/>
      <x:c r="F24" s="1"/>
      <x:c r="G24" s="1"/>
      <x:c r="H24" s="1"/>
      <x:c r="I24" s="1"/>
      <x:c r="J24" s="1"/>
      <x:c r="K24" s="1"/>
      <x:c r="L24" s="1"/>
      <x:c r="M24" s="1"/>
      <x:c r="N24" s="1"/>
      <x:c r="O24" s="1"/>
      <x:c r="P24" s="1"/>
      <x:c r="Q24" s="1"/>
      <x:c r="R24" s="1"/>
      <x:c r="S24" s="1"/>
      <x:c r="T24" s="1"/>
    </x:row>
    <x:row r="25" ht="18" customHeight="1">
      <x:c r="A25" s="1"/>
      <x:c r="B25" s="1"/>
      <x:c r="C25" s="1"/>
      <x:c r="D25" s="1"/>
      <x:c r="E25" s="1"/>
      <x:c r="F25" s="1"/>
      <x:c r="G25" s="1"/>
      <x:c r="H25" s="1"/>
      <x:c r="I25" s="1"/>
      <x:c r="J25" s="1"/>
      <x:c r="K25" s="1"/>
      <x:c r="L25" s="1"/>
      <x:c r="M25" s="1"/>
      <x:c r="N25" s="1"/>
      <x:c r="O25" s="1"/>
      <x:c r="P25" s="1"/>
      <x:c r="Q25" s="1"/>
      <x:c r="R25" s="1"/>
      <x:c r="S25" s="1"/>
      <x:c r="T25" s="1"/>
    </x:row>
    <x:row r="26" ht="18" customHeight="1">
      <x:c r="A26" s="1"/>
      <x:c r="B26" s="1"/>
      <x:c r="C26" s="1"/>
      <x:c r="D26" s="1"/>
      <x:c r="E26" s="1"/>
      <x:c r="F26" s="1"/>
      <x:c r="G26" s="1"/>
      <x:c r="H26" s="1"/>
      <x:c r="I26" s="1"/>
      <x:c r="J26" s="1"/>
      <x:c r="K26" s="1"/>
      <x:c r="L26" s="1"/>
      <x:c r="M26" s="1"/>
      <x:c r="N26" s="1"/>
      <x:c r="O26" s="1"/>
      <x:c r="P26" s="1"/>
      <x:c r="Q26" s="1"/>
      <x:c r="R26" s="1"/>
      <x:c r="S26" s="1"/>
      <x:c r="T26" s="1"/>
    </x:row>
    <x:row r="27" ht="18" customHeight="1">
      <x:c r="A27" s="1"/>
      <x:c r="B27" s="1"/>
      <x:c r="C27" s="1"/>
      <x:c r="D27" s="1"/>
      <x:c r="E27" s="1"/>
      <x:c r="F27" s="1"/>
      <x:c r="G27" s="1"/>
      <x:c r="H27" s="1"/>
      <x:c r="I27" s="1"/>
      <x:c r="J27" s="1"/>
      <x:c r="K27" s="1"/>
      <x:c r="L27" s="1"/>
      <x:c r="M27" s="1"/>
      <x:c r="N27" s="1"/>
      <x:c r="O27" s="1"/>
      <x:c r="P27" s="1"/>
      <x:c r="Q27" s="1"/>
      <x:c r="R27" s="1"/>
      <x:c r="S27" s="1"/>
      <x:c r="T27" s="1"/>
    </x:row>
    <x:row r="28" ht="18" customHeight="1">
      <x:c r="A28" s="1"/>
      <x:c r="B28" s="1"/>
      <x:c r="C28" s="1"/>
      <x:c r="D28" s="1"/>
      <x:c r="E28" s="1"/>
      <x:c r="F28" s="1"/>
      <x:c r="G28" s="1"/>
      <x:c r="H28" s="1"/>
      <x:c r="I28" s="1"/>
      <x:c r="J28" s="1"/>
      <x:c r="K28" s="1"/>
      <x:c r="L28" s="1"/>
      <x:c r="M28" s="1"/>
      <x:c r="N28" s="1"/>
      <x:c r="O28" s="1"/>
      <x:c r="P28" s="1"/>
      <x:c r="Q28" s="1"/>
      <x:c r="R28" s="1"/>
      <x:c r="S28" s="1"/>
      <x:c r="T28" s="1"/>
    </x:row>
    <x:row r="29" ht="18" customHeight="1">
      <x:c r="A29" s="1"/>
      <x:c r="B29" s="1"/>
      <x:c r="C29" s="1"/>
      <x:c r="D29" s="1"/>
      <x:c r="E29" s="1"/>
      <x:c r="F29" s="1"/>
      <x:c r="G29" s="1"/>
      <x:c r="H29" s="1"/>
      <x:c r="I29" s="1"/>
      <x:c r="J29" s="1"/>
      <x:c r="K29" s="1"/>
      <x:c r="L29" s="1"/>
      <x:c r="M29" s="1"/>
      <x:c r="N29" s="1"/>
      <x:c r="O29" s="1"/>
      <x:c r="P29" s="1"/>
      <x:c r="Q29" s="1"/>
      <x:c r="R29" s="1"/>
      <x:c r="S29" s="1"/>
      <x:c r="T29" s="1"/>
    </x:row>
    <x:row r="30" ht="18" customHeight="1">
      <x:c r="A30" s="1"/>
      <x:c r="B30" s="1"/>
      <x:c r="C30" s="1"/>
      <x:c r="D30" s="1"/>
      <x:c r="E30" s="1"/>
      <x:c r="F30" s="1"/>
      <x:c r="G30" s="1"/>
      <x:c r="H30" s="1"/>
      <x:c r="I30" s="1"/>
      <x:c r="J30" s="1"/>
      <x:c r="K30" s="1"/>
      <x:c r="L30" s="1"/>
      <x:c r="M30" s="1"/>
      <x:c r="N30" s="1"/>
      <x:c r="O30" s="1"/>
      <x:c r="P30" s="1"/>
      <x:c r="Q30" s="1"/>
      <x:c r="R30" s="1"/>
      <x:c r="S30" s="1"/>
      <x:c r="T30" s="1"/>
    </x:row>
    <x:row r="31" ht="18" customHeight="1">
      <x:c r="A31" s="1"/>
      <x:c r="B31" s="1"/>
      <x:c r="C31" s="1"/>
      <x:c r="D31" s="1"/>
      <x:c r="E31" s="1"/>
      <x:c r="F31" s="1"/>
      <x:c r="G31" s="1"/>
      <x:c r="H31" s="1"/>
      <x:c r="I31" s="1"/>
      <x:c r="J31" s="1"/>
      <x:c r="K31" s="1"/>
      <x:c r="L31" s="1"/>
      <x:c r="M31" s="1"/>
      <x:c r="N31" s="1"/>
      <x:c r="O31" s="1"/>
      <x:c r="P31" s="1"/>
      <x:c r="Q31" s="1"/>
      <x:c r="R31" s="1"/>
      <x:c r="S31" s="1"/>
      <x:c r="T31" s="1"/>
    </x:row>
    <x:row r="32" ht="18" customHeight="1">
      <x:c r="A32" s="1"/>
      <x:c r="B32" s="1"/>
      <x:c r="C32" s="1"/>
      <x:c r="D32" s="1"/>
      <x:c r="E32" s="1"/>
      <x:c r="F32" s="1"/>
      <x:c r="G32" s="1"/>
      <x:c r="H32" s="1"/>
      <x:c r="I32" s="1"/>
      <x:c r="J32" s="1"/>
      <x:c r="K32" s="1"/>
      <x:c r="L32" s="1"/>
      <x:c r="M32" s="1"/>
      <x:c r="N32" s="1"/>
      <x:c r="O32" s="1"/>
      <x:c r="P32" s="1"/>
      <x:c r="Q32" s="1"/>
      <x:c r="R32" s="1"/>
      <x:c r="S32" s="1"/>
      <x:c r="T32" s="1"/>
    </x:row>
    <x:row r="33" ht="18" customHeight="1">
      <x:c r="A33" s="1"/>
      <x:c r="B33" s="1"/>
      <x:c r="C33" s="1"/>
      <x:c r="D33" s="1"/>
      <x:c r="E33" s="1"/>
      <x:c r="F33" s="1"/>
      <x:c r="G33" s="1"/>
      <x:c r="H33" s="1"/>
      <x:c r="I33" s="1"/>
      <x:c r="J33" s="1"/>
      <x:c r="K33" s="1"/>
      <x:c r="L33" s="1"/>
      <x:c r="M33" s="1"/>
      <x:c r="N33" s="1"/>
      <x:c r="O33" s="1"/>
      <x:c r="P33" s="1"/>
      <x:c r="Q33" s="1"/>
      <x:c r="R33" s="1"/>
      <x:c r="S33" s="1"/>
      <x:c r="T33" s="1"/>
    </x:row>
    <x:row r="34" ht="18" customHeight="1">
      <x:c r="A34" s="1"/>
      <x:c r="B34" s="1"/>
      <x:c r="C34" s="1"/>
      <x:c r="D34" s="1"/>
      <x:c r="E34" s="1"/>
      <x:c r="F34" s="1"/>
      <x:c r="G34" s="1"/>
      <x:c r="H34" s="1"/>
      <x:c r="I34" s="1"/>
      <x:c r="J34" s="1"/>
      <x:c r="K34" s="1"/>
      <x:c r="L34" s="1"/>
      <x:c r="M34" s="1"/>
      <x:c r="N34" s="1"/>
      <x:c r="O34" s="1"/>
      <x:c r="P34" s="1"/>
      <x:c r="Q34" s="1"/>
      <x:c r="R34" s="1"/>
      <x:c r="S34" s="1"/>
      <x:c r="T34" s="1"/>
    </x:row>
    <x:row r="35" ht="18" customHeight="1">
      <x:c r="A35" s="1"/>
      <x:c r="B35" s="1"/>
      <x:c r="C35" s="1"/>
      <x:c r="D35" s="1"/>
      <x:c r="E35" s="1"/>
      <x:c r="F35" s="1"/>
      <x:c r="G35" s="1"/>
      <x:c r="H35" s="1"/>
      <x:c r="I35" s="1"/>
      <x:c r="J35" s="1"/>
      <x:c r="K35" s="1"/>
      <x:c r="L35" s="1"/>
      <x:c r="M35" s="1"/>
      <x:c r="N35" s="1"/>
      <x:c r="O35" s="1"/>
      <x:c r="P35" s="1"/>
      <x:c r="Q35" s="1"/>
      <x:c r="R35" s="1"/>
      <x:c r="S35" s="1"/>
      <x:c r="T35" s="1"/>
    </x:row>
    <x:row r="36" ht="18" customHeight="1">
      <x:c r="A36" s="1"/>
      <x:c r="B36" s="1"/>
      <x:c r="C36" s="1"/>
      <x:c r="D36" s="1"/>
      <x:c r="E36" s="1"/>
      <x:c r="F36" s="1"/>
      <x:c r="G36" s="1"/>
      <x:c r="H36" s="1"/>
      <x:c r="I36" s="1"/>
      <x:c r="J36" s="1"/>
      <x:c r="K36" s="1"/>
      <x:c r="L36" s="1"/>
      <x:c r="M36" s="1"/>
      <x:c r="N36" s="1"/>
      <x:c r="O36" s="1"/>
      <x:c r="P36" s="1"/>
      <x:c r="Q36" s="1"/>
      <x:c r="R36" s="1"/>
      <x:c r="S36" s="1"/>
      <x:c r="T36" s="1"/>
    </x:row>
    <x:row r="37" ht="18" customHeight="1">
      <x:c r="A37" s="1"/>
      <x:c r="B37" s="1"/>
      <x:c r="C37" s="1"/>
      <x:c r="D37" s="1"/>
      <x:c r="E37" s="1"/>
      <x:c r="F37" s="1"/>
      <x:c r="G37" s="1"/>
      <x:c r="H37" s="1"/>
      <x:c r="I37" s="1"/>
      <x:c r="J37" s="1"/>
      <x:c r="K37" s="1"/>
      <x:c r="L37" s="1"/>
      <x:c r="M37" s="1"/>
      <x:c r="N37" s="1"/>
      <x:c r="O37" s="1"/>
      <x:c r="P37" s="1"/>
      <x:c r="Q37" s="1"/>
      <x:c r="R37" s="1"/>
      <x:c r="S37" s="1"/>
      <x:c r="T37" s="1"/>
    </x:row>
    <x:row r="38" ht="18" customHeight="1">
      <x:c r="A38" s="1"/>
      <x:c r="B38" s="1"/>
      <x:c r="C38" s="1"/>
      <x:c r="D38" s="1"/>
      <x:c r="E38" s="1"/>
      <x:c r="F38" s="1"/>
      <x:c r="G38" s="1"/>
      <x:c r="H38" s="1"/>
      <x:c r="I38" s="1"/>
      <x:c r="J38" s="1"/>
      <x:c r="K38" s="1"/>
      <x:c r="L38" s="1"/>
      <x:c r="M38" s="1"/>
      <x:c r="N38" s="1"/>
      <x:c r="O38" s="1"/>
      <x:c r="P38" s="1"/>
      <x:c r="Q38" s="1"/>
      <x:c r="R38" s="1"/>
      <x:c r="S38" s="1"/>
      <x:c r="T38" s="1"/>
    </x:row>
    <x:row r="39" ht="18" customHeight="1">
      <x:c r="A39" s="1"/>
      <x:c r="B39" s="1"/>
      <x:c r="C39" s="1"/>
      <x:c r="D39" s="1"/>
      <x:c r="E39" s="1"/>
      <x:c r="F39" s="1"/>
      <x:c r="G39" s="1"/>
      <x:c r="H39" s="1"/>
      <x:c r="I39" s="1"/>
      <x:c r="J39" s="1"/>
      <x:c r="K39" s="1"/>
      <x:c r="L39" s="1"/>
      <x:c r="M39" s="1"/>
      <x:c r="N39" s="1"/>
      <x:c r="O39" s="1"/>
      <x:c r="P39" s="1"/>
      <x:c r="Q39" s="1"/>
      <x:c r="R39" s="1"/>
      <x:c r="S39" s="1"/>
      <x:c r="T39" s="1"/>
    </x:row>
    <x:row r="40" ht="18" customHeight="1">
      <x:c r="A40" s="1"/>
      <x:c r="B40" s="1"/>
      <x:c r="C40" s="1"/>
      <x:c r="D40" s="1"/>
      <x:c r="E40" s="1"/>
      <x:c r="F40" s="1"/>
      <x:c r="G40" s="1"/>
      <x:c r="H40" s="1"/>
      <x:c r="I40" s="1"/>
      <x:c r="J40" s="1"/>
      <x:c r="K40" s="1"/>
      <x:c r="L40" s="1"/>
      <x:c r="M40" s="1"/>
      <x:c r="N40" s="1"/>
      <x:c r="O40" s="1"/>
      <x:c r="P40" s="1"/>
      <x:c r="Q40" s="1"/>
      <x:c r="R40" s="1"/>
      <x:c r="S40" s="1"/>
      <x:c r="T40" s="1"/>
    </x:row>
    <x:row r="41" ht="18" customHeight="1">
      <x:c r="A41" s="1"/>
      <x:c r="B41" s="1"/>
      <x:c r="C41" s="1"/>
      <x:c r="D41" s="1"/>
      <x:c r="E41" s="1"/>
      <x:c r="F41" s="1"/>
      <x:c r="G41" s="1"/>
      <x:c r="H41" s="1"/>
      <x:c r="I41" s="1"/>
      <x:c r="J41" s="1"/>
      <x:c r="K41" s="1"/>
      <x:c r="L41" s="1"/>
      <x:c r="M41" s="1"/>
      <x:c r="N41" s="1"/>
      <x:c r="O41" s="1"/>
      <x:c r="P41" s="1"/>
      <x:c r="Q41" s="1"/>
      <x:c r="R41" s="1"/>
      <x:c r="S41" s="1"/>
      <x:c r="T41" s="1"/>
    </x:row>
    <x:row r="42" ht="18" customHeight="1">
      <x:c r="A42" s="1"/>
      <x:c r="B42" s="1"/>
      <x:c r="C42" s="1"/>
      <x:c r="D42" s="1"/>
      <x:c r="E42" s="1"/>
      <x:c r="F42" s="1"/>
      <x:c r="G42" s="1"/>
      <x:c r="H42" s="1"/>
      <x:c r="I42" s="1"/>
      <x:c r="J42" s="1"/>
      <x:c r="K42" s="1"/>
      <x:c r="L42" s="1"/>
      <x:c r="M42" s="1"/>
      <x:c r="N42" s="1"/>
      <x:c r="O42" s="1"/>
      <x:c r="P42" s="1"/>
      <x:c r="Q42" s="1"/>
      <x:c r="R42" s="1"/>
      <x:c r="S42" s="1"/>
      <x:c r="T42" s="1"/>
    </x:row>
    <x:row r="43" ht="18" customHeight="1">
      <x:c r="A43" s="1"/>
      <x:c r="B43" s="1"/>
      <x:c r="C43" s="1"/>
      <x:c r="D43" s="1"/>
      <x:c r="E43" s="1"/>
      <x:c r="F43" s="1"/>
      <x:c r="G43" s="1"/>
      <x:c r="H43" s="1"/>
      <x:c r="I43" s="1"/>
      <x:c r="J43" s="1"/>
      <x:c r="K43" s="1"/>
      <x:c r="L43" s="1"/>
      <x:c r="M43" s="1"/>
      <x:c r="N43" s="1"/>
      <x:c r="O43" s="1"/>
      <x:c r="P43" s="1"/>
      <x:c r="Q43" s="1"/>
      <x:c r="R43" s="1"/>
      <x:c r="S43" s="1"/>
      <x:c r="T43" s="1"/>
    </x:row>
    <x:row r="44" ht="18" customHeight="1">
      <x:c r="A44" s="1"/>
      <x:c r="B44" s="1"/>
      <x:c r="C44" s="1"/>
      <x:c r="D44" s="1"/>
      <x:c r="E44" s="1"/>
      <x:c r="F44" s="1"/>
      <x:c r="G44" s="1"/>
      <x:c r="H44" s="1"/>
      <x:c r="I44" s="1"/>
      <x:c r="J44" s="1"/>
      <x:c r="K44" s="1"/>
      <x:c r="L44" s="1"/>
      <x:c r="M44" s="1"/>
      <x:c r="N44" s="1"/>
      <x:c r="O44" s="1"/>
      <x:c r="P44" s="1"/>
      <x:c r="Q44" s="1"/>
      <x:c r="R44" s="1"/>
      <x:c r="S44" s="1"/>
      <x:c r="T44" s="1"/>
    </x:row>
    <x:row r="45" ht="18" customHeight="1">
      <x:c r="A45" s="1"/>
      <x:c r="B45" s="1"/>
      <x:c r="C45" s="1"/>
      <x:c r="D45" s="1"/>
      <x:c r="E45" s="1"/>
      <x:c r="F45" s="1"/>
      <x:c r="G45" s="1"/>
      <x:c r="H45" s="1"/>
      <x:c r="I45" s="1"/>
      <x:c r="J45" s="1"/>
      <x:c r="K45" s="1"/>
      <x:c r="L45" s="1"/>
      <x:c r="M45" s="1"/>
      <x:c r="N45" s="1"/>
      <x:c r="O45" s="1"/>
      <x:c r="P45" s="1"/>
      <x:c r="Q45" s="1"/>
      <x:c r="R45" s="1"/>
      <x:c r="S45" s="1"/>
      <x:c r="T45" s="1"/>
    </x:row>
    <x:row r="46" ht="18" customHeight="1">
      <x:c r="A46" s="1"/>
      <x:c r="B46" s="1"/>
      <x:c r="C46" s="1"/>
      <x:c r="D46" s="1"/>
      <x:c r="E46" s="1"/>
      <x:c r="F46" s="1"/>
      <x:c r="G46" s="1"/>
      <x:c r="H46" s="1"/>
      <x:c r="I46" s="1"/>
      <x:c r="J46" s="1"/>
      <x:c r="K46" s="1"/>
      <x:c r="L46" s="1"/>
      <x:c r="M46" s="1"/>
      <x:c r="N46" s="1"/>
      <x:c r="O46" s="1"/>
      <x:c r="P46" s="1"/>
      <x:c r="Q46" s="1"/>
      <x:c r="R46" s="1"/>
      <x:c r="S46" s="1"/>
      <x:c r="T46" s="1"/>
    </x:row>
    <x:row r="47" ht="18" customHeight="1">
      <x:c r="A47" s="1"/>
      <x:c r="B47" s="1"/>
      <x:c r="C47" s="1"/>
      <x:c r="D47" s="1"/>
      <x:c r="E47" s="1"/>
      <x:c r="F47" s="1"/>
      <x:c r="G47" s="1"/>
      <x:c r="H47" s="1"/>
      <x:c r="I47" s="1"/>
      <x:c r="J47" s="1"/>
      <x:c r="K47" s="1"/>
      <x:c r="L47" s="1"/>
      <x:c r="M47" s="1"/>
      <x:c r="N47" s="1"/>
      <x:c r="O47" s="1"/>
      <x:c r="P47" s="1"/>
      <x:c r="Q47" s="1"/>
      <x:c r="R47" s="1"/>
      <x:c r="S47" s="1"/>
      <x:c r="T47" s="1"/>
    </x:row>
    <x:row r="48" ht="18" customHeight="1">
      <x:c r="A48" s="1"/>
      <x:c r="B48" s="1"/>
      <x:c r="C48" s="1"/>
      <x:c r="D48" s="1"/>
      <x:c r="E48" s="1"/>
      <x:c r="F48" s="1"/>
      <x:c r="G48" s="1"/>
      <x:c r="H48" s="1"/>
      <x:c r="I48" s="1"/>
      <x:c r="J48" s="1"/>
      <x:c r="K48" s="1"/>
      <x:c r="L48" s="1"/>
      <x:c r="M48" s="1"/>
      <x:c r="N48" s="1"/>
      <x:c r="O48" s="1"/>
      <x:c r="P48" s="1"/>
      <x:c r="Q48" s="1"/>
      <x:c r="R48" s="1"/>
      <x:c r="S48" s="1"/>
      <x:c r="T48" s="1"/>
    </x:row>
    <x:row r="49" ht="18" customHeight="1">
      <x:c r="A49" s="1"/>
      <x:c r="B49" s="1"/>
      <x:c r="C49" s="1"/>
      <x:c r="D49" s="1"/>
      <x:c r="E49" s="1"/>
      <x:c r="F49" s="1"/>
      <x:c r="G49" s="1"/>
      <x:c r="H49" s="1"/>
      <x:c r="I49" s="1"/>
      <x:c r="J49" s="1"/>
      <x:c r="K49" s="1"/>
      <x:c r="L49" s="1"/>
      <x:c r="M49" s="1"/>
      <x:c r="N49" s="1"/>
      <x:c r="O49" s="1"/>
      <x:c r="P49" s="1"/>
      <x:c r="Q49" s="1"/>
      <x:c r="R49" s="1"/>
      <x:c r="S49" s="1"/>
      <x:c r="T49" s="1"/>
    </x:row>
    <x:row r="50" ht="18" customHeight="1">
      <x:c r="A50" s="1"/>
      <x:c r="B50" s="1"/>
      <x:c r="C50" s="1"/>
      <x:c r="D50" s="1"/>
      <x:c r="E50" s="1"/>
      <x:c r="F50" s="1"/>
      <x:c r="G50" s="1"/>
      <x:c r="H50" s="1"/>
      <x:c r="I50" s="1"/>
      <x:c r="J50" s="1"/>
      <x:c r="K50" s="1"/>
      <x:c r="L50" s="1"/>
      <x:c r="M50" s="1"/>
      <x:c r="N50" s="1"/>
      <x:c r="O50" s="1"/>
      <x:c r="P50" s="1"/>
      <x:c r="Q50" s="1"/>
      <x:c r="R50" s="1"/>
      <x:c r="S50" s="1"/>
      <x:c r="T50" s="1"/>
    </x:row>
    <x:row r="51" ht="18" customHeight="1">
      <x:c r="A51" s="1"/>
      <x:c r="B51" s="1"/>
      <x:c r="C51" s="1"/>
      <x:c r="D51" s="1"/>
      <x:c r="E51" s="1"/>
      <x:c r="F51" s="1"/>
      <x:c r="G51" s="1"/>
      <x:c r="H51" s="1"/>
      <x:c r="I51" s="1"/>
      <x:c r="J51" s="1"/>
      <x:c r="K51" s="1"/>
      <x:c r="L51" s="1"/>
      <x:c r="M51" s="1"/>
      <x:c r="N51" s="1"/>
      <x:c r="O51" s="1"/>
      <x:c r="P51" s="1"/>
      <x:c r="Q51" s="1"/>
      <x:c r="R51" s="1"/>
      <x:c r="S51" s="1"/>
      <x:c r="T51" s="1"/>
    </x:row>
    <x:row r="52" ht="18" customHeight="1">
      <x:c r="A52" s="1"/>
      <x:c r="B52" s="1"/>
      <x:c r="C52" s="1"/>
      <x:c r="D52" s="1"/>
      <x:c r="E52" s="1"/>
      <x:c r="F52" s="1"/>
      <x:c r="G52" s="1"/>
      <x:c r="H52" s="1"/>
      <x:c r="I52" s="1"/>
      <x:c r="J52" s="1"/>
      <x:c r="K52" s="1"/>
      <x:c r="L52" s="1"/>
      <x:c r="M52" s="1"/>
      <x:c r="N52" s="1"/>
      <x:c r="O52" s="1"/>
      <x:c r="P52" s="1"/>
      <x:c r="Q52" s="1"/>
      <x:c r="R52" s="1"/>
      <x:c r="S52" s="1"/>
      <x:c r="T52" s="1"/>
    </x:row>
    <x:row r="53" ht="18" customHeight="1">
      <x:c r="A53" s="1"/>
      <x:c r="B53" s="1"/>
      <x:c r="C53" s="1"/>
      <x:c r="D53" s="1"/>
      <x:c r="E53" s="1"/>
      <x:c r="F53" s="1"/>
      <x:c r="G53" s="1"/>
      <x:c r="H53" s="1"/>
      <x:c r="I53" s="1"/>
      <x:c r="J53" s="1"/>
      <x:c r="K53" s="1"/>
      <x:c r="L53" s="1"/>
      <x:c r="M53" s="1"/>
      <x:c r="N53" s="1"/>
      <x:c r="O53" s="1"/>
      <x:c r="P53" s="1"/>
      <x:c r="Q53" s="1"/>
      <x:c r="R53" s="1"/>
      <x:c r="S53" s="1"/>
      <x:c r="T53" s="1"/>
    </x:row>
    <x:row r="54" ht="18" customHeight="1">
      <x:c r="A54" s="1"/>
      <x:c r="B54" s="1"/>
      <x:c r="C54" s="1"/>
      <x:c r="D54" s="1"/>
      <x:c r="E54" s="1"/>
      <x:c r="F54" s="1"/>
      <x:c r="G54" s="1"/>
      <x:c r="H54" s="1"/>
      <x:c r="I54" s="1"/>
      <x:c r="J54" s="1"/>
      <x:c r="K54" s="1"/>
      <x:c r="L54" s="1"/>
      <x:c r="M54" s="1"/>
      <x:c r="N54" s="1"/>
      <x:c r="O54" s="1"/>
      <x:c r="P54" s="1"/>
      <x:c r="Q54" s="1"/>
      <x:c r="R54" s="1"/>
      <x:c r="S54" s="1"/>
      <x:c r="T54" s="1"/>
    </x:row>
    <x:row r="55" ht="18" customHeight="1">
      <x:c r="A55" s="1"/>
      <x:c r="B55" s="1"/>
      <x:c r="C55" s="1"/>
      <x:c r="D55" s="1"/>
      <x:c r="E55" s="1"/>
      <x:c r="F55" s="1"/>
      <x:c r="G55" s="1"/>
      <x:c r="H55" s="1"/>
      <x:c r="I55" s="1"/>
      <x:c r="J55" s="1"/>
      <x:c r="K55" s="1"/>
      <x:c r="L55" s="1"/>
      <x:c r="M55" s="1"/>
      <x:c r="N55" s="1"/>
      <x:c r="O55" s="1"/>
      <x:c r="P55" s="1"/>
      <x:c r="Q55" s="1"/>
      <x:c r="R55" s="1"/>
      <x:c r="S55" s="1"/>
      <x:c r="T55" s="1"/>
    </x:row>
    <x:row r="56" ht="18" customHeight="1">
      <x:c r="A56" s="1"/>
      <x:c r="B56" s="1"/>
      <x:c r="C56" s="1"/>
      <x:c r="D56" s="1"/>
      <x:c r="E56" s="1"/>
      <x:c r="F56" s="1"/>
      <x:c r="G56" s="1"/>
      <x:c r="H56" s="1"/>
      <x:c r="I56" s="1"/>
      <x:c r="J56" s="1"/>
      <x:c r="K56" s="1"/>
      <x:c r="L56" s="1"/>
      <x:c r="M56" s="1"/>
      <x:c r="N56" s="1"/>
      <x:c r="O56" s="1"/>
      <x:c r="P56" s="1"/>
      <x:c r="Q56" s="1"/>
      <x:c r="R56" s="1"/>
      <x:c r="S56" s="1"/>
      <x:c r="T56" s="1"/>
    </x:row>
    <x:row r="57" ht="18" customHeight="1">
      <x:c r="A57" s="1"/>
      <x:c r="B57" s="1"/>
      <x:c r="C57" s="1"/>
      <x:c r="D57" s="1"/>
      <x:c r="E57" s="1"/>
      <x:c r="F57" s="1"/>
      <x:c r="G57" s="1"/>
      <x:c r="H57" s="1"/>
      <x:c r="I57" s="1"/>
      <x:c r="J57" s="1"/>
      <x:c r="K57" s="1"/>
      <x:c r="L57" s="1"/>
      <x:c r="M57" s="1"/>
      <x:c r="N57" s="1"/>
      <x:c r="O57" s="1"/>
      <x:c r="P57" s="1"/>
      <x:c r="Q57" s="1"/>
      <x:c r="R57" s="1"/>
      <x:c r="S57" s="1"/>
      <x:c r="T57" s="1"/>
    </x:row>
    <x:row r="58" ht="18" customHeight="1">
      <x:c r="A58" s="1"/>
      <x:c r="B58" s="1"/>
      <x:c r="C58" s="1"/>
      <x:c r="D58" s="1"/>
      <x:c r="E58" s="1"/>
      <x:c r="F58" s="1"/>
      <x:c r="G58" s="1"/>
      <x:c r="H58" s="1"/>
      <x:c r="I58" s="1"/>
      <x:c r="J58" s="1"/>
      <x:c r="K58" s="1"/>
      <x:c r="L58" s="1"/>
      <x:c r="M58" s="1"/>
      <x:c r="N58" s="1"/>
      <x:c r="O58" s="1"/>
      <x:c r="P58" s="1"/>
      <x:c r="Q58" s="1"/>
      <x:c r="R58" s="1"/>
      <x:c r="S58" s="1"/>
      <x:c r="T58" s="1"/>
    </x:row>
    <x:row r="59" ht="18" customHeight="1">
      <x:c r="A59" s="1"/>
      <x:c r="B59" s="1"/>
      <x:c r="C59" s="1"/>
      <x:c r="D59" s="1"/>
      <x:c r="E59" s="1"/>
      <x:c r="F59" s="1"/>
      <x:c r="G59" s="1"/>
      <x:c r="H59" s="1"/>
      <x:c r="I59" s="1"/>
      <x:c r="J59" s="1"/>
      <x:c r="K59" s="1"/>
      <x:c r="L59" s="1"/>
      <x:c r="M59" s="1"/>
      <x:c r="N59" s="1"/>
      <x:c r="O59" s="1"/>
      <x:c r="P59" s="1"/>
      <x:c r="Q59" s="1"/>
      <x:c r="R59" s="1"/>
      <x:c r="S59" s="1"/>
      <x:c r="T59" s="1"/>
    </x:row>
    <x:row r="60" ht="18" customHeight="1">
      <x:c r="A60" s="1"/>
      <x:c r="B60" s="1"/>
      <x:c r="C60" s="1"/>
      <x:c r="D60" s="1"/>
      <x:c r="E60" s="1"/>
      <x:c r="F60" s="1"/>
      <x:c r="G60" s="1"/>
      <x:c r="H60" s="1"/>
      <x:c r="I60" s="1"/>
      <x:c r="J60" s="1"/>
      <x:c r="K60" s="1"/>
      <x:c r="L60" s="1"/>
      <x:c r="M60" s="1"/>
      <x:c r="N60" s="1"/>
      <x:c r="O60" s="1"/>
      <x:c r="P60" s="1"/>
      <x:c r="Q60" s="1"/>
      <x:c r="R60" s="1"/>
      <x:c r="S60" s="1"/>
      <x:c r="T60" s="1"/>
    </x:row>
    <x:row r="61" ht="18" customHeight="1">
      <x:c r="A61" s="1"/>
      <x:c r="B61" s="1"/>
      <x:c r="C61" s="1"/>
      <x:c r="D61" s="1"/>
      <x:c r="E61" s="1"/>
      <x:c r="F61" s="1"/>
      <x:c r="G61" s="1"/>
      <x:c r="H61" s="1"/>
      <x:c r="I61" s="1"/>
      <x:c r="J61" s="1"/>
      <x:c r="K61" s="1"/>
      <x:c r="L61" s="1"/>
      <x:c r="M61" s="1"/>
      <x:c r="N61" s="1"/>
      <x:c r="O61" s="1"/>
      <x:c r="P61" s="1"/>
      <x:c r="Q61" s="1"/>
      <x:c r="R61" s="1"/>
      <x:c r="S61" s="1"/>
      <x:c r="T61" s="1"/>
    </x:row>
    <x:row r="62" ht="18" customHeight="1">
      <x:c r="A62" s="1"/>
      <x:c r="B62" s="1"/>
      <x:c r="C62" s="1"/>
      <x:c r="D62" s="1"/>
      <x:c r="E62" s="1"/>
      <x:c r="F62" s="1"/>
      <x:c r="G62" s="1"/>
      <x:c r="H62" s="1"/>
      <x:c r="I62" s="1"/>
      <x:c r="J62" s="1"/>
      <x:c r="K62" s="1"/>
      <x:c r="L62" s="1"/>
      <x:c r="M62" s="1"/>
      <x:c r="N62" s="1"/>
      <x:c r="O62" s="1"/>
      <x:c r="P62" s="1"/>
      <x:c r="Q62" s="1"/>
      <x:c r="R62" s="1"/>
      <x:c r="S62" s="1"/>
      <x:c r="T62" s="1"/>
    </x:row>
    <x:row r="63" ht="18" customHeight="1">
      <x:c r="A63" s="1"/>
      <x:c r="B63" s="1"/>
      <x:c r="C63" s="1"/>
      <x:c r="D63" s="1"/>
      <x:c r="E63" s="1"/>
      <x:c r="F63" s="1"/>
      <x:c r="G63" s="1"/>
      <x:c r="H63" s="1"/>
      <x:c r="I63" s="1"/>
      <x:c r="J63" s="1"/>
      <x:c r="K63" s="1"/>
      <x:c r="L63" s="1"/>
      <x:c r="M63" s="1"/>
      <x:c r="N63" s="1"/>
      <x:c r="O63" s="1"/>
      <x:c r="P63" s="1"/>
      <x:c r="Q63" s="1"/>
      <x:c r="R63" s="1"/>
      <x:c r="S63" s="1"/>
      <x:c r="T63" s="1"/>
    </x:row>
    <x:row r="64" ht="18" customHeight="1">
      <x:c r="A64" s="1"/>
      <x:c r="B64" s="1"/>
      <x:c r="C64" s="1"/>
      <x:c r="D64" s="1"/>
      <x:c r="E64" s="1"/>
      <x:c r="F64" s="1"/>
      <x:c r="G64" s="1"/>
      <x:c r="H64" s="1"/>
      <x:c r="I64" s="1"/>
      <x:c r="J64" s="1"/>
      <x:c r="K64" s="1"/>
      <x:c r="L64" s="1"/>
      <x:c r="M64" s="1"/>
      <x:c r="N64" s="1"/>
      <x:c r="O64" s="1"/>
      <x:c r="P64" s="1"/>
      <x:c r="Q64" s="1"/>
      <x:c r="R64" s="1"/>
      <x:c r="S64" s="1"/>
      <x:c r="T64" s="1"/>
    </x:row>
    <x:row r="65" ht="18" customHeight="1">
      <x:c r="A65" s="1"/>
      <x:c r="B65" s="1"/>
      <x:c r="C65" s="1"/>
      <x:c r="D65" s="1"/>
      <x:c r="E65" s="1"/>
      <x:c r="F65" s="1"/>
      <x:c r="G65" s="1"/>
      <x:c r="H65" s="1"/>
      <x:c r="I65" s="1"/>
      <x:c r="J65" s="1"/>
      <x:c r="K65" s="1"/>
      <x:c r="L65" s="1"/>
      <x:c r="M65" s="1"/>
      <x:c r="N65" s="1"/>
      <x:c r="O65" s="1"/>
      <x:c r="P65" s="1"/>
      <x:c r="Q65" s="1"/>
      <x:c r="R65" s="1"/>
      <x:c r="S65" s="1"/>
      <x:c r="T65" s="1"/>
    </x:row>
    <x:row r="66" ht="18" customHeight="1">
      <x:c r="A66" s="1"/>
      <x:c r="B66" s="1"/>
      <x:c r="C66" s="1"/>
      <x:c r="D66" s="1"/>
      <x:c r="E66" s="1"/>
      <x:c r="F66" s="1"/>
      <x:c r="G66" s="1"/>
      <x:c r="H66" s="1"/>
      <x:c r="I66" s="1"/>
      <x:c r="J66" s="1"/>
      <x:c r="K66" s="1"/>
      <x:c r="L66" s="1"/>
      <x:c r="M66" s="1"/>
      <x:c r="N66" s="1"/>
      <x:c r="O66" s="1"/>
      <x:c r="P66" s="1"/>
      <x:c r="Q66" s="1"/>
      <x:c r="R66" s="1"/>
      <x:c r="S66" s="1"/>
      <x:c r="T66" s="1"/>
    </x:row>
    <x:row r="67" ht="18" customHeight="1">
      <x:c r="A67" s="1"/>
      <x:c r="B67" s="1"/>
      <x:c r="C67" s="1"/>
      <x:c r="D67" s="1"/>
      <x:c r="E67" s="1"/>
      <x:c r="F67" s="1"/>
      <x:c r="G67" s="1"/>
      <x:c r="H67" s="1"/>
      <x:c r="I67" s="1"/>
      <x:c r="J67" s="1"/>
      <x:c r="K67" s="1"/>
      <x:c r="L67" s="1"/>
      <x:c r="M67" s="1"/>
      <x:c r="N67" s="1"/>
      <x:c r="O67" s="1"/>
      <x:c r="P67" s="1"/>
      <x:c r="Q67" s="1"/>
      <x:c r="R67" s="1"/>
      <x:c r="S67" s="1"/>
      <x:c r="T67" s="1"/>
    </x:row>
    <x:row r="68" ht="18" customHeight="1">
      <x:c r="A68" s="1"/>
      <x:c r="B68" s="1"/>
      <x:c r="C68" s="1"/>
      <x:c r="D68" s="1"/>
      <x:c r="E68" s="1"/>
      <x:c r="F68" s="1"/>
      <x:c r="G68" s="1"/>
      <x:c r="H68" s="1"/>
      <x:c r="I68" s="1"/>
      <x:c r="J68" s="1"/>
      <x:c r="K68" s="1"/>
      <x:c r="L68" s="1"/>
      <x:c r="M68" s="1"/>
      <x:c r="N68" s="1"/>
      <x:c r="O68" s="1"/>
      <x:c r="P68" s="1"/>
      <x:c r="Q68" s="1"/>
      <x:c r="R68" s="1"/>
      <x:c r="S68" s="1"/>
      <x:c r="T68" s="1"/>
    </x:row>
    <x:row r="69" ht="18" customHeight="1">
      <x:c r="A69" s="1"/>
      <x:c r="B69" s="1"/>
      <x:c r="C69" s="1"/>
      <x:c r="D69" s="1"/>
      <x:c r="E69" s="1"/>
      <x:c r="F69" s="1"/>
      <x:c r="G69" s="1"/>
      <x:c r="H69" s="1"/>
      <x:c r="I69" s="1"/>
      <x:c r="J69" s="1"/>
      <x:c r="K69" s="1"/>
      <x:c r="L69" s="1"/>
      <x:c r="M69" s="1"/>
      <x:c r="N69" s="1"/>
      <x:c r="O69" s="1"/>
      <x:c r="P69" s="1"/>
      <x:c r="Q69" s="1"/>
      <x:c r="R69" s="1"/>
      <x:c r="S69" s="1"/>
      <x:c r="T69" s="1"/>
    </x:row>
    <x:row r="70" ht="18" customHeight="1">
      <x:c r="A70" s="1"/>
      <x:c r="B70" s="1"/>
      <x:c r="C70" s="1"/>
      <x:c r="D70" s="1"/>
      <x:c r="E70" s="1"/>
      <x:c r="F70" s="1"/>
      <x:c r="G70" s="1"/>
      <x:c r="H70" s="1"/>
      <x:c r="I70" s="1"/>
      <x:c r="J70" s="1"/>
      <x:c r="K70" s="1"/>
      <x:c r="L70" s="1"/>
      <x:c r="M70" s="1"/>
      <x:c r="N70" s="1"/>
      <x:c r="O70" s="1"/>
      <x:c r="P70" s="1"/>
      <x:c r="Q70" s="1"/>
      <x:c r="R70" s="1"/>
      <x:c r="S70" s="1"/>
      <x:c r="T70" s="1"/>
    </x:row>
    <x:row r="71" ht="18" customHeight="1">
      <x:c r="A71" s="1"/>
      <x:c r="B71" s="1"/>
      <x:c r="C71" s="1"/>
      <x:c r="D71" s="1"/>
      <x:c r="E71" s="1"/>
      <x:c r="F71" s="1"/>
      <x:c r="G71" s="1"/>
      <x:c r="H71" s="1"/>
      <x:c r="I71" s="1"/>
      <x:c r="J71" s="1"/>
      <x:c r="K71" s="1"/>
      <x:c r="L71" s="1"/>
      <x:c r="M71" s="1"/>
      <x:c r="N71" s="1"/>
      <x:c r="O71" s="1"/>
      <x:c r="P71" s="1"/>
      <x:c r="Q71" s="1"/>
      <x:c r="R71" s="1"/>
      <x:c r="S71" s="1"/>
      <x:c r="T71" s="1"/>
    </x:row>
    <x:row r="72" ht="18" customHeight="1">
      <x:c r="A72" s="1"/>
      <x:c r="B72" s="1"/>
      <x:c r="C72" s="1"/>
      <x:c r="D72" s="1"/>
      <x:c r="E72" s="1"/>
      <x:c r="F72" s="1"/>
      <x:c r="G72" s="1"/>
      <x:c r="H72" s="1"/>
      <x:c r="I72" s="1"/>
      <x:c r="J72" s="1"/>
      <x:c r="K72" s="1"/>
      <x:c r="L72" s="1"/>
      <x:c r="M72" s="1"/>
      <x:c r="N72" s="1"/>
      <x:c r="O72" s="1"/>
      <x:c r="P72" s="1"/>
      <x:c r="Q72" s="1"/>
      <x:c r="R72" s="1"/>
      <x:c r="S72" s="1"/>
      <x:c r="T72" s="1"/>
    </x:row>
    <x:row r="73" ht="18" customHeight="1">
      <x:c r="A73" s="1"/>
      <x:c r="B73" s="1"/>
      <x:c r="C73" s="1"/>
      <x:c r="D73" s="1"/>
      <x:c r="E73" s="1"/>
      <x:c r="F73" s="1"/>
      <x:c r="G73" s="1"/>
      <x:c r="H73" s="1"/>
      <x:c r="I73" s="1"/>
      <x:c r="J73" s="1"/>
      <x:c r="K73" s="1"/>
      <x:c r="L73" s="1"/>
      <x:c r="M73" s="1"/>
      <x:c r="N73" s="1"/>
      <x:c r="O73" s="1"/>
      <x:c r="P73" s="1"/>
      <x:c r="Q73" s="1"/>
      <x:c r="R73" s="1"/>
      <x:c r="S73" s="1"/>
      <x:c r="T73" s="1"/>
    </x:row>
    <x:row r="74" ht="18" customHeight="1">
      <x:c r="A74" s="1"/>
      <x:c r="B74" s="1"/>
      <x:c r="C74" s="1"/>
      <x:c r="D74" s="1"/>
      <x:c r="E74" s="1"/>
      <x:c r="F74" s="1"/>
      <x:c r="G74" s="1"/>
      <x:c r="H74" s="1"/>
      <x:c r="I74" s="1"/>
      <x:c r="J74" s="1"/>
      <x:c r="K74" s="1"/>
      <x:c r="L74" s="1"/>
      <x:c r="M74" s="1"/>
      <x:c r="N74" s="1"/>
      <x:c r="O74" s="1"/>
      <x:c r="P74" s="1"/>
      <x:c r="Q74" s="1"/>
      <x:c r="R74" s="1"/>
      <x:c r="S74" s="1"/>
      <x:c r="T74" s="1"/>
    </x:row>
    <x:row r="75" ht="18" customHeight="1">
      <x:c r="A75" s="1"/>
      <x:c r="B75" s="1"/>
      <x:c r="C75" s="1"/>
      <x:c r="D75" s="1"/>
      <x:c r="E75" s="1"/>
      <x:c r="F75" s="1"/>
      <x:c r="G75" s="1"/>
      <x:c r="H75" s="1"/>
      <x:c r="I75" s="1"/>
      <x:c r="J75" s="1"/>
      <x:c r="K75" s="1"/>
      <x:c r="L75" s="1"/>
      <x:c r="M75" s="1"/>
      <x:c r="N75" s="1"/>
      <x:c r="O75" s="1"/>
      <x:c r="P75" s="1"/>
      <x:c r="Q75" s="1"/>
      <x:c r="R75" s="1"/>
      <x:c r="S75" s="1"/>
      <x:c r="T75" s="1"/>
    </x:row>
    <x:row r="76" ht="18" customHeight="1">
      <x:c r="A76" s="1"/>
      <x:c r="B76" s="1"/>
      <x:c r="C76" s="1"/>
      <x:c r="D76" s="1"/>
      <x:c r="E76" s="1"/>
      <x:c r="F76" s="1"/>
      <x:c r="G76" s="1"/>
      <x:c r="H76" s="1"/>
      <x:c r="I76" s="1"/>
      <x:c r="J76" s="1"/>
      <x:c r="K76" s="1"/>
      <x:c r="L76" s="1"/>
      <x:c r="M76" s="1"/>
      <x:c r="N76" s="1"/>
      <x:c r="O76" s="1"/>
      <x:c r="P76" s="1"/>
      <x:c r="Q76" s="1"/>
      <x:c r="R76" s="1"/>
      <x:c r="S76" s="1"/>
      <x:c r="T76" s="1"/>
    </x:row>
    <x:row r="77" ht="18" customHeight="1">
      <x:c r="A77" s="1"/>
      <x:c r="B77" s="1"/>
      <x:c r="C77" s="1"/>
      <x:c r="D77" s="1"/>
      <x:c r="E77" s="1"/>
      <x:c r="F77" s="1"/>
      <x:c r="G77" s="1"/>
      <x:c r="H77" s="1"/>
      <x:c r="I77" s="1"/>
      <x:c r="J77" s="1"/>
      <x:c r="K77" s="1"/>
      <x:c r="L77" s="1"/>
      <x:c r="M77" s="1"/>
      <x:c r="N77" s="1"/>
      <x:c r="O77" s="1"/>
      <x:c r="P77" s="1"/>
      <x:c r="Q77" s="1"/>
      <x:c r="R77" s="1"/>
      <x:c r="S77" s="1"/>
      <x:c r="T77" s="1"/>
    </x:row>
    <x:row r="78" ht="18" customHeight="1">
      <x:c r="A78" s="1"/>
      <x:c r="B78" s="1"/>
      <x:c r="C78" s="1"/>
      <x:c r="D78" s="1"/>
      <x:c r="E78" s="1"/>
      <x:c r="F78" s="1"/>
      <x:c r="G78" s="1"/>
      <x:c r="H78" s="1"/>
      <x:c r="I78" s="1"/>
      <x:c r="J78" s="1"/>
      <x:c r="K78" s="1"/>
      <x:c r="L78" s="1"/>
      <x:c r="M78" s="1"/>
      <x:c r="N78" s="1"/>
      <x:c r="O78" s="1"/>
      <x:c r="P78" s="1"/>
      <x:c r="Q78" s="1"/>
      <x:c r="R78" s="1"/>
      <x:c r="S78" s="1"/>
      <x:c r="T78" s="1"/>
    </x:row>
    <x:row r="79" ht="18" customHeight="1">
      <x:c r="A79" s="1"/>
      <x:c r="B79" s="1"/>
      <x:c r="C79" s="1"/>
      <x:c r="D79" s="1"/>
      <x:c r="E79" s="1"/>
      <x:c r="F79" s="1"/>
      <x:c r="G79" s="1"/>
      <x:c r="H79" s="1"/>
      <x:c r="I79" s="1"/>
      <x:c r="J79" s="1"/>
      <x:c r="K79" s="1"/>
      <x:c r="L79" s="1"/>
      <x:c r="M79" s="1"/>
      <x:c r="N79" s="1"/>
      <x:c r="O79" s="1"/>
      <x:c r="P79" s="1"/>
      <x:c r="Q79" s="1"/>
      <x:c r="R79" s="1"/>
      <x:c r="S79" s="1"/>
      <x:c r="T79" s="1"/>
    </x:row>
    <x:row r="80" ht="18" customHeight="1">
      <x:c r="A80" s="1"/>
      <x:c r="B80" s="1"/>
      <x:c r="C80" s="1"/>
      <x:c r="D80" s="1"/>
      <x:c r="E80" s="1"/>
      <x:c r="F80" s="1"/>
      <x:c r="G80" s="1"/>
      <x:c r="H80" s="1"/>
      <x:c r="I80" s="1"/>
      <x:c r="J80" s="1"/>
      <x:c r="K80" s="1"/>
      <x:c r="L80" s="1"/>
      <x:c r="M80" s="1"/>
      <x:c r="N80" s="1"/>
      <x:c r="O80" s="1"/>
      <x:c r="P80" s="1"/>
      <x:c r="Q80" s="1"/>
      <x:c r="R80" s="1"/>
      <x:c r="S80" s="1"/>
      <x:c r="T80" s="1"/>
    </x:row>
    <x:row r="81" ht="18" customHeight="1">
      <x:c r="A81" s="1"/>
      <x:c r="B81" s="1"/>
      <x:c r="C81" s="1"/>
      <x:c r="D81" s="1"/>
      <x:c r="E81" s="1"/>
      <x:c r="F81" s="1"/>
      <x:c r="G81" s="1"/>
      <x:c r="H81" s="1"/>
      <x:c r="I81" s="1"/>
      <x:c r="J81" s="1"/>
      <x:c r="K81" s="1"/>
      <x:c r="L81" s="1"/>
      <x:c r="M81" s="1"/>
      <x:c r="N81" s="1"/>
      <x:c r="O81" s="1"/>
      <x:c r="P81" s="1"/>
      <x:c r="Q81" s="1"/>
      <x:c r="R81" s="1"/>
      <x:c r="S81" s="1"/>
      <x:c r="T81" s="1"/>
    </x:row>
    <x:row r="82" ht="18" customHeight="1">
      <x:c r="A82" s="1"/>
      <x:c r="B82" s="1"/>
      <x:c r="C82" s="1"/>
      <x:c r="D82" s="1"/>
      <x:c r="E82" s="1"/>
      <x:c r="F82" s="1"/>
      <x:c r="G82" s="1"/>
      <x:c r="H82" s="1"/>
      <x:c r="I82" s="1"/>
      <x:c r="J82" s="1"/>
      <x:c r="K82" s="1"/>
      <x:c r="L82" s="1"/>
      <x:c r="M82" s="1"/>
      <x:c r="N82" s="1"/>
      <x:c r="O82" s="1"/>
      <x:c r="P82" s="1"/>
      <x:c r="Q82" s="1"/>
      <x:c r="R82" s="1"/>
      <x:c r="S82" s="1"/>
      <x:c r="T82" s="1"/>
    </x:row>
    <x:row r="83" ht="18" customHeight="1">
      <x:c r="A83" s="1"/>
      <x:c r="B83" s="1"/>
      <x:c r="C83" s="1"/>
      <x:c r="D83" s="1"/>
      <x:c r="E83" s="1"/>
      <x:c r="F83" s="1"/>
      <x:c r="G83" s="1"/>
      <x:c r="H83" s="1"/>
      <x:c r="I83" s="1"/>
      <x:c r="J83" s="1"/>
      <x:c r="K83" s="1"/>
      <x:c r="L83" s="1"/>
      <x:c r="M83" s="1"/>
      <x:c r="N83" s="1"/>
      <x:c r="O83" s="1"/>
      <x:c r="P83" s="1"/>
      <x:c r="Q83" s="1"/>
      <x:c r="R83" s="1"/>
      <x:c r="S83" s="1"/>
      <x:c r="T83" s="1"/>
    </x:row>
    <x:row r="84" ht="18" customHeight="1">
      <x:c r="A84" s="1"/>
      <x:c r="B84" s="1"/>
      <x:c r="C84" s="1"/>
      <x:c r="D84" s="1"/>
      <x:c r="E84" s="1"/>
      <x:c r="F84" s="1"/>
      <x:c r="G84" s="1"/>
      <x:c r="H84" s="1"/>
      <x:c r="I84" s="1"/>
      <x:c r="J84" s="1"/>
      <x:c r="K84" s="1"/>
      <x:c r="L84" s="1"/>
      <x:c r="M84" s="1"/>
      <x:c r="N84" s="1"/>
      <x:c r="O84" s="1"/>
      <x:c r="P84" s="1"/>
      <x:c r="Q84" s="1"/>
      <x:c r="R84" s="1"/>
      <x:c r="S84" s="1"/>
      <x:c r="T84" s="1"/>
    </x:row>
    <x:row r="85" ht="18" customHeight="1">
      <x:c r="A85" s="1"/>
      <x:c r="B85" s="1"/>
      <x:c r="C85" s="1"/>
      <x:c r="D85" s="1"/>
      <x:c r="E85" s="1"/>
      <x:c r="F85" s="1"/>
      <x:c r="G85" s="1"/>
      <x:c r="H85" s="1"/>
      <x:c r="I85" s="1"/>
      <x:c r="J85" s="1"/>
      <x:c r="K85" s="1"/>
      <x:c r="L85" s="1"/>
      <x:c r="M85" s="1"/>
      <x:c r="N85" s="1"/>
      <x:c r="O85" s="1"/>
      <x:c r="P85" s="1"/>
      <x:c r="Q85" s="1"/>
      <x:c r="R85" s="1"/>
      <x:c r="S85" s="1"/>
      <x:c r="T85" s="1"/>
    </x:row>
    <x:row r="86" ht="18" customHeight="1">
      <x:c r="A86" s="1"/>
      <x:c r="B86" s="1"/>
      <x:c r="C86" s="1"/>
      <x:c r="D86" s="1"/>
      <x:c r="E86" s="1"/>
      <x:c r="F86" s="1"/>
      <x:c r="G86" s="1"/>
      <x:c r="H86" s="1"/>
      <x:c r="I86" s="1"/>
      <x:c r="J86" s="1"/>
      <x:c r="K86" s="1"/>
      <x:c r="L86" s="1"/>
      <x:c r="M86" s="1"/>
      <x:c r="N86" s="1"/>
      <x:c r="O86" s="1"/>
      <x:c r="P86" s="1"/>
      <x:c r="Q86" s="1"/>
      <x:c r="R86" s="1"/>
      <x:c r="S86" s="1"/>
      <x:c r="T86" s="1"/>
    </x:row>
    <x:row r="87" ht="18" customHeight="1">
      <x:c r="A87" s="1"/>
      <x:c r="B87" s="1"/>
      <x:c r="C87" s="1"/>
      <x:c r="D87" s="1"/>
      <x:c r="E87" s="1"/>
      <x:c r="F87" s="1"/>
      <x:c r="G87" s="1"/>
      <x:c r="H87" s="1"/>
      <x:c r="I87" s="1"/>
      <x:c r="J87" s="1"/>
      <x:c r="K87" s="1"/>
      <x:c r="L87" s="1"/>
      <x:c r="M87" s="1"/>
      <x:c r="N87" s="1"/>
      <x:c r="O87" s="1"/>
      <x:c r="P87" s="1"/>
      <x:c r="Q87" s="1"/>
      <x:c r="R87" s="1"/>
      <x:c r="S87" s="1"/>
      <x:c r="T87" s="1"/>
    </x:row>
    <x:row r="88" ht="18" customHeight="1">
      <x:c r="A88" s="1"/>
      <x:c r="B88" s="1"/>
      <x:c r="C88" s="1"/>
      <x:c r="D88" s="1"/>
      <x:c r="E88" s="1"/>
      <x:c r="F88" s="1"/>
      <x:c r="G88" s="1"/>
      <x:c r="H88" s="1"/>
      <x:c r="I88" s="1"/>
      <x:c r="J88" s="1"/>
      <x:c r="K88" s="1"/>
      <x:c r="L88" s="1"/>
      <x:c r="M88" s="1"/>
      <x:c r="N88" s="1"/>
      <x:c r="O88" s="1"/>
      <x:c r="P88" s="1"/>
      <x:c r="Q88" s="1"/>
      <x:c r="R88" s="1"/>
      <x:c r="S88" s="1"/>
      <x:c r="T88" s="1"/>
    </x:row>
    <x:row r="89" ht="18" customHeight="1">
      <x:c r="A89" s="1"/>
      <x:c r="B89" s="1"/>
      <x:c r="C89" s="1"/>
      <x:c r="D89" s="1"/>
      <x:c r="E89" s="1"/>
      <x:c r="F89" s="1"/>
      <x:c r="G89" s="1"/>
      <x:c r="H89" s="1"/>
      <x:c r="I89" s="1"/>
      <x:c r="J89" s="1"/>
      <x:c r="K89" s="1"/>
      <x:c r="L89" s="1"/>
      <x:c r="M89" s="1"/>
      <x:c r="N89" s="1"/>
      <x:c r="O89" s="1"/>
      <x:c r="P89" s="1"/>
      <x:c r="Q89" s="1"/>
      <x:c r="R89" s="1"/>
      <x:c r="S89" s="1"/>
      <x:c r="T89" s="1"/>
    </x:row>
    <x:row r="90" ht="18" customHeight="1">
      <x:c r="A90" s="1"/>
      <x:c r="B90" s="1"/>
      <x:c r="C90" s="1"/>
      <x:c r="D90" s="1"/>
      <x:c r="E90" s="1"/>
      <x:c r="F90" s="1"/>
      <x:c r="G90" s="1"/>
      <x:c r="H90" s="1"/>
      <x:c r="I90" s="1"/>
      <x:c r="J90" s="1"/>
      <x:c r="K90" s="1"/>
      <x:c r="L90" s="1"/>
      <x:c r="M90" s="1"/>
      <x:c r="N90" s="1"/>
      <x:c r="O90" s="1"/>
      <x:c r="P90" s="1"/>
      <x:c r="Q90" s="1"/>
      <x:c r="R90" s="1"/>
      <x:c r="S90" s="1"/>
      <x:c r="T90" s="1"/>
    </x:row>
    <x:row r="91" ht="18" customHeight="1">
      <x:c r="A91" s="1"/>
      <x:c r="B91" s="1"/>
      <x:c r="C91" s="1"/>
      <x:c r="D91" s="1"/>
      <x:c r="E91" s="1"/>
      <x:c r="F91" s="1"/>
      <x:c r="G91" s="1"/>
      <x:c r="H91" s="1"/>
      <x:c r="I91" s="1"/>
      <x:c r="J91" s="1"/>
      <x:c r="K91" s="1"/>
      <x:c r="L91" s="1"/>
      <x:c r="M91" s="1"/>
      <x:c r="N91" s="1"/>
      <x:c r="O91" s="1"/>
      <x:c r="P91" s="1"/>
      <x:c r="Q91" s="1"/>
      <x:c r="R91" s="1"/>
      <x:c r="S91" s="1"/>
      <x:c r="T91" s="1"/>
    </x:row>
    <x:row r="92" ht="18" customHeight="1">
      <x:c r="A92" s="1"/>
      <x:c r="B92" s="1"/>
      <x:c r="C92" s="1"/>
      <x:c r="D92" s="1"/>
      <x:c r="E92" s="1"/>
      <x:c r="F92" s="1"/>
      <x:c r="G92" s="1"/>
      <x:c r="H92" s="1"/>
      <x:c r="I92" s="1"/>
      <x:c r="J92" s="1"/>
      <x:c r="K92" s="1"/>
      <x:c r="L92" s="1"/>
      <x:c r="M92" s="1"/>
      <x:c r="N92" s="1"/>
      <x:c r="O92" s="1"/>
      <x:c r="P92" s="1"/>
      <x:c r="Q92" s="1"/>
      <x:c r="R92" s="1"/>
      <x:c r="S92" s="1"/>
      <x:c r="T92" s="1"/>
    </x:row>
    <x:row r="93" ht="18" customHeight="1">
      <x:c r="A93" s="1"/>
      <x:c r="B93" s="1"/>
      <x:c r="C93" s="1"/>
      <x:c r="D93" s="1"/>
      <x:c r="E93" s="1"/>
      <x:c r="F93" s="1"/>
      <x:c r="G93" s="1"/>
      <x:c r="H93" s="1"/>
      <x:c r="I93" s="1"/>
      <x:c r="J93" s="1"/>
      <x:c r="K93" s="1"/>
      <x:c r="L93" s="1"/>
      <x:c r="M93" s="1"/>
      <x:c r="N93" s="1"/>
      <x:c r="O93" s="1"/>
      <x:c r="P93" s="1"/>
      <x:c r="Q93" s="1"/>
      <x:c r="R93" s="1"/>
      <x:c r="S93" s="1"/>
      <x:c r="T93" s="1"/>
    </x:row>
    <x:row r="94" ht="18" customHeight="1">
      <x:c r="A94" s="1"/>
      <x:c r="B94" s="1"/>
      <x:c r="C94" s="1"/>
      <x:c r="D94" s="1"/>
      <x:c r="E94" s="1"/>
      <x:c r="F94" s="1"/>
      <x:c r="G94" s="1"/>
      <x:c r="H94" s="1"/>
      <x:c r="I94" s="1"/>
      <x:c r="J94" s="1"/>
      <x:c r="K94" s="1"/>
      <x:c r="L94" s="1"/>
      <x:c r="M94" s="1"/>
      <x:c r="N94" s="1"/>
      <x:c r="O94" s="1"/>
      <x:c r="P94" s="1"/>
      <x:c r="Q94" s="1"/>
      <x:c r="R94" s="1"/>
      <x:c r="S94" s="1"/>
      <x:c r="T94" s="1"/>
    </x:row>
    <x:row r="95" ht="18" customHeight="1">
      <x:c r="A95" s="1"/>
      <x:c r="B95" s="1"/>
      <x:c r="C95" s="1"/>
      <x:c r="D95" s="1"/>
      <x:c r="E95" s="1"/>
      <x:c r="F95" s="1"/>
      <x:c r="G95" s="1"/>
      <x:c r="H95" s="1"/>
      <x:c r="I95" s="1"/>
      <x:c r="J95" s="1"/>
      <x:c r="K95" s="1"/>
      <x:c r="L95" s="1"/>
      <x:c r="M95" s="1"/>
      <x:c r="N95" s="1"/>
      <x:c r="O95" s="1"/>
      <x:c r="P95" s="1"/>
      <x:c r="Q95" s="1"/>
      <x:c r="R95" s="1"/>
      <x:c r="S95" s="1"/>
      <x:c r="T95" s="1"/>
    </x:row>
    <x:row r="96" ht="18" customHeight="1">
      <x:c r="A96" s="1"/>
      <x:c r="B96" s="1"/>
      <x:c r="C96" s="1"/>
      <x:c r="D96" s="1"/>
      <x:c r="E96" s="1"/>
      <x:c r="F96" s="1"/>
      <x:c r="G96" s="1"/>
      <x:c r="H96" s="1"/>
      <x:c r="I96" s="1"/>
      <x:c r="J96" s="1"/>
      <x:c r="K96" s="1"/>
      <x:c r="L96" s="1"/>
      <x:c r="M96" s="1"/>
      <x:c r="N96" s="1"/>
      <x:c r="O96" s="1"/>
      <x:c r="P96" s="1"/>
      <x:c r="Q96" s="1"/>
      <x:c r="R96" s="1"/>
      <x:c r="S96" s="1"/>
      <x:c r="T96" s="1"/>
    </x:row>
    <x:row r="97" ht="18" customHeight="1">
      <x:c r="A97" s="1"/>
      <x:c r="B97" s="1"/>
      <x:c r="C97" s="1"/>
      <x:c r="D97" s="1"/>
      <x:c r="E97" s="1"/>
      <x:c r="F97" s="1"/>
      <x:c r="G97" s="1"/>
      <x:c r="H97" s="1"/>
      <x:c r="I97" s="1"/>
      <x:c r="J97" s="1"/>
      <x:c r="K97" s="1"/>
      <x:c r="L97" s="1"/>
      <x:c r="M97" s="1"/>
      <x:c r="N97" s="1"/>
      <x:c r="O97" s="1"/>
      <x:c r="P97" s="1"/>
      <x:c r="Q97" s="1"/>
      <x:c r="R97" s="1"/>
      <x:c r="S97" s="1"/>
      <x:c r="T97" s="1"/>
    </x:row>
    <x:row r="98" ht="18" customHeight="1">
      <x:c r="A98" s="1"/>
      <x:c r="B98" s="1"/>
      <x:c r="C98" s="1"/>
      <x:c r="D98" s="1"/>
      <x:c r="E98" s="1"/>
      <x:c r="F98" s="1"/>
      <x:c r="G98" s="1"/>
      <x:c r="H98" s="1"/>
      <x:c r="I98" s="1"/>
      <x:c r="J98" s="1"/>
      <x:c r="K98" s="1"/>
      <x:c r="L98" s="1"/>
      <x:c r="M98" s="1"/>
      <x:c r="N98" s="1"/>
      <x:c r="O98" s="1"/>
      <x:c r="P98" s="1"/>
      <x:c r="Q98" s="1"/>
      <x:c r="R98" s="1"/>
      <x:c r="S98" s="1"/>
      <x:c r="T98" s="1"/>
    </x:row>
    <x:row r="99" ht="18" customHeight="1">
      <x:c r="A99" s="1"/>
      <x:c r="B99" s="1"/>
      <x:c r="C99" s="1"/>
      <x:c r="D99" s="1"/>
      <x:c r="E99" s="1"/>
      <x:c r="F99" s="1"/>
      <x:c r="G99" s="1"/>
      <x:c r="H99" s="1"/>
      <x:c r="I99" s="1"/>
      <x:c r="J99" s="1"/>
      <x:c r="K99" s="1"/>
      <x:c r="L99" s="1"/>
      <x:c r="M99" s="1"/>
      <x:c r="N99" s="1"/>
      <x:c r="O99" s="1"/>
      <x:c r="P99" s="1"/>
      <x:c r="Q99" s="1"/>
      <x:c r="R99" s="1"/>
      <x:c r="S99" s="1"/>
      <x:c r="T99" s="1"/>
    </x:row>
    <x:row r="100" ht="18" customHeight="1">
      <x:c r="A100" s="1"/>
      <x:c r="B100" s="1"/>
      <x:c r="C100" s="1"/>
      <x:c r="D100" s="1"/>
      <x:c r="E100" s="1"/>
      <x:c r="F100" s="1"/>
      <x:c r="G100" s="1"/>
      <x:c r="H100" s="1"/>
      <x:c r="I100" s="1"/>
      <x:c r="J100" s="1"/>
      <x:c r="K100" s="1"/>
      <x:c r="L100" s="1"/>
      <x:c r="M100" s="1"/>
      <x:c r="N100" s="1"/>
      <x:c r="O100" s="1"/>
      <x:c r="P100" s="1"/>
      <x:c r="Q100" s="1"/>
      <x:c r="R100" s="1"/>
      <x:c r="S100" s="1"/>
      <x:c r="T100" s="1"/>
    </x:row>
    <x:row r="101" ht="18" customHeight="1">
      <x:c r="A101" s="1"/>
      <x:c r="B101" s="1"/>
      <x:c r="C101" s="1"/>
      <x:c r="D101" s="1"/>
      <x:c r="E101" s="1"/>
      <x:c r="F101" s="1"/>
      <x:c r="G101" s="1"/>
      <x:c r="H101" s="1"/>
      <x:c r="I101" s="1"/>
      <x:c r="J101" s="1"/>
      <x:c r="K101" s="1"/>
      <x:c r="L101" s="1"/>
      <x:c r="M101" s="1"/>
      <x:c r="N101" s="1"/>
      <x:c r="O101" s="1"/>
      <x:c r="P101" s="1"/>
      <x:c r="Q101" s="1"/>
      <x:c r="R101" s="1"/>
      <x:c r="S101" s="1"/>
      <x:c r="T101" s="1"/>
    </x:row>
    <x:row r="102" ht="18" customHeight="1">
      <x:c r="A102" s="1"/>
      <x:c r="B102" s="1"/>
      <x:c r="C102" s="1"/>
      <x:c r="D102" s="1"/>
      <x:c r="E102" s="1"/>
      <x:c r="F102" s="1"/>
      <x:c r="G102" s="1"/>
      <x:c r="H102" s="1"/>
      <x:c r="I102" s="1"/>
      <x:c r="J102" s="1"/>
      <x:c r="K102" s="1"/>
      <x:c r="L102" s="1"/>
      <x:c r="M102" s="1"/>
      <x:c r="N102" s="1"/>
      <x:c r="O102" s="1"/>
      <x:c r="P102" s="1"/>
      <x:c r="Q102" s="1"/>
      <x:c r="R102" s="1"/>
      <x:c r="S102" s="1"/>
      <x:c r="T102" s="1"/>
    </x:row>
    <x:row r="103" ht="18" customHeight="1">
      <x:c r="A103" s="1"/>
      <x:c r="B103" s="1"/>
      <x:c r="C103" s="1"/>
      <x:c r="D103" s="1"/>
      <x:c r="E103" s="1"/>
      <x:c r="F103" s="1"/>
      <x:c r="G103" s="1"/>
      <x:c r="H103" s="1"/>
      <x:c r="I103" s="1"/>
      <x:c r="J103" s="1"/>
      <x:c r="K103" s="1"/>
      <x:c r="L103" s="1"/>
      <x:c r="M103" s="1"/>
      <x:c r="N103" s="1"/>
      <x:c r="O103" s="1"/>
      <x:c r="P103" s="1"/>
      <x:c r="Q103" s="1"/>
      <x:c r="R103" s="1"/>
      <x:c r="S103" s="1"/>
      <x:c r="T103" s="1"/>
    </x:row>
    <x:row r="104" ht="18" customHeight="1">
      <x:c r="A104" s="1"/>
      <x:c r="B104" s="1"/>
      <x:c r="C104" s="1"/>
      <x:c r="D104" s="1"/>
      <x:c r="E104" s="1"/>
      <x:c r="F104" s="1"/>
      <x:c r="G104" s="1"/>
      <x:c r="H104" s="1"/>
      <x:c r="I104" s="1"/>
      <x:c r="J104" s="1"/>
      <x:c r="K104" s="1"/>
      <x:c r="L104" s="1"/>
      <x:c r="M104" s="1"/>
      <x:c r="N104" s="1"/>
      <x:c r="O104" s="1"/>
      <x:c r="P104" s="1"/>
      <x:c r="Q104" s="1"/>
      <x:c r="R104" s="1"/>
      <x:c r="S104" s="1"/>
      <x:c r="T104" s="1"/>
    </x:row>
    <x:row r="105" ht="18" customHeight="1">
      <x:c r="A105" s="1"/>
      <x:c r="B105" s="1"/>
      <x:c r="C105" s="1"/>
      <x:c r="D105" s="1"/>
      <x:c r="E105" s="1"/>
      <x:c r="F105" s="1"/>
      <x:c r="G105" s="1"/>
      <x:c r="H105" s="1"/>
      <x:c r="I105" s="1"/>
      <x:c r="J105" s="1"/>
      <x:c r="K105" s="1"/>
      <x:c r="L105" s="1"/>
      <x:c r="M105" s="1"/>
      <x:c r="N105" s="1"/>
      <x:c r="O105" s="1"/>
      <x:c r="P105" s="1"/>
      <x:c r="Q105" s="1"/>
      <x:c r="R105" s="1"/>
      <x:c r="S105" s="1"/>
      <x:c r="T105" s="1"/>
    </x:row>
    <x:row r="106" ht="18" customHeight="1">
      <x:c r="A106" s="1"/>
      <x:c r="B106" s="1"/>
      <x:c r="C106" s="1"/>
      <x:c r="D106" s="1"/>
      <x:c r="E106" s="1"/>
      <x:c r="F106" s="1"/>
      <x:c r="G106" s="1"/>
      <x:c r="H106" s="1"/>
      <x:c r="I106" s="1"/>
      <x:c r="J106" s="1"/>
      <x:c r="K106" s="1"/>
      <x:c r="L106" s="1"/>
      <x:c r="M106" s="1"/>
      <x:c r="N106" s="1"/>
      <x:c r="O106" s="1"/>
      <x:c r="P106" s="1"/>
      <x:c r="Q106" s="1"/>
      <x:c r="R106" s="1"/>
      <x:c r="S106" s="1"/>
      <x:c r="T106" s="1"/>
    </x:row>
    <x:row r="107" ht="18" customHeight="1">
      <x:c r="A107" s="1"/>
      <x:c r="B107" s="1"/>
      <x:c r="C107" s="1"/>
      <x:c r="D107" s="1"/>
      <x:c r="E107" s="1"/>
      <x:c r="F107" s="1"/>
      <x:c r="G107" s="1"/>
      <x:c r="H107" s="1"/>
      <x:c r="I107" s="1"/>
      <x:c r="J107" s="1"/>
      <x:c r="K107" s="1"/>
      <x:c r="L107" s="1"/>
      <x:c r="M107" s="1"/>
      <x:c r="N107" s="1"/>
      <x:c r="O107" s="1"/>
      <x:c r="P107" s="1"/>
      <x:c r="Q107" s="1"/>
      <x:c r="R107" s="1"/>
      <x:c r="S107" s="1"/>
      <x:c r="T107" s="1"/>
    </x:row>
    <x:row r="108" ht="18" customHeight="1">
      <x:c r="A108" s="1"/>
      <x:c r="B108" s="1"/>
      <x:c r="C108" s="1"/>
      <x:c r="D108" s="1"/>
      <x:c r="E108" s="1"/>
      <x:c r="F108" s="1"/>
      <x:c r="G108" s="1"/>
      <x:c r="H108" s="1"/>
      <x:c r="I108" s="1"/>
      <x:c r="J108" s="1"/>
      <x:c r="K108" s="1"/>
      <x:c r="L108" s="1"/>
      <x:c r="M108" s="1"/>
      <x:c r="N108" s="1"/>
      <x:c r="O108" s="1"/>
      <x:c r="P108" s="1"/>
      <x:c r="Q108" s="1"/>
      <x:c r="R108" s="1"/>
      <x:c r="S108" s="1"/>
      <x:c r="T108" s="1"/>
    </x:row>
    <x:row r="109" ht="18" customHeight="1">
      <x:c r="A109" s="1"/>
      <x:c r="B109" s="1"/>
      <x:c r="C109" s="1"/>
      <x:c r="D109" s="1"/>
      <x:c r="E109" s="1"/>
      <x:c r="F109" s="1"/>
      <x:c r="G109" s="1"/>
      <x:c r="H109" s="1"/>
      <x:c r="I109" s="1"/>
      <x:c r="J109" s="1"/>
      <x:c r="K109" s="1"/>
      <x:c r="L109" s="1"/>
      <x:c r="M109" s="1"/>
      <x:c r="N109" s="1"/>
      <x:c r="O109" s="1"/>
      <x:c r="P109" s="1"/>
      <x:c r="Q109" s="1"/>
      <x:c r="R109" s="1"/>
      <x:c r="S109" s="1"/>
      <x:c r="T109" s="1"/>
    </x:row>
    <x:row r="110" ht="18" customHeight="1">
      <x:c r="A110" s="1"/>
      <x:c r="B110" s="1"/>
      <x:c r="C110" s="1"/>
      <x:c r="D110" s="1"/>
      <x:c r="E110" s="1"/>
      <x:c r="F110" s="1"/>
      <x:c r="G110" s="1"/>
      <x:c r="H110" s="1"/>
      <x:c r="I110" s="1"/>
      <x:c r="J110" s="1"/>
      <x:c r="K110" s="1"/>
      <x:c r="L110" s="1"/>
      <x:c r="M110" s="1"/>
      <x:c r="N110" s="1"/>
      <x:c r="O110" s="1"/>
      <x:c r="P110" s="1"/>
      <x:c r="Q110" s="1"/>
      <x:c r="R110" s="1"/>
      <x:c r="S110" s="1"/>
      <x:c r="T110" s="1"/>
    </x:row>
    <x:row r="111" ht="18" customHeight="1">
      <x:c r="A111" s="1"/>
      <x:c r="B111" s="1"/>
      <x:c r="C111" s="1"/>
      <x:c r="D111" s="1"/>
      <x:c r="E111" s="1"/>
      <x:c r="F111" s="1"/>
      <x:c r="G111" s="1"/>
      <x:c r="H111" s="1"/>
      <x:c r="I111" s="1"/>
      <x:c r="J111" s="1"/>
      <x:c r="K111" s="1"/>
      <x:c r="L111" s="1"/>
      <x:c r="M111" s="1"/>
      <x:c r="N111" s="1"/>
      <x:c r="O111" s="1"/>
      <x:c r="P111" s="1"/>
      <x:c r="Q111" s="1"/>
      <x:c r="R111" s="1"/>
      <x:c r="S111" s="1"/>
      <x:c r="T111" s="1"/>
    </x:row>
    <x:row r="112" ht="18" customHeight="1">
      <x:c r="A112" s="1"/>
      <x:c r="B112" s="1"/>
      <x:c r="C112" s="1"/>
      <x:c r="D112" s="1"/>
      <x:c r="E112" s="1"/>
      <x:c r="F112" s="1"/>
      <x:c r="G112" s="1"/>
      <x:c r="H112" s="1"/>
      <x:c r="I112" s="1"/>
      <x:c r="J112" s="1"/>
      <x:c r="K112" s="1"/>
      <x:c r="L112" s="1"/>
      <x:c r="M112" s="1"/>
      <x:c r="N112" s="1"/>
      <x:c r="O112" s="1"/>
      <x:c r="P112" s="1"/>
      <x:c r="Q112" s="1"/>
      <x:c r="R112" s="1"/>
      <x:c r="S112" s="1"/>
      <x:c r="T112" s="1"/>
    </x:row>
    <x:row r="113" ht="18" customHeight="1">
      <x:c r="A113" s="1"/>
      <x:c r="B113" s="1"/>
      <x:c r="C113" s="1"/>
      <x:c r="D113" s="1"/>
      <x:c r="E113" s="1"/>
      <x:c r="F113" s="1"/>
      <x:c r="G113" s="1"/>
      <x:c r="H113" s="1"/>
      <x:c r="I113" s="1"/>
      <x:c r="J113" s="1"/>
      <x:c r="K113" s="1"/>
      <x:c r="L113" s="1"/>
      <x:c r="M113" s="1"/>
      <x:c r="N113" s="1"/>
      <x:c r="O113" s="1"/>
      <x:c r="P113" s="1"/>
      <x:c r="Q113" s="1"/>
      <x:c r="R113" s="1"/>
      <x:c r="S113" s="1"/>
      <x:c r="T113" s="1"/>
    </x:row>
    <x:row r="114" ht="18" customHeight="1">
      <x:c r="A114" s="1"/>
      <x:c r="B114" s="1"/>
      <x:c r="C114" s="1"/>
      <x:c r="D114" s="1"/>
      <x:c r="E114" s="1"/>
      <x:c r="F114" s="1"/>
      <x:c r="G114" s="1"/>
      <x:c r="H114" s="1"/>
      <x:c r="I114" s="1"/>
      <x:c r="J114" s="1"/>
      <x:c r="K114" s="1"/>
      <x:c r="L114" s="1"/>
      <x:c r="M114" s="1"/>
      <x:c r="N114" s="1"/>
      <x:c r="O114" s="1"/>
      <x:c r="P114" s="1"/>
      <x:c r="Q114" s="1"/>
      <x:c r="R114" s="1"/>
      <x:c r="S114" s="1"/>
      <x:c r="T114" s="1"/>
    </x:row>
    <x:row r="115" ht="18" customHeight="1">
      <x:c r="A115" s="1"/>
      <x:c r="B115" s="1"/>
      <x:c r="C115" s="1"/>
      <x:c r="D115" s="1"/>
      <x:c r="E115" s="1"/>
      <x:c r="F115" s="1"/>
      <x:c r="G115" s="1"/>
      <x:c r="H115" s="1"/>
      <x:c r="I115" s="1"/>
      <x:c r="J115" s="1"/>
      <x:c r="K115" s="1"/>
      <x:c r="L115" s="1"/>
      <x:c r="M115" s="1"/>
      <x:c r="N115" s="1"/>
      <x:c r="O115" s="1"/>
      <x:c r="P115" s="1"/>
      <x:c r="Q115" s="1"/>
      <x:c r="R115" s="1"/>
      <x:c r="S115" s="1"/>
      <x:c r="T115" s="1"/>
    </x:row>
    <x:row r="116" ht="18" customHeight="1">
      <x:c r="A116" s="1"/>
      <x:c r="B116" s="1"/>
      <x:c r="C116" s="1"/>
      <x:c r="D116" s="1"/>
      <x:c r="E116" s="1"/>
      <x:c r="F116" s="1"/>
      <x:c r="G116" s="1"/>
      <x:c r="H116" s="1"/>
      <x:c r="I116" s="1"/>
      <x:c r="J116" s="1"/>
      <x:c r="K116" s="1"/>
      <x:c r="L116" s="1"/>
      <x:c r="M116" s="1"/>
      <x:c r="N116" s="1"/>
      <x:c r="O116" s="1"/>
      <x:c r="P116" s="1"/>
      <x:c r="Q116" s="1"/>
      <x:c r="R116" s="1"/>
      <x:c r="S116" s="1"/>
      <x:c r="T116" s="1"/>
    </x:row>
    <x:row r="117" ht="18" customHeight="1">
      <x:c r="A117" s="1"/>
      <x:c r="B117" s="1"/>
      <x:c r="C117" s="1"/>
      <x:c r="D117" s="1"/>
      <x:c r="E117" s="1"/>
      <x:c r="F117" s="1"/>
      <x:c r="G117" s="1"/>
      <x:c r="H117" s="1"/>
      <x:c r="I117" s="1"/>
      <x:c r="J117" s="1"/>
      <x:c r="K117" s="1"/>
      <x:c r="L117" s="1"/>
      <x:c r="M117" s="1"/>
      <x:c r="N117" s="1"/>
      <x:c r="O117" s="1"/>
      <x:c r="P117" s="1"/>
      <x:c r="Q117" s="1"/>
      <x:c r="R117" s="1"/>
      <x:c r="S117" s="1"/>
      <x:c r="T117" s="1"/>
    </x:row>
    <x:row r="118" ht="18" customHeight="1">
      <x:c r="A118" s="1"/>
      <x:c r="B118" s="1"/>
      <x:c r="C118" s="1"/>
      <x:c r="D118" s="1"/>
      <x:c r="E118" s="1"/>
      <x:c r="F118" s="1"/>
      <x:c r="G118" s="1"/>
      <x:c r="H118" s="1"/>
      <x:c r="I118" s="1"/>
      <x:c r="J118" s="1"/>
      <x:c r="K118" s="1"/>
      <x:c r="L118" s="1"/>
      <x:c r="M118" s="1"/>
      <x:c r="N118" s="1"/>
      <x:c r="O118" s="1"/>
      <x:c r="P118" s="1"/>
      <x:c r="Q118" s="1"/>
      <x:c r="R118" s="1"/>
      <x:c r="S118" s="1"/>
      <x:c r="T118" s="1"/>
    </x:row>
    <x:row r="119" ht="18" customHeight="1">
      <x:c r="A119" s="1"/>
      <x:c r="B119" s="1"/>
      <x:c r="C119" s="1"/>
      <x:c r="D119" s="1"/>
      <x:c r="E119" s="1"/>
      <x:c r="F119" s="1"/>
      <x:c r="G119" s="1"/>
      <x:c r="H119" s="1"/>
      <x:c r="I119" s="1"/>
      <x:c r="J119" s="1"/>
      <x:c r="K119" s="1"/>
      <x:c r="L119" s="1"/>
      <x:c r="M119" s="1"/>
      <x:c r="N119" s="1"/>
      <x:c r="O119" s="1"/>
      <x:c r="P119" s="1"/>
      <x:c r="Q119" s="1"/>
      <x:c r="R119" s="1"/>
      <x:c r="S119" s="1"/>
      <x:c r="T119" s="1"/>
    </x:row>
    <x:row r="120" ht="18" customHeight="1">
      <x:c r="A120" s="1"/>
      <x:c r="B120" s="1"/>
      <x:c r="C120" s="1"/>
      <x:c r="D120" s="1"/>
      <x:c r="E120" s="1"/>
      <x:c r="F120" s="1"/>
      <x:c r="G120" s="1"/>
      <x:c r="H120" s="1"/>
      <x:c r="I120" s="1"/>
      <x:c r="J120" s="1"/>
      <x:c r="K120" s="1"/>
      <x:c r="L120" s="1"/>
      <x:c r="M120" s="1"/>
      <x:c r="N120" s="1"/>
      <x:c r="O120" s="1"/>
      <x:c r="P120" s="1"/>
      <x:c r="Q120" s="1"/>
      <x:c r="R120" s="1"/>
      <x:c r="S120" s="1"/>
      <x:c r="T120" s="1"/>
    </x:row>
    <x:row r="121" ht="18" customHeight="1">
      <x:c r="A121" s="1"/>
      <x:c r="B121" s="1"/>
      <x:c r="C121" s="1"/>
      <x:c r="D121" s="1"/>
      <x:c r="E121" s="1"/>
      <x:c r="F121" s="1"/>
      <x:c r="G121" s="1"/>
      <x:c r="H121" s="1"/>
      <x:c r="I121" s="1"/>
      <x:c r="J121" s="1"/>
      <x:c r="K121" s="1"/>
      <x:c r="L121" s="1"/>
      <x:c r="M121" s="1"/>
      <x:c r="N121" s="1"/>
      <x:c r="O121" s="1"/>
      <x:c r="P121" s="1"/>
      <x:c r="Q121" s="1"/>
      <x:c r="R121" s="1"/>
      <x:c r="S121" s="1"/>
      <x:c r="T121" s="1"/>
    </x:row>
    <x:row r="122" ht="18" customHeight="1">
      <x:c r="A122" s="1"/>
      <x:c r="B122" s="1"/>
      <x:c r="C122" s="1"/>
      <x:c r="D122" s="1"/>
      <x:c r="E122" s="1"/>
      <x:c r="F122" s="1"/>
      <x:c r="G122" s="1"/>
      <x:c r="H122" s="1"/>
      <x:c r="I122" s="1"/>
      <x:c r="J122" s="1"/>
      <x:c r="K122" s="1"/>
      <x:c r="L122" s="1"/>
      <x:c r="M122" s="1"/>
      <x:c r="N122" s="1"/>
      <x:c r="O122" s="1"/>
      <x:c r="P122" s="1"/>
      <x:c r="Q122" s="1"/>
      <x:c r="R122" s="1"/>
      <x:c r="S122" s="1"/>
      <x:c r="T122" s="1"/>
    </x:row>
    <x:row r="123" ht="18" customHeight="1">
      <x:c r="A123" s="1"/>
      <x:c r="B123" s="1"/>
      <x:c r="C123" s="1"/>
      <x:c r="D123" s="1"/>
      <x:c r="E123" s="1"/>
      <x:c r="F123" s="1"/>
      <x:c r="G123" s="1"/>
      <x:c r="H123" s="1"/>
      <x:c r="I123" s="1"/>
      <x:c r="J123" s="1"/>
      <x:c r="K123" s="1"/>
      <x:c r="L123" s="1"/>
      <x:c r="M123" s="1"/>
      <x:c r="N123" s="1"/>
      <x:c r="O123" s="1"/>
      <x:c r="P123" s="1"/>
      <x:c r="Q123" s="1"/>
      <x:c r="R123" s="1"/>
      <x:c r="S123" s="1"/>
      <x:c r="T123" s="1"/>
    </x:row>
    <x:row r="124" ht="18" customHeight="1">
      <x:c r="A124" s="1"/>
      <x:c r="B124" s="1"/>
      <x:c r="C124" s="1"/>
      <x:c r="D124" s="1"/>
      <x:c r="E124" s="1"/>
      <x:c r="F124" s="1"/>
      <x:c r="G124" s="1"/>
      <x:c r="H124" s="1"/>
      <x:c r="I124" s="1"/>
      <x:c r="J124" s="1"/>
      <x:c r="K124" s="1"/>
      <x:c r="L124" s="1"/>
      <x:c r="M124" s="1"/>
      <x:c r="N124" s="1"/>
      <x:c r="O124" s="1"/>
      <x:c r="P124" s="1"/>
      <x:c r="Q124" s="1"/>
      <x:c r="R124" s="1"/>
      <x:c r="S124" s="1"/>
      <x:c r="T124" s="1"/>
    </x:row>
    <x:row r="125" ht="18" customHeight="1">
      <x:c r="A125" s="1"/>
      <x:c r="B125" s="1"/>
      <x:c r="C125" s="1"/>
      <x:c r="D125" s="1"/>
      <x:c r="E125" s="1"/>
      <x:c r="F125" s="1"/>
      <x:c r="G125" s="1"/>
      <x:c r="H125" s="1"/>
      <x:c r="I125" s="1"/>
      <x:c r="J125" s="1"/>
      <x:c r="K125" s="1"/>
      <x:c r="L125" s="1"/>
      <x:c r="M125" s="1"/>
      <x:c r="N125" s="1"/>
      <x:c r="O125" s="1"/>
      <x:c r="P125" s="1"/>
      <x:c r="Q125" s="1"/>
      <x:c r="R125" s="1"/>
      <x:c r="S125" s="1"/>
      <x:c r="T125" s="1"/>
    </x:row>
    <x:row r="126" ht="18" customHeight="1">
      <x:c r="A126" s="1"/>
      <x:c r="B126" s="1"/>
      <x:c r="C126" s="1"/>
      <x:c r="D126" s="1"/>
      <x:c r="E126" s="1"/>
      <x:c r="F126" s="1"/>
      <x:c r="G126" s="1"/>
      <x:c r="H126" s="1"/>
      <x:c r="I126" s="1"/>
      <x:c r="J126" s="1"/>
      <x:c r="K126" s="1"/>
      <x:c r="L126" s="1"/>
      <x:c r="M126" s="1"/>
      <x:c r="N126" s="1"/>
      <x:c r="O126" s="1"/>
      <x:c r="P126" s="1"/>
      <x:c r="Q126" s="1"/>
      <x:c r="R126" s="1"/>
      <x:c r="S126" s="1"/>
      <x:c r="T126" s="1"/>
    </x:row>
    <x:row r="127" ht="18" customHeight="1">
      <x:c r="A127" s="1"/>
      <x:c r="B127" s="1"/>
      <x:c r="C127" s="1"/>
      <x:c r="D127" s="1"/>
      <x:c r="E127" s="1"/>
      <x:c r="F127" s="1"/>
      <x:c r="G127" s="1"/>
      <x:c r="H127" s="1"/>
      <x:c r="I127" s="1"/>
      <x:c r="J127" s="1"/>
      <x:c r="K127" s="1"/>
      <x:c r="L127" s="1"/>
      <x:c r="M127" s="1"/>
      <x:c r="N127" s="1"/>
      <x:c r="O127" s="1"/>
      <x:c r="P127" s="1"/>
      <x:c r="Q127" s="1"/>
      <x:c r="R127" s="1"/>
      <x:c r="S127" s="1"/>
      <x:c r="T127" s="1"/>
    </x:row>
    <x:row r="128" ht="18" customHeight="1">
      <x:c r="A128" s="1"/>
      <x:c r="B128" s="1"/>
      <x:c r="C128" s="1"/>
      <x:c r="D128" s="1"/>
      <x:c r="E128" s="1"/>
      <x:c r="F128" s="1"/>
      <x:c r="G128" s="1"/>
      <x:c r="H128" s="1"/>
      <x:c r="I128" s="1"/>
      <x:c r="J128" s="1"/>
      <x:c r="K128" s="1"/>
      <x:c r="L128" s="1"/>
      <x:c r="M128" s="1"/>
      <x:c r="N128" s="1"/>
      <x:c r="O128" s="1"/>
      <x:c r="P128" s="1"/>
      <x:c r="Q128" s="1"/>
      <x:c r="R128" s="1"/>
      <x:c r="S128" s="1"/>
      <x:c r="T128" s="1"/>
    </x:row>
    <x:row r="129" ht="18" customHeight="1">
      <x:c r="A129" s="1"/>
      <x:c r="B129" s="1"/>
      <x:c r="C129" s="1"/>
      <x:c r="D129" s="1"/>
      <x:c r="E129" s="1"/>
      <x:c r="F129" s="1"/>
      <x:c r="G129" s="1"/>
      <x:c r="H129" s="1"/>
      <x:c r="I129" s="1"/>
      <x:c r="J129" s="1"/>
      <x:c r="K129" s="1"/>
      <x:c r="L129" s="1"/>
      <x:c r="M129" s="1"/>
      <x:c r="N129" s="1"/>
      <x:c r="O129" s="1"/>
      <x:c r="P129" s="1"/>
      <x:c r="Q129" s="1"/>
      <x:c r="R129" s="1"/>
      <x:c r="S129" s="1"/>
      <x:c r="T129" s="1"/>
    </x:row>
    <x:row r="130" ht="18" customHeight="1">
      <x:c r="A130" s="1"/>
      <x:c r="B130" s="1"/>
      <x:c r="C130" s="1"/>
      <x:c r="D130" s="1"/>
      <x:c r="E130" s="1"/>
      <x:c r="F130" s="1"/>
      <x:c r="G130" s="1"/>
      <x:c r="H130" s="1"/>
      <x:c r="I130" s="1"/>
      <x:c r="J130" s="1"/>
      <x:c r="K130" s="1"/>
      <x:c r="L130" s="1"/>
      <x:c r="M130" s="1"/>
      <x:c r="N130" s="1"/>
      <x:c r="O130" s="1"/>
      <x:c r="P130" s="1"/>
      <x:c r="Q130" s="1"/>
      <x:c r="R130" s="1"/>
      <x:c r="S130" s="1"/>
      <x:c r="T130" s="1"/>
    </x:row>
    <x:row r="131" ht="18" customHeight="1">
      <x:c r="A131" s="1"/>
      <x:c r="B131" s="1"/>
      <x:c r="C131" s="1"/>
      <x:c r="D131" s="1"/>
      <x:c r="E131" s="1"/>
      <x:c r="F131" s="1"/>
      <x:c r="G131" s="1"/>
      <x:c r="H131" s="1"/>
      <x:c r="I131" s="1"/>
      <x:c r="J131" s="1"/>
      <x:c r="K131" s="1"/>
      <x:c r="L131" s="1"/>
      <x:c r="M131" s="1"/>
      <x:c r="N131" s="1"/>
      <x:c r="O131" s="1"/>
      <x:c r="P131" s="1"/>
      <x:c r="Q131" s="1"/>
      <x:c r="R131" s="1"/>
      <x:c r="S131" s="1"/>
      <x:c r="T131" s="1"/>
    </x:row>
    <x:row r="132" ht="18" customHeight="1">
      <x:c r="A132" s="1"/>
      <x:c r="B132" s="1"/>
      <x:c r="C132" s="1"/>
      <x:c r="D132" s="1"/>
      <x:c r="E132" s="1"/>
      <x:c r="F132" s="1"/>
      <x:c r="G132" s="1"/>
      <x:c r="H132" s="1"/>
      <x:c r="I132" s="1"/>
      <x:c r="J132" s="1"/>
      <x:c r="K132" s="1"/>
      <x:c r="L132" s="1"/>
      <x:c r="M132" s="1"/>
      <x:c r="N132" s="1"/>
      <x:c r="O132" s="1"/>
      <x:c r="P132" s="1"/>
      <x:c r="Q132" s="1"/>
      <x:c r="R132" s="1"/>
      <x:c r="S132" s="1"/>
      <x:c r="T132" s="1"/>
    </x:row>
    <x:row r="133" ht="18" customHeight="1">
      <x:c r="A133" s="1"/>
      <x:c r="B133" s="1"/>
      <x:c r="C133" s="1"/>
      <x:c r="D133" s="1"/>
      <x:c r="E133" s="1"/>
      <x:c r="F133" s="1"/>
      <x:c r="G133" s="1"/>
      <x:c r="H133" s="1"/>
      <x:c r="I133" s="1"/>
      <x:c r="J133" s="1"/>
      <x:c r="K133" s="1"/>
      <x:c r="L133" s="1"/>
      <x:c r="M133" s="1"/>
      <x:c r="N133" s="1"/>
      <x:c r="O133" s="1"/>
      <x:c r="P133" s="1"/>
      <x:c r="Q133" s="1"/>
      <x:c r="R133" s="1"/>
      <x:c r="S133" s="1"/>
      <x:c r="T133" s="1"/>
    </x:row>
    <x:row r="134" ht="18" customHeight="1">
      <x:c r="A134" s="1"/>
      <x:c r="B134" s="1"/>
      <x:c r="C134" s="1"/>
      <x:c r="D134" s="1"/>
      <x:c r="E134" s="1"/>
      <x:c r="F134" s="1"/>
      <x:c r="G134" s="1"/>
      <x:c r="H134" s="1"/>
      <x:c r="I134" s="1"/>
      <x:c r="J134" s="1"/>
      <x:c r="K134" s="1"/>
      <x:c r="L134" s="1"/>
      <x:c r="M134" s="1"/>
      <x:c r="N134" s="1"/>
      <x:c r="O134" s="1"/>
      <x:c r="P134" s="1"/>
      <x:c r="Q134" s="1"/>
      <x:c r="R134" s="1"/>
      <x:c r="S134" s="1"/>
      <x:c r="T134" s="1"/>
    </x:row>
    <x:row r="135" ht="18" customHeight="1">
      <x:c r="A135" s="1"/>
      <x:c r="B135" s="1"/>
      <x:c r="C135" s="1"/>
      <x:c r="D135" s="1"/>
      <x:c r="E135" s="1"/>
      <x:c r="F135" s="1"/>
      <x:c r="G135" s="1"/>
      <x:c r="H135" s="1"/>
      <x:c r="I135" s="1"/>
      <x:c r="J135" s="1"/>
      <x:c r="K135" s="1"/>
      <x:c r="L135" s="1"/>
      <x:c r="M135" s="1"/>
      <x:c r="N135" s="1"/>
      <x:c r="O135" s="1"/>
      <x:c r="P135" s="1"/>
      <x:c r="Q135" s="1"/>
      <x:c r="R135" s="1"/>
      <x:c r="S135" s="1"/>
      <x:c r="T135" s="1"/>
    </x:row>
    <x:row r="136" ht="18" customHeight="1">
      <x:c r="A136" s="1"/>
      <x:c r="B136" s="1"/>
      <x:c r="C136" s="1"/>
      <x:c r="D136" s="1"/>
      <x:c r="E136" s="1"/>
      <x:c r="F136" s="1"/>
      <x:c r="G136" s="1"/>
      <x:c r="H136" s="1"/>
      <x:c r="I136" s="1"/>
      <x:c r="J136" s="1"/>
      <x:c r="K136" s="1"/>
      <x:c r="L136" s="1"/>
      <x:c r="M136" s="1"/>
      <x:c r="N136" s="1"/>
      <x:c r="O136" s="1"/>
      <x:c r="P136" s="1"/>
      <x:c r="Q136" s="1"/>
      <x:c r="R136" s="1"/>
      <x:c r="S136" s="1"/>
      <x:c r="T136" s="1"/>
    </x:row>
    <x:row r="137" ht="18" customHeight="1">
      <x:c r="A137" s="1"/>
      <x:c r="B137" s="1"/>
      <x:c r="C137" s="1"/>
      <x:c r="D137" s="1"/>
      <x:c r="E137" s="1"/>
      <x:c r="F137" s="1"/>
      <x:c r="G137" s="1"/>
      <x:c r="H137" s="1"/>
      <x:c r="I137" s="1"/>
      <x:c r="J137" s="1"/>
      <x:c r="K137" s="1"/>
      <x:c r="L137" s="1"/>
      <x:c r="M137" s="1"/>
      <x:c r="N137" s="1"/>
      <x:c r="O137" s="1"/>
      <x:c r="P137" s="1"/>
      <x:c r="Q137" s="1"/>
      <x:c r="R137" s="1"/>
      <x:c r="S137" s="1"/>
      <x:c r="T137" s="1"/>
    </x:row>
    <x:row r="138" ht="18" customHeight="1">
      <x:c r="A138" s="1"/>
      <x:c r="B138" s="1"/>
      <x:c r="C138" s="1"/>
      <x:c r="D138" s="1"/>
      <x:c r="E138" s="1"/>
      <x:c r="F138" s="1"/>
      <x:c r="G138" s="1"/>
      <x:c r="H138" s="1"/>
      <x:c r="I138" s="1"/>
      <x:c r="J138" s="1"/>
      <x:c r="K138" s="1"/>
      <x:c r="L138" s="1"/>
      <x:c r="M138" s="1"/>
      <x:c r="N138" s="1"/>
      <x:c r="O138" s="1"/>
      <x:c r="P138" s="1"/>
      <x:c r="Q138" s="1"/>
      <x:c r="R138" s="1"/>
      <x:c r="S138" s="1"/>
      <x:c r="T138" s="1"/>
    </x:row>
    <x:row r="139" ht="18" customHeight="1">
      <x:c r="A139" s="1"/>
      <x:c r="B139" s="1"/>
      <x:c r="C139" s="1"/>
      <x:c r="D139" s="1"/>
      <x:c r="E139" s="1"/>
      <x:c r="F139" s="1"/>
      <x:c r="G139" s="1"/>
      <x:c r="H139" s="1"/>
      <x:c r="I139" s="1"/>
      <x:c r="J139" s="1"/>
      <x:c r="K139" s="1"/>
      <x:c r="L139" s="1"/>
      <x:c r="M139" s="1"/>
      <x:c r="N139" s="1"/>
      <x:c r="O139" s="1"/>
      <x:c r="P139" s="1"/>
      <x:c r="Q139" s="1"/>
      <x:c r="R139" s="1"/>
      <x:c r="S139" s="1"/>
      <x:c r="T139" s="1"/>
    </x:row>
    <x:row r="140" ht="18" customHeight="1">
      <x:c r="A140" s="1"/>
      <x:c r="B140" s="1"/>
      <x:c r="C140" s="1"/>
      <x:c r="D140" s="1"/>
      <x:c r="E140" s="1"/>
      <x:c r="F140" s="1"/>
      <x:c r="G140" s="1"/>
      <x:c r="H140" s="1"/>
      <x:c r="I140" s="1"/>
      <x:c r="J140" s="1"/>
      <x:c r="K140" s="1"/>
      <x:c r="L140" s="1"/>
      <x:c r="M140" s="1"/>
      <x:c r="N140" s="1"/>
      <x:c r="O140" s="1"/>
      <x:c r="P140" s="1"/>
      <x:c r="Q140" s="1"/>
      <x:c r="R140" s="1"/>
      <x:c r="S140" s="1"/>
      <x:c r="T140" s="1"/>
    </x:row>
    <x:row r="141" ht="18" customHeight="1">
      <x:c r="A141" s="1"/>
      <x:c r="B141" s="1"/>
      <x:c r="C141" s="1"/>
      <x:c r="D141" s="1"/>
      <x:c r="E141" s="1"/>
      <x:c r="F141" s="1"/>
      <x:c r="G141" s="1"/>
      <x:c r="H141" s="1"/>
      <x:c r="I141" s="1"/>
      <x:c r="J141" s="1"/>
      <x:c r="K141" s="1"/>
      <x:c r="L141" s="1"/>
      <x:c r="M141" s="1"/>
      <x:c r="N141" s="1"/>
      <x:c r="O141" s="1"/>
      <x:c r="P141" s="1"/>
      <x:c r="Q141" s="1"/>
      <x:c r="R141" s="1"/>
      <x:c r="S141" s="1"/>
      <x:c r="T141" s="1"/>
    </x:row>
    <x:row r="142" ht="18" customHeight="1">
      <x:c r="A142" s="1"/>
      <x:c r="B142" s="1"/>
      <x:c r="C142" s="1"/>
      <x:c r="D142" s="1"/>
      <x:c r="E142" s="1"/>
      <x:c r="F142" s="1"/>
      <x:c r="G142" s="1"/>
      <x:c r="H142" s="1"/>
      <x:c r="I142" s="1"/>
      <x:c r="J142" s="1"/>
      <x:c r="K142" s="1"/>
      <x:c r="L142" s="1"/>
      <x:c r="M142" s="1"/>
      <x:c r="N142" s="1"/>
      <x:c r="O142" s="1"/>
      <x:c r="P142" s="1"/>
      <x:c r="Q142" s="1"/>
      <x:c r="R142" s="1"/>
      <x:c r="S142" s="1"/>
      <x:c r="T142" s="1"/>
    </x:row>
    <x:row r="143" ht="18" customHeight="1">
      <x:c r="A143" s="1"/>
      <x:c r="B143" s="1"/>
      <x:c r="C143" s="1"/>
      <x:c r="D143" s="1"/>
      <x:c r="E143" s="1"/>
      <x:c r="F143" s="1"/>
      <x:c r="G143" s="1"/>
      <x:c r="H143" s="1"/>
      <x:c r="I143" s="1"/>
      <x:c r="J143" s="1"/>
      <x:c r="K143" s="1"/>
      <x:c r="L143" s="1"/>
      <x:c r="M143" s="1"/>
      <x:c r="N143" s="1"/>
      <x:c r="O143" s="1"/>
      <x:c r="P143" s="1"/>
      <x:c r="Q143" s="1"/>
      <x:c r="R143" s="1"/>
      <x:c r="S143" s="1"/>
      <x:c r="T143" s="1"/>
    </x:row>
    <x:row r="144" ht="18" customHeight="1">
      <x:c r="A144" s="1"/>
      <x:c r="B144" s="1"/>
      <x:c r="C144" s="1"/>
      <x:c r="D144" s="1"/>
      <x:c r="E144" s="1"/>
      <x:c r="F144" s="1"/>
      <x:c r="G144" s="1"/>
      <x:c r="H144" s="1"/>
      <x:c r="I144" s="1"/>
      <x:c r="J144" s="1"/>
      <x:c r="K144" s="1"/>
      <x:c r="L144" s="1"/>
      <x:c r="M144" s="1"/>
      <x:c r="N144" s="1"/>
      <x:c r="O144" s="1"/>
      <x:c r="P144" s="1"/>
      <x:c r="Q144" s="1"/>
      <x:c r="R144" s="1"/>
      <x:c r="S144" s="1"/>
      <x:c r="T144" s="1"/>
    </x:row>
    <x:row r="145" ht="18" customHeight="1">
      <x:c r="A145" s="1"/>
      <x:c r="B145" s="1"/>
      <x:c r="C145" s="1"/>
      <x:c r="D145" s="1"/>
      <x:c r="E145" s="1"/>
      <x:c r="F145" s="1"/>
      <x:c r="G145" s="1"/>
      <x:c r="H145" s="1"/>
      <x:c r="I145" s="1"/>
      <x:c r="J145" s="1"/>
      <x:c r="K145" s="1"/>
      <x:c r="L145" s="1"/>
      <x:c r="M145" s="1"/>
      <x:c r="N145" s="1"/>
      <x:c r="O145" s="1"/>
      <x:c r="P145" s="1"/>
      <x:c r="Q145" s="1"/>
      <x:c r="R145" s="1"/>
      <x:c r="S145" s="1"/>
      <x:c r="T145" s="1"/>
    </x:row>
    <x:row r="146" ht="18" customHeight="1">
      <x:c r="A146" s="1"/>
      <x:c r="B146" s="1"/>
      <x:c r="C146" s="1"/>
      <x:c r="D146" s="1"/>
      <x:c r="E146" s="1"/>
      <x:c r="F146" s="1"/>
      <x:c r="G146" s="1"/>
      <x:c r="H146" s="1"/>
      <x:c r="I146" s="1"/>
      <x:c r="J146" s="1"/>
      <x:c r="K146" s="1"/>
      <x:c r="L146" s="1"/>
      <x:c r="M146" s="1"/>
      <x:c r="N146" s="1"/>
      <x:c r="O146" s="1"/>
      <x:c r="P146" s="1"/>
      <x:c r="Q146" s="1"/>
      <x:c r="R146" s="1"/>
      <x:c r="S146" s="1"/>
      <x:c r="T146" s="1"/>
    </x:row>
    <x:row r="147" ht="18" customHeight="1">
      <x:c r="A147" s="1"/>
      <x:c r="B147" s="1"/>
      <x:c r="C147" s="1"/>
      <x:c r="D147" s="1"/>
      <x:c r="E147" s="1"/>
      <x:c r="F147" s="1"/>
      <x:c r="G147" s="1"/>
      <x:c r="H147" s="1"/>
      <x:c r="I147" s="1"/>
      <x:c r="J147" s="1"/>
      <x:c r="K147" s="1"/>
      <x:c r="L147" s="1"/>
      <x:c r="M147" s="1"/>
      <x:c r="N147" s="1"/>
      <x:c r="O147" s="1"/>
      <x:c r="P147" s="1"/>
      <x:c r="Q147" s="1"/>
      <x:c r="R147" s="1"/>
      <x:c r="S147" s="1"/>
      <x:c r="T147" s="1"/>
    </x:row>
    <x:row r="148" ht="18" customHeight="1">
      <x:c r="A148" s="1"/>
      <x:c r="B148" s="1"/>
      <x:c r="C148" s="1"/>
      <x:c r="D148" s="1"/>
      <x:c r="E148" s="1"/>
      <x:c r="F148" s="1"/>
      <x:c r="G148" s="1"/>
      <x:c r="H148" s="1"/>
      <x:c r="I148" s="1"/>
      <x:c r="J148" s="1"/>
      <x:c r="K148" s="1"/>
      <x:c r="L148" s="1"/>
      <x:c r="M148" s="1"/>
      <x:c r="N148" s="1"/>
      <x:c r="O148" s="1"/>
      <x:c r="P148" s="1"/>
      <x:c r="Q148" s="1"/>
      <x:c r="R148" s="1"/>
      <x:c r="S148" s="1"/>
      <x:c r="T148" s="1"/>
    </x:row>
    <x:row r="149" ht="18" customHeight="1">
      <x:c r="A149" s="1"/>
      <x:c r="B149" s="1"/>
      <x:c r="C149" s="1"/>
      <x:c r="D149" s="1"/>
      <x:c r="E149" s="1"/>
      <x:c r="F149" s="1"/>
      <x:c r="G149" s="1"/>
      <x:c r="H149" s="1"/>
      <x:c r="I149" s="1"/>
      <x:c r="J149" s="1"/>
      <x:c r="K149" s="1"/>
      <x:c r="L149" s="1"/>
      <x:c r="M149" s="1"/>
      <x:c r="N149" s="1"/>
      <x:c r="O149" s="1"/>
      <x:c r="P149" s="1"/>
      <x:c r="Q149" s="1"/>
      <x:c r="R149" s="1"/>
      <x:c r="S149" s="1"/>
      <x:c r="T149" s="1"/>
    </x:row>
    <x:row r="150" ht="18" customHeight="1">
      <x:c r="A150" s="1"/>
      <x:c r="B150" s="1"/>
      <x:c r="C150" s="1"/>
      <x:c r="D150" s="1"/>
      <x:c r="E150" s="1"/>
      <x:c r="F150" s="1"/>
      <x:c r="G150" s="1"/>
      <x:c r="H150" s="1"/>
      <x:c r="I150" s="1"/>
      <x:c r="J150" s="1"/>
      <x:c r="K150" s="1"/>
      <x:c r="L150" s="1"/>
      <x:c r="M150" s="1"/>
      <x:c r="N150" s="1"/>
      <x:c r="O150" s="1"/>
      <x:c r="P150" s="1"/>
      <x:c r="Q150" s="1"/>
      <x:c r="R150" s="1"/>
      <x:c r="S150" s="1"/>
      <x:c r="T150" s="1"/>
    </x:row>
    <x:row r="151" ht="18" customHeight="1">
      <x:c r="A151" s="1"/>
      <x:c r="B151" s="1"/>
      <x:c r="C151" s="1"/>
      <x:c r="D151" s="1"/>
      <x:c r="E151" s="1"/>
      <x:c r="F151" s="1"/>
      <x:c r="G151" s="1"/>
      <x:c r="H151" s="1"/>
      <x:c r="I151" s="1"/>
      <x:c r="J151" s="1"/>
      <x:c r="K151" s="1"/>
      <x:c r="L151" s="1"/>
      <x:c r="M151" s="1"/>
      <x:c r="N151" s="1"/>
      <x:c r="O151" s="1"/>
      <x:c r="P151" s="1"/>
      <x:c r="Q151" s="1"/>
      <x:c r="R151" s="1"/>
      <x:c r="S151" s="1"/>
      <x:c r="T151" s="1"/>
    </x:row>
    <x:row r="152" ht="18" customHeight="1">
      <x:c r="A152" s="1"/>
      <x:c r="B152" s="1"/>
      <x:c r="C152" s="1"/>
      <x:c r="D152" s="1"/>
      <x:c r="E152" s="1"/>
      <x:c r="F152" s="1"/>
      <x:c r="G152" s="1"/>
      <x:c r="H152" s="1"/>
      <x:c r="I152" s="1"/>
      <x:c r="J152" s="1"/>
      <x:c r="K152" s="1"/>
      <x:c r="L152" s="1"/>
      <x:c r="M152" s="1"/>
      <x:c r="N152" s="1"/>
      <x:c r="O152" s="1"/>
      <x:c r="P152" s="1"/>
      <x:c r="Q152" s="1"/>
      <x:c r="R152" s="1"/>
      <x:c r="S152" s="1"/>
      <x:c r="T152" s="1"/>
    </x:row>
    <x:row r="153" ht="18" customHeight="1">
      <x:c r="A153" s="1"/>
      <x:c r="B153" s="1"/>
      <x:c r="C153" s="1"/>
      <x:c r="D153" s="1"/>
      <x:c r="E153" s="1"/>
      <x:c r="F153" s="1"/>
      <x:c r="G153" s="1"/>
      <x:c r="H153" s="1"/>
      <x:c r="I153" s="1"/>
      <x:c r="J153" s="1"/>
      <x:c r="K153" s="1"/>
      <x:c r="L153" s="1"/>
      <x:c r="M153" s="1"/>
      <x:c r="N153" s="1"/>
      <x:c r="O153" s="1"/>
      <x:c r="P153" s="1"/>
      <x:c r="Q153" s="1"/>
      <x:c r="R153" s="1"/>
      <x:c r="S153" s="1"/>
      <x:c r="T153" s="1"/>
    </x:row>
    <x:row r="154" ht="18" customHeight="1">
      <x:c r="A154" s="1"/>
      <x:c r="B154" s="1"/>
      <x:c r="C154" s="1"/>
      <x:c r="D154" s="1"/>
      <x:c r="E154" s="1"/>
      <x:c r="F154" s="1"/>
      <x:c r="G154" s="1"/>
      <x:c r="H154" s="1"/>
      <x:c r="I154" s="1"/>
      <x:c r="J154" s="1"/>
      <x:c r="K154" s="1"/>
      <x:c r="L154" s="1"/>
      <x:c r="M154" s="1"/>
      <x:c r="N154" s="1"/>
      <x:c r="O154" s="1"/>
      <x:c r="P154" s="1"/>
      <x:c r="Q154" s="1"/>
      <x:c r="R154" s="1"/>
      <x:c r="S154" s="1"/>
      <x:c r="T154" s="1"/>
    </x:row>
    <x:row r="155" ht="18" customHeight="1">
      <x:c r="A155" s="1"/>
      <x:c r="B155" s="1"/>
      <x:c r="C155" s="1"/>
      <x:c r="D155" s="1"/>
      <x:c r="E155" s="1"/>
      <x:c r="F155" s="1"/>
      <x:c r="G155" s="1"/>
      <x:c r="H155" s="1"/>
      <x:c r="I155" s="1"/>
      <x:c r="J155" s="1"/>
      <x:c r="K155" s="1"/>
      <x:c r="L155" s="1"/>
      <x:c r="M155" s="1"/>
      <x:c r="N155" s="1"/>
      <x:c r="O155" s="1"/>
      <x:c r="P155" s="1"/>
      <x:c r="Q155" s="1"/>
      <x:c r="R155" s="1"/>
      <x:c r="S155" s="1"/>
      <x:c r="T155" s="1"/>
    </x:row>
    <x:row r="156" ht="18" customHeight="1">
      <x:c r="A156" s="1"/>
      <x:c r="B156" s="1"/>
      <x:c r="C156" s="1"/>
      <x:c r="D156" s="1"/>
      <x:c r="E156" s="1"/>
      <x:c r="F156" s="1"/>
      <x:c r="G156" s="1"/>
      <x:c r="H156" s="1"/>
      <x:c r="I156" s="1"/>
      <x:c r="J156" s="1"/>
      <x:c r="K156" s="1"/>
      <x:c r="L156" s="1"/>
      <x:c r="M156" s="1"/>
      <x:c r="N156" s="1"/>
      <x:c r="O156" s="1"/>
      <x:c r="P156" s="1"/>
      <x:c r="Q156" s="1"/>
      <x:c r="R156" s="1"/>
      <x:c r="S156" s="1"/>
      <x:c r="T156" s="1"/>
    </x:row>
    <x:row r="157" ht="18" customHeight="1">
      <x:c r="A157" s="1"/>
      <x:c r="B157" s="1"/>
      <x:c r="C157" s="1"/>
      <x:c r="D157" s="1"/>
      <x:c r="E157" s="1"/>
      <x:c r="F157" s="1"/>
      <x:c r="G157" s="1"/>
      <x:c r="H157" s="1"/>
      <x:c r="I157" s="1"/>
      <x:c r="J157" s="1"/>
      <x:c r="K157" s="1"/>
      <x:c r="L157" s="1"/>
      <x:c r="M157" s="1"/>
      <x:c r="N157" s="1"/>
      <x:c r="O157" s="1"/>
      <x:c r="P157" s="1"/>
      <x:c r="Q157" s="1"/>
      <x:c r="R157" s="1"/>
      <x:c r="S157" s="1"/>
      <x:c r="T157" s="1"/>
    </x:row>
    <x:row r="158" ht="18" customHeight="1">
      <x:c r="A158" s="1"/>
      <x:c r="B158" s="1"/>
      <x:c r="C158" s="1"/>
      <x:c r="D158" s="1"/>
      <x:c r="E158" s="1"/>
      <x:c r="F158" s="1"/>
      <x:c r="G158" s="1"/>
      <x:c r="H158" s="1"/>
      <x:c r="I158" s="1"/>
      <x:c r="J158" s="1"/>
      <x:c r="K158" s="1"/>
      <x:c r="L158" s="1"/>
      <x:c r="M158" s="1"/>
      <x:c r="N158" s="1"/>
      <x:c r="O158" s="1"/>
      <x:c r="P158" s="1"/>
      <x:c r="Q158" s="1"/>
      <x:c r="R158" s="1"/>
      <x:c r="S158" s="1"/>
      <x:c r="T158" s="1"/>
    </x:row>
    <x:row r="159" ht="18" customHeight="1">
      <x:c r="A159" s="1"/>
      <x:c r="B159" s="1"/>
      <x:c r="C159" s="1"/>
      <x:c r="D159" s="1"/>
      <x:c r="E159" s="1"/>
      <x:c r="F159" s="1"/>
      <x:c r="G159" s="1"/>
      <x:c r="H159" s="1"/>
      <x:c r="I159" s="1"/>
      <x:c r="J159" s="1"/>
      <x:c r="K159" s="1"/>
      <x:c r="L159" s="1"/>
      <x:c r="M159" s="1"/>
      <x:c r="N159" s="1"/>
      <x:c r="O159" s="1"/>
      <x:c r="P159" s="1"/>
      <x:c r="Q159" s="1"/>
      <x:c r="R159" s="1"/>
      <x:c r="S159" s="1"/>
      <x:c r="T159" s="1"/>
    </x:row>
    <x:row r="160" ht="18" customHeight="1">
      <x:c r="A160" s="1"/>
      <x:c r="B160" s="1"/>
      <x:c r="C160" s="1"/>
      <x:c r="D160" s="1"/>
      <x:c r="E160" s="1"/>
      <x:c r="F160" s="1"/>
      <x:c r="G160" s="1"/>
      <x:c r="H160" s="1"/>
      <x:c r="I160" s="1"/>
      <x:c r="J160" s="1"/>
      <x:c r="K160" s="1"/>
      <x:c r="L160" s="1"/>
      <x:c r="M160" s="1"/>
      <x:c r="N160" s="1"/>
      <x:c r="O160" s="1"/>
      <x:c r="P160" s="1"/>
      <x:c r="Q160" s="1"/>
      <x:c r="R160" s="1"/>
      <x:c r="S160" s="1"/>
      <x:c r="T160" s="1"/>
    </x:row>
    <x:row r="161" ht="18" customHeight="1">
      <x:c r="A161" s="1"/>
      <x:c r="B161" s="1"/>
      <x:c r="C161" s="1"/>
      <x:c r="D161" s="1"/>
      <x:c r="E161" s="1"/>
      <x:c r="F161" s="1"/>
      <x:c r="G161" s="1"/>
      <x:c r="H161" s="1"/>
      <x:c r="I161" s="1"/>
      <x:c r="J161" s="1"/>
      <x:c r="K161" s="1"/>
      <x:c r="L161" s="1"/>
      <x:c r="M161" s="1"/>
      <x:c r="N161" s="1"/>
      <x:c r="O161" s="1"/>
      <x:c r="P161" s="1"/>
      <x:c r="Q161" s="1"/>
      <x:c r="R161" s="1"/>
      <x:c r="S161" s="1"/>
      <x:c r="T161" s="1"/>
    </x:row>
    <x:row r="162" ht="18" customHeight="1">
      <x:c r="A162" s="1"/>
      <x:c r="B162" s="1"/>
      <x:c r="C162" s="1"/>
      <x:c r="D162" s="1"/>
      <x:c r="E162" s="1"/>
      <x:c r="F162" s="1"/>
      <x:c r="G162" s="1"/>
      <x:c r="H162" s="1"/>
      <x:c r="I162" s="1"/>
      <x:c r="J162" s="1"/>
      <x:c r="K162" s="1"/>
      <x:c r="L162" s="1"/>
      <x:c r="M162" s="1"/>
      <x:c r="N162" s="1"/>
      <x:c r="O162" s="1"/>
      <x:c r="P162" s="1"/>
      <x:c r="Q162" s="1"/>
      <x:c r="R162" s="1"/>
      <x:c r="S162" s="1"/>
      <x:c r="T162" s="1"/>
    </x:row>
    <x:row r="163" ht="18" customHeight="1">
      <x:c r="A163" s="1"/>
      <x:c r="B163" s="1"/>
      <x:c r="C163" s="1"/>
      <x:c r="D163" s="1"/>
      <x:c r="E163" s="1"/>
      <x:c r="F163" s="1"/>
      <x:c r="G163" s="1"/>
      <x:c r="H163" s="1"/>
      <x:c r="I163" s="1"/>
      <x:c r="J163" s="1"/>
      <x:c r="K163" s="1"/>
      <x:c r="L163" s="1"/>
      <x:c r="M163" s="1"/>
      <x:c r="N163" s="1"/>
      <x:c r="O163" s="1"/>
      <x:c r="P163" s="1"/>
      <x:c r="Q163" s="1"/>
      <x:c r="R163" s="1"/>
      <x:c r="S163" s="1"/>
      <x:c r="T163" s="1"/>
    </x:row>
    <x:row r="164" ht="18" customHeight="1">
      <x:c r="A164" s="1"/>
      <x:c r="B164" s="1"/>
      <x:c r="C164" s="1"/>
      <x:c r="D164" s="1"/>
      <x:c r="E164" s="1"/>
      <x:c r="F164" s="1"/>
      <x:c r="G164" s="1"/>
      <x:c r="H164" s="1"/>
      <x:c r="I164" s="1"/>
      <x:c r="J164" s="1"/>
      <x:c r="K164" s="1"/>
      <x:c r="L164" s="1"/>
      <x:c r="M164" s="1"/>
      <x:c r="N164" s="1"/>
      <x:c r="O164" s="1"/>
      <x:c r="P164" s="1"/>
      <x:c r="Q164" s="1"/>
      <x:c r="R164" s="1"/>
      <x:c r="S164" s="1"/>
      <x:c r="T164" s="1"/>
    </x:row>
    <x:row r="165" ht="18" customHeight="1">
      <x:c r="A165" s="1"/>
      <x:c r="B165" s="1"/>
      <x:c r="C165" s="1"/>
      <x:c r="D165" s="1"/>
      <x:c r="E165" s="1"/>
      <x:c r="F165" s="1"/>
      <x:c r="G165" s="1"/>
      <x:c r="H165" s="1"/>
      <x:c r="I165" s="1"/>
      <x:c r="J165" s="1"/>
      <x:c r="K165" s="1"/>
      <x:c r="L165" s="1"/>
      <x:c r="M165" s="1"/>
      <x:c r="N165" s="1"/>
      <x:c r="O165" s="1"/>
      <x:c r="P165" s="1"/>
      <x:c r="Q165" s="1"/>
      <x:c r="R165" s="1"/>
      <x:c r="S165" s="1"/>
      <x:c r="T165" s="1"/>
    </x:row>
    <x:row r="166" ht="18" customHeight="1">
      <x:c r="A166" s="1"/>
      <x:c r="B166" s="1"/>
      <x:c r="C166" s="1"/>
      <x:c r="D166" s="1"/>
      <x:c r="E166" s="1"/>
      <x:c r="F166" s="1"/>
      <x:c r="G166" s="1"/>
      <x:c r="H166" s="1"/>
      <x:c r="I166" s="1"/>
      <x:c r="J166" s="1"/>
      <x:c r="K166" s="1"/>
      <x:c r="L166" s="1"/>
      <x:c r="M166" s="1"/>
      <x:c r="N166" s="1"/>
      <x:c r="O166" s="1"/>
      <x:c r="P166" s="1"/>
      <x:c r="Q166" s="1"/>
      <x:c r="R166" s="1"/>
      <x:c r="S166" s="1"/>
      <x:c r="T166" s="1"/>
    </x:row>
    <x:row r="167" ht="18" customHeight="1">
      <x:c r="A167" s="1"/>
      <x:c r="B167" s="1"/>
      <x:c r="C167" s="1"/>
      <x:c r="D167" s="1"/>
      <x:c r="E167" s="1"/>
      <x:c r="F167" s="1"/>
      <x:c r="G167" s="1"/>
      <x:c r="H167" s="1"/>
      <x:c r="I167" s="1"/>
      <x:c r="J167" s="1"/>
      <x:c r="K167" s="1"/>
      <x:c r="L167" s="1"/>
      <x:c r="M167" s="1"/>
      <x:c r="N167" s="1"/>
      <x:c r="O167" s="1"/>
      <x:c r="P167" s="1"/>
      <x:c r="Q167" s="1"/>
      <x:c r="R167" s="1"/>
      <x:c r="S167" s="1"/>
      <x:c r="T167" s="1"/>
    </x:row>
    <x:row r="168" ht="18" customHeight="1">
      <x:c r="A168" s="1"/>
      <x:c r="B168" s="1"/>
      <x:c r="C168" s="1"/>
      <x:c r="D168" s="1"/>
      <x:c r="E168" s="1"/>
      <x:c r="F168" s="1"/>
      <x:c r="G168" s="1"/>
      <x:c r="H168" s="1"/>
      <x:c r="I168" s="1"/>
      <x:c r="J168" s="1"/>
      <x:c r="K168" s="1"/>
      <x:c r="L168" s="1"/>
      <x:c r="M168" s="1"/>
      <x:c r="N168" s="1"/>
      <x:c r="O168" s="1"/>
      <x:c r="P168" s="1"/>
      <x:c r="Q168" s="1"/>
      <x:c r="R168" s="1"/>
      <x:c r="S168" s="1"/>
      <x:c r="T168" s="1"/>
    </x:row>
    <x:row r="169" ht="18" customHeight="1">
      <x:c r="A169" s="1"/>
      <x:c r="B169" s="1"/>
      <x:c r="C169" s="1"/>
      <x:c r="D169" s="1"/>
      <x:c r="E169" s="1"/>
      <x:c r="F169" s="1"/>
      <x:c r="G169" s="1"/>
      <x:c r="H169" s="1"/>
      <x:c r="I169" s="1"/>
      <x:c r="J169" s="1"/>
      <x:c r="K169" s="1"/>
      <x:c r="L169" s="1"/>
      <x:c r="M169" s="1"/>
      <x:c r="N169" s="1"/>
      <x:c r="O169" s="1"/>
      <x:c r="P169" s="1"/>
      <x:c r="Q169" s="1"/>
      <x:c r="R169" s="1"/>
      <x:c r="S169" s="1"/>
      <x:c r="T169" s="1"/>
    </x:row>
    <x:row r="170" ht="18" customHeight="1">
      <x:c r="A170" s="1"/>
      <x:c r="B170" s="1"/>
      <x:c r="C170" s="1"/>
      <x:c r="D170" s="1"/>
      <x:c r="E170" s="1"/>
      <x:c r="F170" s="1"/>
      <x:c r="G170" s="1"/>
      <x:c r="H170" s="1"/>
      <x:c r="I170" s="1"/>
      <x:c r="J170" s="1"/>
      <x:c r="K170" s="1"/>
      <x:c r="L170" s="1"/>
      <x:c r="M170" s="1"/>
      <x:c r="N170" s="1"/>
      <x:c r="O170" s="1"/>
      <x:c r="P170" s="1"/>
      <x:c r="Q170" s="1"/>
      <x:c r="R170" s="1"/>
      <x:c r="S170" s="1"/>
      <x:c r="T170" s="1"/>
    </x:row>
    <x:row r="171" ht="18" customHeight="1">
      <x:c r="A171" s="1"/>
      <x:c r="B171" s="1"/>
      <x:c r="C171" s="1"/>
      <x:c r="D171" s="1"/>
      <x:c r="E171" s="1"/>
      <x:c r="F171" s="1"/>
      <x:c r="G171" s="1"/>
      <x:c r="H171" s="1"/>
      <x:c r="I171" s="1"/>
      <x:c r="J171" s="1"/>
      <x:c r="K171" s="1"/>
      <x:c r="L171" s="1"/>
      <x:c r="M171" s="1"/>
      <x:c r="N171" s="1"/>
      <x:c r="O171" s="1"/>
      <x:c r="P171" s="1"/>
      <x:c r="Q171" s="1"/>
      <x:c r="R171" s="1"/>
      <x:c r="S171" s="1"/>
      <x:c r="T171" s="1"/>
    </x:row>
    <x:row r="172" ht="18" customHeight="1">
      <x:c r="A172" s="1"/>
      <x:c r="B172" s="1"/>
      <x:c r="C172" s="1"/>
      <x:c r="D172" s="1"/>
      <x:c r="E172" s="1"/>
      <x:c r="F172" s="1"/>
      <x:c r="G172" s="1"/>
      <x:c r="H172" s="1"/>
      <x:c r="I172" s="1"/>
      <x:c r="J172" s="1"/>
      <x:c r="K172" s="1"/>
      <x:c r="L172" s="1"/>
      <x:c r="M172" s="1"/>
      <x:c r="N172" s="1"/>
      <x:c r="O172" s="1"/>
      <x:c r="P172" s="1"/>
      <x:c r="Q172" s="1"/>
      <x:c r="R172" s="1"/>
      <x:c r="S172" s="1"/>
      <x:c r="T172" s="1"/>
    </x:row>
    <x:row r="173" ht="18" customHeight="1">
      <x:c r="A173" s="1"/>
      <x:c r="B173" s="1"/>
      <x:c r="C173" s="1"/>
      <x:c r="D173" s="1"/>
      <x:c r="E173" s="1"/>
      <x:c r="F173" s="1"/>
      <x:c r="G173" s="1"/>
      <x:c r="H173" s="1"/>
      <x:c r="I173" s="1"/>
      <x:c r="J173" s="1"/>
      <x:c r="K173" s="1"/>
      <x:c r="L173" s="1"/>
      <x:c r="M173" s="1"/>
      <x:c r="N173" s="1"/>
      <x:c r="O173" s="1"/>
      <x:c r="P173" s="1"/>
      <x:c r="Q173" s="1"/>
      <x:c r="R173" s="1"/>
      <x:c r="S173" s="1"/>
      <x:c r="T173" s="1"/>
    </x:row>
    <x:row r="174" ht="18" customHeight="1">
      <x:c r="A174" s="1"/>
      <x:c r="B174" s="1"/>
      <x:c r="C174" s="1"/>
      <x:c r="D174" s="1"/>
      <x:c r="E174" s="1"/>
      <x:c r="F174" s="1"/>
      <x:c r="G174" s="1"/>
      <x:c r="H174" s="1"/>
      <x:c r="I174" s="1"/>
      <x:c r="J174" s="1"/>
      <x:c r="K174" s="1"/>
      <x:c r="L174" s="1"/>
      <x:c r="M174" s="1"/>
      <x:c r="N174" s="1"/>
      <x:c r="O174" s="1"/>
      <x:c r="P174" s="1"/>
      <x:c r="Q174" s="1"/>
      <x:c r="R174" s="1"/>
      <x:c r="S174" s="1"/>
      <x:c r="T174" s="1"/>
    </x:row>
    <x:row r="175" ht="18" customHeight="1">
      <x:c r="A175" s="1"/>
      <x:c r="B175" s="1"/>
      <x:c r="C175" s="1"/>
      <x:c r="D175" s="1"/>
      <x:c r="E175" s="1"/>
      <x:c r="F175" s="1"/>
      <x:c r="G175" s="1"/>
      <x:c r="H175" s="1"/>
      <x:c r="I175" s="1"/>
      <x:c r="J175" s="1"/>
      <x:c r="K175" s="1"/>
      <x:c r="L175" s="1"/>
      <x:c r="M175" s="1"/>
      <x:c r="N175" s="1"/>
      <x:c r="O175" s="1"/>
      <x:c r="P175" s="1"/>
      <x:c r="Q175" s="1"/>
      <x:c r="R175" s="1"/>
      <x:c r="S175" s="1"/>
      <x:c r="T175" s="1"/>
    </x:row>
    <x:row r="176" ht="18" customHeight="1">
      <x:c r="A176" s="1"/>
      <x:c r="B176" s="1"/>
      <x:c r="C176" s="1"/>
      <x:c r="D176" s="1"/>
      <x:c r="E176" s="1"/>
      <x:c r="F176" s="1"/>
      <x:c r="G176" s="1"/>
      <x:c r="H176" s="1"/>
      <x:c r="I176" s="1"/>
      <x:c r="J176" s="1"/>
      <x:c r="K176" s="1"/>
      <x:c r="L176" s="1"/>
      <x:c r="M176" s="1"/>
      <x:c r="N176" s="1"/>
      <x:c r="O176" s="1"/>
      <x:c r="P176" s="1"/>
      <x:c r="Q176" s="1"/>
      <x:c r="R176" s="1"/>
      <x:c r="S176" s="1"/>
      <x:c r="T176" s="1"/>
    </x:row>
    <x:row r="177" ht="18" customHeight="1">
      <x:c r="A177" s="1"/>
      <x:c r="B177" s="1"/>
      <x:c r="C177" s="1"/>
      <x:c r="D177" s="1"/>
      <x:c r="E177" s="1"/>
      <x:c r="F177" s="1"/>
      <x:c r="G177" s="1"/>
      <x:c r="H177" s="1"/>
      <x:c r="I177" s="1"/>
      <x:c r="J177" s="1"/>
      <x:c r="K177" s="1"/>
      <x:c r="L177" s="1"/>
      <x:c r="M177" s="1"/>
      <x:c r="N177" s="1"/>
      <x:c r="O177" s="1"/>
      <x:c r="P177" s="1"/>
      <x:c r="Q177" s="1"/>
      <x:c r="R177" s="1"/>
      <x:c r="S177" s="1"/>
      <x:c r="T177" s="1"/>
    </x:row>
    <x:row r="178" ht="18" customHeight="1">
      <x:c r="A178" s="1"/>
      <x:c r="B178" s="1"/>
      <x:c r="C178" s="1"/>
      <x:c r="D178" s="1"/>
      <x:c r="E178" s="1"/>
      <x:c r="F178" s="1"/>
      <x:c r="G178" s="1"/>
      <x:c r="H178" s="1"/>
      <x:c r="I178" s="1"/>
      <x:c r="J178" s="1"/>
      <x:c r="K178" s="1"/>
      <x:c r="L178" s="1"/>
      <x:c r="M178" s="1"/>
      <x:c r="N178" s="1"/>
      <x:c r="O178" s="1"/>
      <x:c r="P178" s="1"/>
      <x:c r="Q178" s="1"/>
      <x:c r="R178" s="1"/>
      <x:c r="S178" s="1"/>
      <x:c r="T178" s="1"/>
    </x:row>
    <x:row r="179" ht="18" customHeight="1">
      <x:c r="A179" s="1"/>
      <x:c r="B179" s="1"/>
      <x:c r="C179" s="1"/>
      <x:c r="D179" s="1"/>
      <x:c r="E179" s="1"/>
      <x:c r="F179" s="1"/>
      <x:c r="G179" s="1"/>
      <x:c r="H179" s="1"/>
      <x:c r="I179" s="1"/>
      <x:c r="J179" s="1"/>
      <x:c r="K179" s="1"/>
      <x:c r="L179" s="1"/>
      <x:c r="M179" s="1"/>
      <x:c r="N179" s="1"/>
      <x:c r="O179" s="1"/>
      <x:c r="P179" s="1"/>
      <x:c r="Q179" s="1"/>
      <x:c r="R179" s="1"/>
      <x:c r="S179" s="1"/>
      <x:c r="T179" s="1"/>
    </x:row>
    <x:row r="180" ht="18" customHeight="1">
      <x:c r="A180" s="1"/>
      <x:c r="B180" s="1"/>
      <x:c r="C180" s="1"/>
      <x:c r="D180" s="1"/>
      <x:c r="E180" s="1"/>
      <x:c r="F180" s="1"/>
      <x:c r="G180" s="1"/>
      <x:c r="H180" s="1"/>
      <x:c r="I180" s="1"/>
      <x:c r="J180" s="1"/>
      <x:c r="K180" s="1"/>
      <x:c r="L180" s="1"/>
      <x:c r="M180" s="1"/>
      <x:c r="N180" s="1"/>
      <x:c r="O180" s="1"/>
      <x:c r="P180" s="1"/>
      <x:c r="Q180" s="1"/>
      <x:c r="R180" s="1"/>
      <x:c r="S180" s="1"/>
      <x:c r="T180" s="1"/>
    </x:row>
    <x:row r="181" ht="18" customHeight="1">
      <x:c r="A181" s="1"/>
      <x:c r="B181" s="1"/>
      <x:c r="C181" s="1"/>
      <x:c r="D181" s="1"/>
      <x:c r="E181" s="1"/>
      <x:c r="F181" s="1"/>
      <x:c r="G181" s="1"/>
      <x:c r="H181" s="1"/>
      <x:c r="I181" s="1"/>
      <x:c r="J181" s="1"/>
      <x:c r="K181" s="1"/>
      <x:c r="L181" s="1"/>
      <x:c r="M181" s="1"/>
      <x:c r="N181" s="1"/>
      <x:c r="O181" s="1"/>
      <x:c r="P181" s="1"/>
      <x:c r="Q181" s="1"/>
      <x:c r="R181" s="1"/>
      <x:c r="S181" s="1"/>
      <x:c r="T181" s="1"/>
    </x:row>
    <x:row r="182" ht="18" customHeight="1">
      <x:c r="A182" s="1"/>
      <x:c r="B182" s="1"/>
      <x:c r="C182" s="1"/>
      <x:c r="D182" s="1"/>
      <x:c r="E182" s="1"/>
      <x:c r="F182" s="1"/>
      <x:c r="G182" s="1"/>
      <x:c r="H182" s="1"/>
      <x:c r="I182" s="1"/>
      <x:c r="J182" s="1"/>
      <x:c r="K182" s="1"/>
      <x:c r="L182" s="1"/>
      <x:c r="M182" s="1"/>
      <x:c r="N182" s="1"/>
      <x:c r="O182" s="1"/>
      <x:c r="P182" s="1"/>
      <x:c r="Q182" s="1"/>
      <x:c r="R182" s="1"/>
      <x:c r="S182" s="1"/>
      <x:c r="T182" s="1"/>
    </x:row>
    <x:row r="183" ht="18" customHeight="1">
      <x:c r="A183" s="1"/>
      <x:c r="B183" s="1"/>
      <x:c r="C183" s="1"/>
      <x:c r="D183" s="1"/>
      <x:c r="E183" s="1"/>
      <x:c r="F183" s="1"/>
      <x:c r="G183" s="1"/>
      <x:c r="H183" s="1"/>
      <x:c r="I183" s="1"/>
      <x:c r="J183" s="1"/>
      <x:c r="K183" s="1"/>
      <x:c r="L183" s="1"/>
      <x:c r="M183" s="1"/>
      <x:c r="N183" s="1"/>
      <x:c r="O183" s="1"/>
      <x:c r="P183" s="1"/>
      <x:c r="Q183" s="1"/>
      <x:c r="R183" s="1"/>
      <x:c r="S183" s="1"/>
      <x:c r="T183" s="1"/>
    </x:row>
    <x:row r="184" ht="18" customHeight="1">
      <x:c r="A184" s="1"/>
      <x:c r="B184" s="1"/>
      <x:c r="C184" s="1"/>
      <x:c r="D184" s="1"/>
      <x:c r="E184" s="1"/>
      <x:c r="F184" s="1"/>
      <x:c r="G184" s="1"/>
      <x:c r="H184" s="1"/>
      <x:c r="I184" s="1"/>
      <x:c r="J184" s="1"/>
      <x:c r="K184" s="1"/>
      <x:c r="L184" s="1"/>
      <x:c r="M184" s="1"/>
      <x:c r="N184" s="1"/>
      <x:c r="O184" s="1"/>
      <x:c r="P184" s="1"/>
      <x:c r="Q184" s="1"/>
      <x:c r="R184" s="1"/>
      <x:c r="S184" s="1"/>
      <x:c r="T184" s="1"/>
    </x:row>
    <x:row r="185" ht="18" customHeight="1">
      <x:c r="A185" s="1"/>
      <x:c r="B185" s="1"/>
      <x:c r="C185" s="1"/>
      <x:c r="D185" s="1"/>
      <x:c r="E185" s="1"/>
      <x:c r="F185" s="1"/>
      <x:c r="G185" s="1"/>
      <x:c r="H185" s="1"/>
      <x:c r="I185" s="1"/>
      <x:c r="J185" s="1"/>
      <x:c r="K185" s="1"/>
      <x:c r="L185" s="1"/>
      <x:c r="M185" s="1"/>
      <x:c r="N185" s="1"/>
      <x:c r="O185" s="1"/>
      <x:c r="P185" s="1"/>
      <x:c r="Q185" s="1"/>
      <x:c r="R185" s="1"/>
      <x:c r="S185" s="1"/>
      <x:c r="T185" s="1"/>
    </x:row>
    <x:row r="186" ht="18" customHeight="1">
      <x:c r="A186" s="1"/>
      <x:c r="B186" s="1"/>
      <x:c r="C186" s="1"/>
      <x:c r="D186" s="1"/>
      <x:c r="E186" s="1"/>
      <x:c r="F186" s="1"/>
      <x:c r="G186" s="1"/>
      <x:c r="H186" s="1"/>
      <x:c r="I186" s="1"/>
      <x:c r="J186" s="1"/>
      <x:c r="K186" s="1"/>
      <x:c r="L186" s="1"/>
      <x:c r="M186" s="1"/>
      <x:c r="N186" s="1"/>
      <x:c r="O186" s="1"/>
      <x:c r="P186" s="1"/>
      <x:c r="Q186" s="1"/>
      <x:c r="R186" s="1"/>
      <x:c r="S186" s="1"/>
      <x:c r="T186" s="1"/>
    </x:row>
    <x:row r="187" ht="18" customHeight="1">
      <x:c r="A187" s="1"/>
      <x:c r="B187" s="1"/>
      <x:c r="C187" s="1"/>
      <x:c r="D187" s="1"/>
      <x:c r="E187" s="1"/>
      <x:c r="F187" s="1"/>
      <x:c r="G187" s="1"/>
      <x:c r="H187" s="1"/>
      <x:c r="I187" s="1"/>
      <x:c r="J187" s="1"/>
      <x:c r="K187" s="1"/>
      <x:c r="L187" s="1"/>
      <x:c r="M187" s="1"/>
      <x:c r="N187" s="1"/>
      <x:c r="O187" s="1"/>
      <x:c r="P187" s="1"/>
      <x:c r="Q187" s="1"/>
      <x:c r="R187" s="1"/>
      <x:c r="S187" s="1"/>
      <x:c r="T187" s="1"/>
    </x:row>
    <x:row r="188" ht="18" customHeight="1">
      <x:c r="A188" s="1"/>
      <x:c r="B188" s="1"/>
      <x:c r="C188" s="1"/>
      <x:c r="D188" s="1"/>
      <x:c r="E188" s="1"/>
      <x:c r="F188" s="1"/>
      <x:c r="G188" s="1"/>
      <x:c r="H188" s="1"/>
      <x:c r="I188" s="1"/>
      <x:c r="J188" s="1"/>
      <x:c r="K188" s="1"/>
      <x:c r="L188" s="1"/>
      <x:c r="M188" s="1"/>
      <x:c r="N188" s="1"/>
      <x:c r="O188" s="1"/>
      <x:c r="P188" s="1"/>
      <x:c r="Q188" s="1"/>
      <x:c r="R188" s="1"/>
      <x:c r="S188" s="1"/>
      <x:c r="T188" s="1"/>
    </x:row>
    <x:row r="189" ht="18" customHeight="1">
      <x:c r="A189" s="1"/>
      <x:c r="B189" s="1"/>
      <x:c r="C189" s="1"/>
      <x:c r="D189" s="1"/>
      <x:c r="E189" s="1"/>
      <x:c r="F189" s="1"/>
      <x:c r="G189" s="1"/>
      <x:c r="H189" s="1"/>
      <x:c r="I189" s="1"/>
      <x:c r="J189" s="1"/>
      <x:c r="K189" s="1"/>
      <x:c r="L189" s="1"/>
      <x:c r="M189" s="1"/>
      <x:c r="N189" s="1"/>
      <x:c r="O189" s="1"/>
      <x:c r="P189" s="1"/>
      <x:c r="Q189" s="1"/>
      <x:c r="R189" s="1"/>
      <x:c r="S189" s="1"/>
      <x:c r="T189" s="1"/>
    </x:row>
    <x:row r="190" ht="18" customHeight="1">
      <x:c r="A190" s="1"/>
      <x:c r="B190" s="1"/>
      <x:c r="C190" s="1"/>
      <x:c r="D190" s="1"/>
      <x:c r="E190" s="1"/>
      <x:c r="F190" s="1"/>
      <x:c r="G190" s="1"/>
      <x:c r="H190" s="1"/>
      <x:c r="I190" s="1"/>
      <x:c r="J190" s="1"/>
      <x:c r="K190" s="1"/>
      <x:c r="L190" s="1"/>
      <x:c r="M190" s="1"/>
      <x:c r="N190" s="1"/>
      <x:c r="O190" s="1"/>
      <x:c r="P190" s="1"/>
      <x:c r="Q190" s="1"/>
      <x:c r="R190" s="1"/>
      <x:c r="S190" s="1"/>
      <x:c r="T190" s="1"/>
    </x:row>
    <x:row r="191" ht="18" customHeight="1">
      <x:c r="A191" s="1"/>
      <x:c r="B191" s="1"/>
      <x:c r="C191" s="1"/>
      <x:c r="D191" s="1"/>
      <x:c r="E191" s="1"/>
      <x:c r="F191" s="1"/>
      <x:c r="G191" s="1"/>
      <x:c r="H191" s="1"/>
      <x:c r="I191" s="1"/>
      <x:c r="J191" s="1"/>
      <x:c r="K191" s="1"/>
      <x:c r="L191" s="1"/>
      <x:c r="M191" s="1"/>
      <x:c r="N191" s="1"/>
      <x:c r="O191" s="1"/>
      <x:c r="P191" s="1"/>
      <x:c r="Q191" s="1"/>
      <x:c r="R191" s="1"/>
      <x:c r="S191" s="1"/>
      <x:c r="T191" s="1"/>
    </x:row>
    <x:row r="192" ht="18" customHeight="1">
      <x:c r="A192" s="1"/>
      <x:c r="B192" s="1"/>
      <x:c r="C192" s="1"/>
      <x:c r="D192" s="1"/>
      <x:c r="E192" s="1"/>
      <x:c r="F192" s="1"/>
      <x:c r="G192" s="1"/>
      <x:c r="H192" s="1"/>
      <x:c r="I192" s="1"/>
      <x:c r="J192" s="1"/>
      <x:c r="K192" s="1"/>
      <x:c r="L192" s="1"/>
      <x:c r="M192" s="1"/>
      <x:c r="N192" s="1"/>
      <x:c r="O192" s="1"/>
      <x:c r="P192" s="1"/>
      <x:c r="Q192" s="1"/>
      <x:c r="R192" s="1"/>
      <x:c r="S192" s="1"/>
      <x:c r="T192" s="1"/>
    </x:row>
    <x:row r="193" ht="18" customHeight="1">
      <x:c r="A193" s="1"/>
      <x:c r="B193" s="1"/>
      <x:c r="C193" s="1"/>
      <x:c r="D193" s="1"/>
      <x:c r="E193" s="1"/>
      <x:c r="F193" s="1"/>
      <x:c r="G193" s="1"/>
      <x:c r="H193" s="1"/>
      <x:c r="I193" s="1"/>
      <x:c r="J193" s="1"/>
      <x:c r="K193" s="1"/>
      <x:c r="L193" s="1"/>
      <x:c r="M193" s="1"/>
      <x:c r="N193" s="1"/>
      <x:c r="O193" s="1"/>
      <x:c r="P193" s="1"/>
      <x:c r="Q193" s="1"/>
      <x:c r="R193" s="1"/>
      <x:c r="S193" s="1"/>
      <x:c r="T193" s="1"/>
    </x:row>
    <x:row r="194" ht="18" customHeight="1">
      <x:c r="A194" s="1"/>
      <x:c r="B194" s="1"/>
      <x:c r="C194" s="1"/>
      <x:c r="D194" s="1"/>
      <x:c r="E194" s="1"/>
      <x:c r="F194" s="1"/>
      <x:c r="G194" s="1"/>
      <x:c r="H194" s="1"/>
      <x:c r="I194" s="1"/>
      <x:c r="J194" s="1"/>
      <x:c r="K194" s="1"/>
      <x:c r="L194" s="1"/>
      <x:c r="M194" s="1"/>
      <x:c r="N194" s="1"/>
      <x:c r="O194" s="1"/>
      <x:c r="P194" s="1"/>
      <x:c r="Q194" s="1"/>
      <x:c r="R194" s="1"/>
      <x:c r="S194" s="1"/>
      <x:c r="T194" s="1"/>
    </x:row>
    <x:row r="195" ht="18" customHeight="1">
      <x:c r="A195" s="1"/>
      <x:c r="B195" s="1"/>
      <x:c r="C195" s="1"/>
      <x:c r="D195" s="1"/>
      <x:c r="E195" s="1"/>
      <x:c r="F195" s="1"/>
      <x:c r="G195" s="1"/>
      <x:c r="H195" s="1"/>
      <x:c r="I195" s="1"/>
      <x:c r="J195" s="1"/>
      <x:c r="K195" s="1"/>
      <x:c r="L195" s="1"/>
      <x:c r="M195" s="1"/>
      <x:c r="N195" s="1"/>
      <x:c r="O195" s="1"/>
      <x:c r="P195" s="1"/>
      <x:c r="Q195" s="1"/>
      <x:c r="R195" s="1"/>
      <x:c r="S195" s="1"/>
      <x:c r="T195" s="1"/>
    </x:row>
    <x:row r="196" ht="18" customHeight="1">
      <x:c r="A196" s="1"/>
      <x:c r="B196" s="1"/>
      <x:c r="C196" s="1"/>
      <x:c r="D196" s="1"/>
      <x:c r="E196" s="1"/>
      <x:c r="F196" s="1"/>
      <x:c r="G196" s="1"/>
      <x:c r="H196" s="1"/>
      <x:c r="I196" s="1"/>
      <x:c r="J196" s="1"/>
      <x:c r="K196" s="1"/>
      <x:c r="L196" s="1"/>
      <x:c r="M196" s="1"/>
      <x:c r="N196" s="1"/>
      <x:c r="O196" s="1"/>
      <x:c r="P196" s="1"/>
      <x:c r="Q196" s="1"/>
      <x:c r="R196" s="1"/>
      <x:c r="S196" s="1"/>
      <x:c r="T196" s="1"/>
    </x:row>
    <x:row r="197" ht="18" customHeight="1">
      <x:c r="A197" s="1"/>
      <x:c r="B197" s="1"/>
      <x:c r="C197" s="1"/>
      <x:c r="D197" s="1"/>
      <x:c r="E197" s="1"/>
      <x:c r="F197" s="1"/>
      <x:c r="G197" s="1"/>
      <x:c r="H197" s="1"/>
      <x:c r="I197" s="1"/>
      <x:c r="J197" s="1"/>
      <x:c r="K197" s="1"/>
      <x:c r="L197" s="1"/>
      <x:c r="M197" s="1"/>
      <x:c r="N197" s="1"/>
      <x:c r="O197" s="1"/>
      <x:c r="P197" s="1"/>
      <x:c r="Q197" s="1"/>
      <x:c r="R197" s="1"/>
      <x:c r="S197" s="1"/>
      <x:c r="T197" s="1"/>
    </x:row>
    <x:row r="198" ht="18" customHeight="1">
      <x:c r="A198" s="1"/>
      <x:c r="B198" s="1"/>
      <x:c r="C198" s="1"/>
      <x:c r="D198" s="1"/>
      <x:c r="E198" s="1"/>
      <x:c r="F198" s="1"/>
      <x:c r="G198" s="1"/>
      <x:c r="H198" s="1"/>
      <x:c r="I198" s="1"/>
      <x:c r="J198" s="1"/>
      <x:c r="K198" s="1"/>
      <x:c r="L198" s="1"/>
      <x:c r="M198" s="1"/>
      <x:c r="N198" s="1"/>
      <x:c r="O198" s="1"/>
      <x:c r="P198" s="1"/>
      <x:c r="Q198" s="1"/>
      <x:c r="R198" s="1"/>
      <x:c r="S198" s="1"/>
      <x:c r="T198" s="1"/>
    </x:row>
    <x:row r="199" ht="18" customHeight="1">
      <x:c r="A199" s="1"/>
      <x:c r="B199" s="1"/>
      <x:c r="C199" s="1"/>
      <x:c r="D199" s="1"/>
      <x:c r="E199" s="1"/>
      <x:c r="F199" s="1"/>
      <x:c r="G199" s="1"/>
      <x:c r="H199" s="1"/>
      <x:c r="I199" s="1"/>
      <x:c r="J199" s="1"/>
      <x:c r="K199" s="1"/>
      <x:c r="L199" s="1"/>
      <x:c r="M199" s="1"/>
      <x:c r="N199" s="1"/>
      <x:c r="O199" s="1"/>
      <x:c r="P199" s="1"/>
      <x:c r="Q199" s="1"/>
      <x:c r="R199" s="1"/>
      <x:c r="S199" s="1"/>
      <x:c r="T199" s="1"/>
    </x:row>
    <x:row r="200" ht="18" customHeight="1">
      <x:c r="A200" s="1"/>
      <x:c r="B200" s="1"/>
      <x:c r="C200" s="1"/>
      <x:c r="D200" s="1"/>
      <x:c r="E200" s="1"/>
      <x:c r="F200" s="1"/>
      <x:c r="G200" s="1"/>
      <x:c r="H200" s="1"/>
      <x:c r="I200" s="1"/>
      <x:c r="J200" s="1"/>
      <x:c r="K200" s="1"/>
      <x:c r="L200" s="1"/>
      <x:c r="M200" s="1"/>
      <x:c r="N200" s="1"/>
      <x:c r="O200" s="1"/>
      <x:c r="P200" s="1"/>
      <x:c r="Q200" s="1"/>
      <x:c r="R200" s="1"/>
      <x:c r="S200" s="1"/>
      <x:c r="T200" s="1"/>
    </x:row>
    <x:row r="201" ht="18" customHeight="1">
      <x:c r="A201" s="1"/>
      <x:c r="B201" s="1"/>
      <x:c r="C201" s="1"/>
      <x:c r="D201" s="1"/>
      <x:c r="E201" s="1"/>
      <x:c r="F201" s="1"/>
      <x:c r="G201" s="1"/>
      <x:c r="H201" s="1"/>
      <x:c r="I201" s="1"/>
      <x:c r="J201" s="1"/>
      <x:c r="K201" s="1"/>
      <x:c r="L201" s="1"/>
      <x:c r="M201" s="1"/>
      <x:c r="N201" s="1"/>
      <x:c r="O201" s="1"/>
      <x:c r="P201" s="1"/>
      <x:c r="Q201" s="1"/>
      <x:c r="R201" s="1"/>
      <x:c r="S201" s="1"/>
      <x:c r="T201" s="1"/>
    </x:row>
    <x:row r="202" ht="18" customHeight="1">
      <x:c r="A202" s="1"/>
      <x:c r="B202" s="1"/>
      <x:c r="C202" s="1"/>
      <x:c r="D202" s="1"/>
      <x:c r="E202" s="1"/>
      <x:c r="F202" s="1"/>
      <x:c r="G202" s="1"/>
      <x:c r="H202" s="1"/>
      <x:c r="I202" s="1"/>
      <x:c r="J202" s="1"/>
      <x:c r="K202" s="1"/>
      <x:c r="L202" s="1"/>
      <x:c r="M202" s="1"/>
      <x:c r="N202" s="1"/>
      <x:c r="O202" s="1"/>
      <x:c r="P202" s="1"/>
      <x:c r="Q202" s="1"/>
      <x:c r="R202" s="1"/>
      <x:c r="S202" s="1"/>
      <x:c r="T202" s="1"/>
    </x:row>
    <x:row r="203" ht="18" customHeight="1">
      <x:c r="A203" s="1"/>
      <x:c r="B203" s="1"/>
      <x:c r="C203" s="1"/>
      <x:c r="D203" s="1"/>
      <x:c r="E203" s="1"/>
      <x:c r="F203" s="1"/>
      <x:c r="G203" s="1"/>
      <x:c r="H203" s="1"/>
      <x:c r="I203" s="1"/>
      <x:c r="J203" s="1"/>
      <x:c r="K203" s="1"/>
      <x:c r="L203" s="1"/>
      <x:c r="M203" s="1"/>
      <x:c r="N203" s="1"/>
      <x:c r="O203" s="1"/>
      <x:c r="P203" s="1"/>
      <x:c r="Q203" s="1"/>
      <x:c r="R203" s="1"/>
      <x:c r="S203" s="1"/>
      <x:c r="T203" s="1"/>
    </x:row>
    <x:row r="204" ht="18" customHeight="1">
      <x:c r="A204" s="1"/>
      <x:c r="B204" s="1"/>
      <x:c r="C204" s="1"/>
      <x:c r="D204" s="1"/>
      <x:c r="E204" s="1"/>
      <x:c r="F204" s="1"/>
      <x:c r="G204" s="1"/>
      <x:c r="H204" s="1"/>
      <x:c r="I204" s="1"/>
      <x:c r="J204" s="1"/>
      <x:c r="K204" s="1"/>
      <x:c r="L204" s="1"/>
      <x:c r="M204" s="1"/>
      <x:c r="N204" s="1"/>
      <x:c r="O204" s="1"/>
      <x:c r="P204" s="1"/>
      <x:c r="Q204" s="1"/>
      <x:c r="R204" s="1"/>
      <x:c r="S204" s="1"/>
      <x:c r="T204" s="1"/>
    </x:row>
    <x:row r="205" ht="18" customHeight="1">
      <x:c r="A205" s="1"/>
      <x:c r="B205" s="1"/>
      <x:c r="C205" s="1"/>
      <x:c r="D205" s="1"/>
      <x:c r="E205" s="1"/>
      <x:c r="F205" s="1"/>
      <x:c r="G205" s="1"/>
      <x:c r="H205" s="1"/>
      <x:c r="I205" s="1"/>
      <x:c r="J205" s="1"/>
      <x:c r="K205" s="1"/>
      <x:c r="L205" s="1"/>
      <x:c r="M205" s="1"/>
      <x:c r="N205" s="1"/>
      <x:c r="O205" s="1"/>
      <x:c r="P205" s="1"/>
      <x:c r="Q205" s="1"/>
      <x:c r="R205" s="1"/>
      <x:c r="S205" s="1"/>
      <x:c r="T205" s="1"/>
    </x:row>
    <x:row r="206" ht="18" customHeight="1">
      <x:c r="A206" s="1"/>
      <x:c r="B206" s="1"/>
      <x:c r="C206" s="1"/>
      <x:c r="D206" s="1"/>
      <x:c r="E206" s="1"/>
      <x:c r="F206" s="1"/>
      <x:c r="G206" s="1"/>
      <x:c r="H206" s="1"/>
      <x:c r="I206" s="1"/>
      <x:c r="J206" s="1"/>
      <x:c r="K206" s="1"/>
      <x:c r="L206" s="1"/>
      <x:c r="M206" s="1"/>
      <x:c r="N206" s="1"/>
      <x:c r="O206" s="1"/>
      <x:c r="P206" s="1"/>
      <x:c r="Q206" s="1"/>
      <x:c r="R206" s="1"/>
      <x:c r="S206" s="1"/>
      <x:c r="T206" s="1"/>
    </x:row>
    <x:row r="207" ht="18" customHeight="1">
      <x:c r="A207" s="1"/>
      <x:c r="B207" s="1"/>
      <x:c r="C207" s="1"/>
      <x:c r="D207" s="1"/>
      <x:c r="E207" s="1"/>
      <x:c r="F207" s="1"/>
      <x:c r="G207" s="1"/>
      <x:c r="H207" s="1"/>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sheetData>
  <x:mergeCells>
    <x:mergeCell ref="B3:H3"/>
    <x:mergeCell ref="B4:H4"/>
  </x:mergeCells>
  <x:conditionalFormatting sqref="B8:H19">
    <x:cfRule type="expression" dxfId="3" priority="1">
      <x:formula>$G8="geklärt"</x:formula>
    </x:cfRule>
  </x:conditionalFormatting>
  <x:dataValidations count="1">
    <x:dataValidation type="list" sqref="G8:G19">
      <x:formula1>"offen,teilweise geklärt,geklärt,entfällt"</x:formula1>
    </x:dataValidation>
  </x:dataValidations>
  <x:pageMargins left="0.7" right="0.7" top="0.75" bottom="0.75" header="0.3" footer="0.3"/>
</x:worksheet>
</file>

<file path=xl/worksheets/sheet16.xml><?xml version="1.0" encoding="utf-8"?>
<x:worksheet xmlns:x="http://schemas.openxmlformats.org/spreadsheetml/2006/main">
  <x:sheetViews>
    <x:sheetView showGridLines="1" workbookViewId="0"/>
  </x:sheetViews>
  <x:sheetFormatPr defaultRowHeight="15"/>
  <x:cols>
    <x:col min="1" max="1" width="8.050000190734863" hidden="0" customWidth="1"/>
    <x:col min="2" max="2" width="23" hidden="0" customWidth="1"/>
    <x:col min="3" max="3" width="43.0099983215332" hidden="0" customWidth="1"/>
    <x:col min="4" max="4" width="8.050000190734863" hidden="0" customWidth="1"/>
    <x:col min="5" max="5" width="8.050000190734863" hidden="0" customWidth="1"/>
    <x:col min="6" max="6" width="8.050000190734863" hidden="0" customWidth="1"/>
    <x:col min="7" max="7" width="8.050000190734863" hidden="0" customWidth="1"/>
    <x:col min="8" max="8" width="8.050000190734863" hidden="0" customWidth="1"/>
    <x:col min="9" max="9" width="8.050000190734863" hidden="0" customWidth="1"/>
    <x:col min="10" max="10" width="8.050000190734863" hidden="0" customWidth="1"/>
    <x:col min="11" max="11" width="8.050000190734863" hidden="0" customWidth="1"/>
    <x:col min="12" max="12" width="8.050000190734863" hidden="0" customWidth="1"/>
    <x:col min="13" max="13" width="8.050000190734863" hidden="0" customWidth="1"/>
    <x:col min="14" max="14" width="8.050000190734863" hidden="0" customWidth="1"/>
    <x:col min="15" max="15" width="8.050000190734863" hidden="0" customWidth="1"/>
    <x:col min="16" max="16" width="8.050000190734863" hidden="0" customWidth="1"/>
    <x:col min="17" max="17" width="8.050000190734863" hidden="0" customWidth="1"/>
    <x:col min="18" max="18" width="8.050000190734863" hidden="0" customWidth="1"/>
    <x:col min="19" max="19" width="8.050000190734863" hidden="0" customWidth="1"/>
    <x:col min="20" max="20" width="8.050000190734863" hidden="0" customWidth="1"/>
  </x:cols>
  <x:sheetData>
    <x:row r="1" ht="18" customHeight="1">
      <x:c r="A1" s="1"/>
      <x:c r="B1" s="1"/>
      <x:c r="C1" s="1"/>
      <x:c r="D1" s="1"/>
      <x:c r="E1" s="1"/>
      <x:c r="F1" s="1"/>
      <x:c r="G1" s="1"/>
      <x:c r="H1" s="1"/>
      <x:c r="I1" s="1"/>
      <x:c r="J1" s="1"/>
      <x:c r="K1" s="1"/>
      <x:c r="L1" s="1"/>
      <x:c r="M1" s="1"/>
      <x:c r="N1" s="1"/>
      <x:c r="O1" s="1"/>
      <x:c r="P1" s="1"/>
      <x:c r="Q1" s="1"/>
      <x:c r="R1" s="1"/>
      <x:c r="S1" s="1"/>
      <x:c r="T1" s="1"/>
    </x:row>
    <x:row r="2" ht="18" customHeight="1">
      <x:c r="A2" s="1"/>
      <x:c r="B2" s="1"/>
      <x:c r="C2" s="1"/>
      <x:c r="D2" s="1"/>
      <x:c r="E2" s="1"/>
      <x:c r="F2" s="1"/>
      <x:c r="G2" s="1"/>
      <x:c r="H2" s="1"/>
      <x:c r="I2" s="1"/>
      <x:c r="J2" s="1"/>
      <x:c r="K2" s="1"/>
      <x:c r="L2" s="1"/>
      <x:c r="M2" s="1"/>
      <x:c r="N2" s="1"/>
      <x:c r="O2" s="1"/>
      <x:c r="P2" s="1"/>
      <x:c r="Q2" s="1"/>
      <x:c r="R2" s="1"/>
      <x:c r="S2" s="1"/>
      <x:c r="T2" s="1"/>
    </x:row>
    <x:row r="3" ht="31.012500762939453" customHeight="1">
      <x:c r="A3" s="1"/>
      <x:c r="B3" s="5" t="str">
        <x:v>Klassenleitung · Einstellungen</x:v>
      </x:c>
      <x:c r="C3" s="5"/>
      <x:c r="D3" s="5"/>
      <x:c r="E3" s="5"/>
      <x:c r="F3" s="5"/>
      <x:c r="G3" s="5"/>
      <x:c r="H3" s="5"/>
      <x:c r="I3" s="1"/>
      <x:c r="J3" s="1"/>
      <x:c r="K3" s="1"/>
      <x:c r="L3" s="1"/>
      <x:c r="M3" s="1"/>
      <x:c r="N3" s="1"/>
      <x:c r="O3" s="1"/>
      <x:c r="P3" s="1"/>
      <x:c r="Q3" s="1"/>
      <x:c r="R3" s="1"/>
      <x:c r="S3" s="1"/>
      <x:c r="T3" s="1"/>
    </x:row>
    <x:row r="4" ht="20.017499923706055" customHeight="1">
      <x:c r="A4" s="1"/>
      <x:c r="B4" s="8" t="str">
        <x:v>Wenige zentrale Vorgaben; alles Weitere bleibt optional</x:v>
      </x:c>
      <x:c r="C4" s="8"/>
      <x:c r="D4" s="8"/>
      <x:c r="E4" s="8"/>
      <x:c r="F4" s="8"/>
      <x:c r="G4" s="8"/>
      <x:c r="H4" s="8"/>
      <x:c r="I4" s="1"/>
      <x:c r="J4" s="1"/>
      <x:c r="K4" s="1"/>
      <x:c r="L4" s="1"/>
      <x:c r="M4" s="1"/>
      <x:c r="N4" s="1"/>
      <x:c r="O4" s="1"/>
      <x:c r="P4" s="1"/>
      <x:c r="Q4" s="1"/>
      <x:c r="R4" s="1"/>
      <x:c r="S4" s="1"/>
      <x:c r="T4" s="1"/>
    </x:row>
    <x:row r="5" ht="18" customHeight="1">
      <x:c r="A5" s="1"/>
      <x:c r="B5" s="1"/>
      <x:c r="C5" s="1"/>
      <x:c r="D5" s="1"/>
      <x:c r="E5" s="1"/>
      <x:c r="F5" s="1"/>
      <x:c r="G5" s="1"/>
      <x:c r="H5" s="1"/>
      <x:c r="I5" s="1"/>
      <x:c r="J5" s="1"/>
      <x:c r="K5" s="1"/>
      <x:c r="L5" s="1"/>
      <x:c r="M5" s="1"/>
      <x:c r="N5" s="1"/>
      <x:c r="O5" s="1"/>
      <x:c r="P5" s="1"/>
      <x:c r="Q5" s="1"/>
      <x:c r="R5" s="1"/>
      <x:c r="S5" s="1"/>
      <x:c r="T5" s="1"/>
    </x:row>
    <x:row r="6" ht="22.987499237060547" customHeight="1">
      <x:c r="A6" s="1"/>
      <x:c r="B6" s="63" t="str">
        <x:v>Grunddaten</x:v>
      </x:c>
      <x:c r="C6" s="63"/>
      <x:c r="D6" s="1"/>
      <x:c r="E6" s="1"/>
      <x:c r="F6" s="1"/>
      <x:c r="G6" s="1"/>
      <x:c r="H6" s="1"/>
      <x:c r="I6" s="1"/>
      <x:c r="J6" s="1"/>
      <x:c r="K6" s="1"/>
      <x:c r="L6" s="1"/>
      <x:c r="M6" s="1"/>
      <x:c r="N6" s="1"/>
      <x:c r="O6" s="1"/>
      <x:c r="P6" s="1"/>
      <x:c r="Q6" s="1"/>
      <x:c r="R6" s="1"/>
      <x:c r="S6" s="1"/>
      <x:c r="T6" s="1"/>
    </x:row>
    <x:row r="7" ht="22.987499237060547" customHeight="1">
      <x:c r="A7" s="1"/>
      <x:c r="B7" s="65" t="str">
        <x:v>Bezeichnung</x:v>
      </x:c>
      <x:c r="C7" s="65" t="str">
        <x:v>Wert</x:v>
      </x:c>
      <x:c r="D7" s="1"/>
      <x:c r="E7" s="1"/>
      <x:c r="F7" s="1"/>
      <x:c r="G7" s="1"/>
      <x:c r="H7" s="1"/>
      <x:c r="I7" s="1"/>
      <x:c r="J7" s="1"/>
      <x:c r="K7" s="1"/>
      <x:c r="L7" s="1"/>
      <x:c r="M7" s="1"/>
      <x:c r="N7" s="1"/>
      <x:c r="O7" s="1"/>
      <x:c r="P7" s="1"/>
      <x:c r="Q7" s="1"/>
      <x:c r="R7" s="1"/>
      <x:c r="S7" s="1"/>
      <x:c r="T7" s="1"/>
    </x:row>
    <x:row r="8" ht="18" customHeight="1">
      <x:c r="A8" s="1"/>
      <x:c r="B8" s="67" t="str">
        <x:v>Schule</x:v>
      </x:c>
      <x:c r="C8" s="68" t="str"/>
      <x:c r="D8" s="1"/>
      <x:c r="E8" s="1"/>
      <x:c r="F8" s="1"/>
      <x:c r="G8" s="1"/>
      <x:c r="H8" s="1"/>
      <x:c r="I8" s="1"/>
      <x:c r="J8" s="1"/>
      <x:c r="K8" s="1"/>
      <x:c r="L8" s="1"/>
      <x:c r="M8" s="1"/>
      <x:c r="N8" s="1"/>
      <x:c r="O8" s="1"/>
      <x:c r="P8" s="1"/>
      <x:c r="Q8" s="1"/>
      <x:c r="R8" s="1"/>
      <x:c r="S8" s="1"/>
      <x:c r="T8" s="1"/>
    </x:row>
    <x:row r="9" ht="18" customHeight="1">
      <x:c r="A9" s="1"/>
      <x:c r="B9" s="67" t="str">
        <x:v>Schuljahr</x:v>
      </x:c>
      <x:c r="C9" s="68" t="str">
        <x:v>2026/27</x:v>
      </x:c>
      <x:c r="D9" s="1"/>
      <x:c r="E9" s="1"/>
      <x:c r="F9" s="1"/>
      <x:c r="G9" s="1"/>
      <x:c r="H9" s="1"/>
      <x:c r="I9" s="1"/>
      <x:c r="J9" s="1"/>
      <x:c r="K9" s="1"/>
      <x:c r="L9" s="1"/>
      <x:c r="M9" s="1"/>
      <x:c r="N9" s="1"/>
      <x:c r="O9" s="1"/>
      <x:c r="P9" s="1"/>
      <x:c r="Q9" s="1"/>
      <x:c r="R9" s="1"/>
      <x:c r="S9" s="1"/>
      <x:c r="T9" s="1"/>
    </x:row>
    <x:row r="10" ht="18" customHeight="1">
      <x:c r="A10" s="1"/>
      <x:c r="B10" s="67" t="str">
        <x:v>Jahrgang</x:v>
      </x:c>
      <x:c r="C10" s="68" t="str"/>
      <x:c r="D10" s="1"/>
      <x:c r="E10" s="1"/>
      <x:c r="F10" s="1"/>
      <x:c r="G10" s="1"/>
      <x:c r="H10" s="1"/>
      <x:c r="I10" s="1"/>
      <x:c r="J10" s="1"/>
      <x:c r="K10" s="1"/>
      <x:c r="L10" s="1"/>
      <x:c r="M10" s="1"/>
      <x:c r="N10" s="1"/>
      <x:c r="O10" s="1"/>
      <x:c r="P10" s="1"/>
      <x:c r="Q10" s="1"/>
      <x:c r="R10" s="1"/>
      <x:c r="S10" s="1"/>
      <x:c r="T10" s="1"/>
    </x:row>
    <x:row r="11" ht="18" customHeight="1">
      <x:c r="A11" s="1"/>
      <x:c r="B11" s="67" t="str">
        <x:v>Klasse</x:v>
      </x:c>
      <x:c r="C11" s="68" t="str"/>
      <x:c r="D11" s="1"/>
      <x:c r="E11" s="1"/>
      <x:c r="F11" s="1"/>
      <x:c r="G11" s="1"/>
      <x:c r="H11" s="1"/>
      <x:c r="I11" s="1"/>
      <x:c r="J11" s="1"/>
      <x:c r="K11" s="1"/>
      <x:c r="L11" s="1"/>
      <x:c r="M11" s="1"/>
      <x:c r="N11" s="1"/>
      <x:c r="O11" s="1"/>
      <x:c r="P11" s="1"/>
      <x:c r="Q11" s="1"/>
      <x:c r="R11" s="1"/>
      <x:c r="S11" s="1"/>
      <x:c r="T11" s="1"/>
    </x:row>
    <x:row r="12" ht="18" customHeight="1">
      <x:c r="A12" s="1"/>
      <x:c r="B12" s="67" t="str">
        <x:v>Klassenleitung</x:v>
      </x:c>
      <x:c r="C12" s="68" t="str"/>
      <x:c r="D12" s="1"/>
      <x:c r="E12" s="1"/>
      <x:c r="F12" s="1"/>
      <x:c r="G12" s="1"/>
      <x:c r="H12" s="1"/>
      <x:c r="I12" s="1"/>
      <x:c r="J12" s="1"/>
      <x:c r="K12" s="1"/>
      <x:c r="L12" s="1"/>
      <x:c r="M12" s="1"/>
      <x:c r="N12" s="1"/>
      <x:c r="O12" s="1"/>
      <x:c r="P12" s="1"/>
      <x:c r="Q12" s="1"/>
      <x:c r="R12" s="1"/>
      <x:c r="S12" s="1"/>
      <x:c r="T12" s="1"/>
    </x:row>
    <x:row r="13" ht="18" customHeight="1">
      <x:c r="A13" s="1"/>
      <x:c r="B13" s="67" t="str">
        <x:v>Stellvertretung</x:v>
      </x:c>
      <x:c r="C13" s="68" t="str"/>
      <x:c r="D13" s="1"/>
      <x:c r="E13" s="1"/>
      <x:c r="F13" s="1"/>
      <x:c r="G13" s="1"/>
      <x:c r="H13" s="1"/>
      <x:c r="I13" s="1"/>
      <x:c r="J13" s="1"/>
      <x:c r="K13" s="1"/>
      <x:c r="L13" s="1"/>
      <x:c r="M13" s="1"/>
      <x:c r="N13" s="1"/>
      <x:c r="O13" s="1"/>
      <x:c r="P13" s="1"/>
      <x:c r="Q13" s="1"/>
      <x:c r="R13" s="1"/>
      <x:c r="S13" s="1"/>
      <x:c r="T13" s="1"/>
    </x:row>
    <x:row r="14" ht="18" customHeight="1">
      <x:c r="A14" s="1"/>
      <x:c r="B14" s="67" t="str">
        <x:v>Schuljahresbeginn</x:v>
      </x:c>
      <x:c r="C14" s="69" t="n">
        <x:v>46235</x:v>
      </x:c>
      <x:c r="D14" s="1"/>
      <x:c r="E14" s="1"/>
      <x:c r="F14" s="1"/>
      <x:c r="G14" s="1"/>
      <x:c r="H14" s="1"/>
      <x:c r="I14" s="1"/>
      <x:c r="J14" s="1"/>
      <x:c r="K14" s="1"/>
      <x:c r="L14" s="1"/>
      <x:c r="M14" s="1"/>
      <x:c r="N14" s="1"/>
      <x:c r="O14" s="1"/>
      <x:c r="P14" s="1"/>
      <x:c r="Q14" s="1"/>
      <x:c r="R14" s="1"/>
      <x:c r="S14" s="1"/>
      <x:c r="T14" s="1"/>
    </x:row>
    <x:row r="15" ht="18" customHeight="1">
      <x:c r="A15" s="1"/>
      <x:c r="B15" s="67" t="str">
        <x:v>Schuljahresende</x:v>
      </x:c>
      <x:c r="C15" s="69" t="n">
        <x:v>46599</x:v>
      </x:c>
      <x:c r="D15" s="1"/>
      <x:c r="E15" s="1"/>
      <x:c r="F15" s="1"/>
      <x:c r="G15" s="1"/>
      <x:c r="H15" s="1"/>
      <x:c r="I15" s="1"/>
      <x:c r="J15" s="1"/>
      <x:c r="K15" s="1"/>
      <x:c r="L15" s="1"/>
      <x:c r="M15" s="1"/>
      <x:c r="N15" s="1"/>
      <x:c r="O15" s="1"/>
      <x:c r="P15" s="1"/>
      <x:c r="Q15" s="1"/>
      <x:c r="R15" s="1"/>
      <x:c r="S15" s="1"/>
      <x:c r="T15" s="1"/>
    </x:row>
    <x:row r="16" ht="18" customHeight="1">
      <x:c r="A16" s="1"/>
      <x:c r="B16" s="67" t="str">
        <x:v>Arbeitsweise</x:v>
      </x:c>
      <x:c r="C16" s="68" t="str">
        <x:v>Standalone</x:v>
      </x:c>
      <x:c r="D16" s="1"/>
      <x:c r="E16" s="1"/>
      <x:c r="F16" s="1"/>
      <x:c r="G16" s="1"/>
      <x:c r="H16" s="1"/>
      <x:c r="I16" s="1"/>
      <x:c r="J16" s="1"/>
      <x:c r="K16" s="1"/>
      <x:c r="L16" s="1"/>
      <x:c r="M16" s="1"/>
      <x:c r="N16" s="1"/>
      <x:c r="O16" s="1"/>
      <x:c r="P16" s="1"/>
      <x:c r="Q16" s="1"/>
      <x:c r="R16" s="1"/>
      <x:c r="S16" s="1"/>
      <x:c r="T16" s="1"/>
    </x:row>
    <x:row r="17" ht="18" customHeight="1">
      <x:c r="A17" s="1"/>
      <x:c r="B17" s="67" t="str">
        <x:v>Hinweis</x:v>
      </x:c>
      <x:c r="C17" s="68" t="str">
        <x:v>Schulische Systeme später im gleichnamigen Blatt zuordnen.</x:v>
      </x:c>
      <x:c r="D17" s="1"/>
      <x:c r="E17" s="1"/>
      <x:c r="F17" s="1"/>
      <x:c r="G17" s="1"/>
      <x:c r="H17" s="1"/>
      <x:c r="I17" s="1"/>
      <x:c r="J17" s="1"/>
      <x:c r="K17" s="1"/>
      <x:c r="L17" s="1"/>
      <x:c r="M17" s="1"/>
      <x:c r="N17" s="1"/>
      <x:c r="O17" s="1"/>
      <x:c r="P17" s="1"/>
      <x:c r="Q17" s="1"/>
      <x:c r="R17" s="1"/>
      <x:c r="S17" s="1"/>
      <x:c r="T17" s="1"/>
    </x:row>
    <x:row r="18" ht="18" customHeight="1">
      <x:c r="A18" s="1"/>
      <x:c r="B18" s="1"/>
      <x:c r="C18" s="1"/>
      <x:c r="D18" s="1"/>
      <x:c r="E18" s="1"/>
      <x:c r="F18" s="1"/>
      <x:c r="G18" s="1"/>
      <x:c r="H18" s="1"/>
      <x:c r="I18" s="1"/>
      <x:c r="J18" s="1"/>
      <x:c r="K18" s="1"/>
      <x:c r="L18" s="1"/>
      <x:c r="M18" s="1"/>
      <x:c r="N18" s="1"/>
      <x:c r="O18" s="1"/>
      <x:c r="P18" s="1"/>
      <x:c r="Q18" s="1"/>
      <x:c r="R18" s="1"/>
      <x:c r="S18" s="1"/>
      <x:c r="T18" s="1"/>
    </x:row>
    <x:row r="19" ht="18" customHeight="1">
      <x:c r="A19" s="1"/>
      <x:c r="B19" s="1"/>
      <x:c r="C19" s="1"/>
      <x:c r="D19" s="1"/>
      <x:c r="E19" s="1"/>
      <x:c r="F19" s="1"/>
      <x:c r="G19" s="1"/>
      <x:c r="H19" s="1"/>
      <x:c r="I19" s="1"/>
      <x:c r="J19" s="1"/>
      <x:c r="K19" s="1"/>
      <x:c r="L19" s="1"/>
      <x:c r="M19" s="1"/>
      <x:c r="N19" s="1"/>
      <x:c r="O19" s="1"/>
      <x:c r="P19" s="1"/>
      <x:c r="Q19" s="1"/>
      <x:c r="R19" s="1"/>
      <x:c r="S19" s="1"/>
      <x:c r="T19" s="1"/>
    </x:row>
    <x:row r="20" ht="18" customHeight="1">
      <x:c r="A20" s="1"/>
      <x:c r="B20" s="1"/>
      <x:c r="C20" s="1"/>
      <x:c r="D20" s="1"/>
      <x:c r="E20" s="1"/>
      <x:c r="F20" s="1"/>
      <x:c r="G20" s="1"/>
      <x:c r="H20" s="1"/>
      <x:c r="I20" s="1"/>
      <x:c r="J20" s="1"/>
      <x:c r="K20" s="1"/>
      <x:c r="L20" s="1"/>
      <x:c r="M20" s="1"/>
      <x:c r="N20" s="1"/>
      <x:c r="O20" s="1"/>
      <x:c r="P20" s="1"/>
      <x:c r="Q20" s="1"/>
      <x:c r="R20" s="1"/>
      <x:c r="S20" s="1"/>
      <x:c r="T20" s="1"/>
    </x:row>
    <x:row r="21" ht="18" customHeight="1">
      <x:c r="A21" s="1"/>
      <x:c r="B21" s="1"/>
      <x:c r="C21" s="1"/>
      <x:c r="D21" s="1"/>
      <x:c r="E21" s="1"/>
      <x:c r="F21" s="1"/>
      <x:c r="G21" s="1"/>
      <x:c r="H21" s="1"/>
      <x:c r="I21" s="1"/>
      <x:c r="J21" s="1"/>
      <x:c r="K21" s="1"/>
      <x:c r="L21" s="1"/>
      <x:c r="M21" s="1"/>
      <x:c r="N21" s="1"/>
      <x:c r="O21" s="1"/>
      <x:c r="P21" s="1"/>
      <x:c r="Q21" s="1"/>
      <x:c r="R21" s="1"/>
      <x:c r="S21" s="1"/>
      <x:c r="T21" s="1"/>
    </x:row>
    <x:row r="22" ht="18" customHeight="1">
      <x:c r="A22" s="1"/>
      <x:c r="B22" s="1"/>
      <x:c r="C22" s="1"/>
      <x:c r="D22" s="1"/>
      <x:c r="E22" s="1"/>
      <x:c r="F22" s="1"/>
      <x:c r="G22" s="1"/>
      <x:c r="H22" s="1"/>
      <x:c r="I22" s="1"/>
      <x:c r="J22" s="1"/>
      <x:c r="K22" s="1"/>
      <x:c r="L22" s="1"/>
      <x:c r="M22" s="1"/>
      <x:c r="N22" s="1"/>
      <x:c r="O22" s="1"/>
      <x:c r="P22" s="1"/>
      <x:c r="Q22" s="1"/>
      <x:c r="R22" s="1"/>
      <x:c r="S22" s="1"/>
      <x:c r="T22" s="1"/>
    </x:row>
    <x:row r="23" ht="18" customHeight="1">
      <x:c r="A23" s="1"/>
      <x:c r="B23" s="1"/>
      <x:c r="C23" s="1"/>
      <x:c r="D23" s="1"/>
      <x:c r="E23" s="1"/>
      <x:c r="F23" s="1"/>
      <x:c r="G23" s="1"/>
      <x:c r="H23" s="1"/>
      <x:c r="I23" s="1"/>
      <x:c r="J23" s="1"/>
      <x:c r="K23" s="1"/>
      <x:c r="L23" s="1"/>
      <x:c r="M23" s="1"/>
      <x:c r="N23" s="1"/>
      <x:c r="O23" s="1"/>
      <x:c r="P23" s="1"/>
      <x:c r="Q23" s="1"/>
      <x:c r="R23" s="1"/>
      <x:c r="S23" s="1"/>
      <x:c r="T23" s="1"/>
    </x:row>
    <x:row r="24" ht="18" customHeight="1">
      <x:c r="A24" s="1"/>
      <x:c r="B24" s="1"/>
      <x:c r="C24" s="1"/>
      <x:c r="D24" s="1"/>
      <x:c r="E24" s="1"/>
      <x:c r="F24" s="1"/>
      <x:c r="G24" s="1"/>
      <x:c r="H24" s="1"/>
      <x:c r="I24" s="1"/>
      <x:c r="J24" s="1"/>
      <x:c r="K24" s="1"/>
      <x:c r="L24" s="1"/>
      <x:c r="M24" s="1"/>
      <x:c r="N24" s="1"/>
      <x:c r="O24" s="1"/>
      <x:c r="P24" s="1"/>
      <x:c r="Q24" s="1"/>
      <x:c r="R24" s="1"/>
      <x:c r="S24" s="1"/>
      <x:c r="T24" s="1"/>
    </x:row>
    <x:row r="25" ht="18" customHeight="1">
      <x:c r="A25" s="1"/>
      <x:c r="B25" s="1"/>
      <x:c r="C25" s="1"/>
      <x:c r="D25" s="1"/>
      <x:c r="E25" s="1"/>
      <x:c r="F25" s="1"/>
      <x:c r="G25" s="1"/>
      <x:c r="H25" s="1"/>
      <x:c r="I25" s="1"/>
      <x:c r="J25" s="1"/>
      <x:c r="K25" s="1"/>
      <x:c r="L25" s="1"/>
      <x:c r="M25" s="1"/>
      <x:c r="N25" s="1"/>
      <x:c r="O25" s="1"/>
      <x:c r="P25" s="1"/>
      <x:c r="Q25" s="1"/>
      <x:c r="R25" s="1"/>
      <x:c r="S25" s="1"/>
      <x:c r="T25" s="1"/>
    </x:row>
    <x:row r="26" ht="18" customHeight="1">
      <x:c r="A26" s="1"/>
      <x:c r="B26" s="1"/>
      <x:c r="C26" s="1"/>
      <x:c r="D26" s="1"/>
      <x:c r="E26" s="1"/>
      <x:c r="F26" s="1"/>
      <x:c r="G26" s="1"/>
      <x:c r="H26" s="1"/>
      <x:c r="I26" s="1"/>
      <x:c r="J26" s="1"/>
      <x:c r="K26" s="1"/>
      <x:c r="L26" s="1"/>
      <x:c r="M26" s="1"/>
      <x:c r="N26" s="1"/>
      <x:c r="O26" s="1"/>
      <x:c r="P26" s="1"/>
      <x:c r="Q26" s="1"/>
      <x:c r="R26" s="1"/>
      <x:c r="S26" s="1"/>
      <x:c r="T26" s="1"/>
    </x:row>
    <x:row r="27" ht="18" customHeight="1">
      <x:c r="A27" s="1"/>
      <x:c r="B27" s="1"/>
      <x:c r="C27" s="1"/>
      <x:c r="D27" s="1"/>
      <x:c r="E27" s="1"/>
      <x:c r="F27" s="1"/>
      <x:c r="G27" s="1"/>
      <x:c r="H27" s="1"/>
      <x:c r="I27" s="1"/>
      <x:c r="J27" s="1"/>
      <x:c r="K27" s="1"/>
      <x:c r="L27" s="1"/>
      <x:c r="M27" s="1"/>
      <x:c r="N27" s="1"/>
      <x:c r="O27" s="1"/>
      <x:c r="P27" s="1"/>
      <x:c r="Q27" s="1"/>
      <x:c r="R27" s="1"/>
      <x:c r="S27" s="1"/>
      <x:c r="T27" s="1"/>
    </x:row>
    <x:row r="28" ht="18" customHeight="1">
      <x:c r="A28" s="1"/>
      <x:c r="B28" s="1"/>
      <x:c r="C28" s="1"/>
      <x:c r="D28" s="1"/>
      <x:c r="E28" s="1"/>
      <x:c r="F28" s="1"/>
      <x:c r="G28" s="1"/>
      <x:c r="H28" s="1"/>
      <x:c r="I28" s="1"/>
      <x:c r="J28" s="1"/>
      <x:c r="K28" s="1"/>
      <x:c r="L28" s="1"/>
      <x:c r="M28" s="1"/>
      <x:c r="N28" s="1"/>
      <x:c r="O28" s="1"/>
      <x:c r="P28" s="1"/>
      <x:c r="Q28" s="1"/>
      <x:c r="R28" s="1"/>
      <x:c r="S28" s="1"/>
      <x:c r="T28" s="1"/>
    </x:row>
    <x:row r="29" ht="18" customHeight="1">
      <x:c r="A29" s="1"/>
      <x:c r="B29" s="1"/>
      <x:c r="C29" s="1"/>
      <x:c r="D29" s="1"/>
      <x:c r="E29" s="1"/>
      <x:c r="F29" s="1"/>
      <x:c r="G29" s="1"/>
      <x:c r="H29" s="1"/>
      <x:c r="I29" s="1"/>
      <x:c r="J29" s="1"/>
      <x:c r="K29" s="1"/>
      <x:c r="L29" s="1"/>
      <x:c r="M29" s="1"/>
      <x:c r="N29" s="1"/>
      <x:c r="O29" s="1"/>
      <x:c r="P29" s="1"/>
      <x:c r="Q29" s="1"/>
      <x:c r="R29" s="1"/>
      <x:c r="S29" s="1"/>
      <x:c r="T29" s="1"/>
    </x:row>
    <x:row r="30" ht="18" customHeight="1">
      <x:c r="A30" s="1"/>
      <x:c r="B30" s="1"/>
      <x:c r="C30" s="1"/>
      <x:c r="D30" s="1"/>
      <x:c r="E30" s="1"/>
      <x:c r="F30" s="1"/>
      <x:c r="G30" s="1"/>
      <x:c r="H30" s="1"/>
      <x:c r="I30" s="1"/>
      <x:c r="J30" s="1"/>
      <x:c r="K30" s="1"/>
      <x:c r="L30" s="1"/>
      <x:c r="M30" s="1"/>
      <x:c r="N30" s="1"/>
      <x:c r="O30" s="1"/>
      <x:c r="P30" s="1"/>
      <x:c r="Q30" s="1"/>
      <x:c r="R30" s="1"/>
      <x:c r="S30" s="1"/>
      <x:c r="T30" s="1"/>
    </x:row>
    <x:row r="31" ht="18" customHeight="1">
      <x:c r="A31" s="1"/>
      <x:c r="B31" s="1"/>
      <x:c r="C31" s="1"/>
      <x:c r="D31" s="1"/>
      <x:c r="E31" s="1"/>
      <x:c r="F31" s="1"/>
      <x:c r="G31" s="1"/>
      <x:c r="H31" s="1"/>
      <x:c r="I31" s="1"/>
      <x:c r="J31" s="1"/>
      <x:c r="K31" s="1"/>
      <x:c r="L31" s="1"/>
      <x:c r="M31" s="1"/>
      <x:c r="N31" s="1"/>
      <x:c r="O31" s="1"/>
      <x:c r="P31" s="1"/>
      <x:c r="Q31" s="1"/>
      <x:c r="R31" s="1"/>
      <x:c r="S31" s="1"/>
      <x:c r="T31" s="1"/>
    </x:row>
    <x:row r="32" ht="18" customHeight="1">
      <x:c r="A32" s="1"/>
      <x:c r="B32" s="1"/>
      <x:c r="C32" s="1"/>
      <x:c r="D32" s="1"/>
      <x:c r="E32" s="1"/>
      <x:c r="F32" s="1"/>
      <x:c r="G32" s="1"/>
      <x:c r="H32" s="1"/>
      <x:c r="I32" s="1"/>
      <x:c r="J32" s="1"/>
      <x:c r="K32" s="1"/>
      <x:c r="L32" s="1"/>
      <x:c r="M32" s="1"/>
      <x:c r="N32" s="1"/>
      <x:c r="O32" s="1"/>
      <x:c r="P32" s="1"/>
      <x:c r="Q32" s="1"/>
      <x:c r="R32" s="1"/>
      <x:c r="S32" s="1"/>
      <x:c r="T32" s="1"/>
    </x:row>
    <x:row r="33" ht="18" customHeight="1">
      <x:c r="A33" s="1"/>
      <x:c r="B33" s="1"/>
      <x:c r="C33" s="1"/>
      <x:c r="D33" s="1"/>
      <x:c r="E33" s="1"/>
      <x:c r="F33" s="1"/>
      <x:c r="G33" s="1"/>
      <x:c r="H33" s="1"/>
      <x:c r="I33" s="1"/>
      <x:c r="J33" s="1"/>
      <x:c r="K33" s="1"/>
      <x:c r="L33" s="1"/>
      <x:c r="M33" s="1"/>
      <x:c r="N33" s="1"/>
      <x:c r="O33" s="1"/>
      <x:c r="P33" s="1"/>
      <x:c r="Q33" s="1"/>
      <x:c r="R33" s="1"/>
      <x:c r="S33" s="1"/>
      <x:c r="T33" s="1"/>
    </x:row>
    <x:row r="34" ht="18" customHeight="1">
      <x:c r="A34" s="1"/>
      <x:c r="B34" s="1"/>
      <x:c r="C34" s="1"/>
      <x:c r="D34" s="1"/>
      <x:c r="E34" s="1"/>
      <x:c r="F34" s="1"/>
      <x:c r="G34" s="1"/>
      <x:c r="H34" s="1"/>
      <x:c r="I34" s="1"/>
      <x:c r="J34" s="1"/>
      <x:c r="K34" s="1"/>
      <x:c r="L34" s="1"/>
      <x:c r="M34" s="1"/>
      <x:c r="N34" s="1"/>
      <x:c r="O34" s="1"/>
      <x:c r="P34" s="1"/>
      <x:c r="Q34" s="1"/>
      <x:c r="R34" s="1"/>
      <x:c r="S34" s="1"/>
      <x:c r="T34" s="1"/>
    </x:row>
    <x:row r="35" ht="18" customHeight="1">
      <x:c r="A35" s="1"/>
      <x:c r="B35" s="1"/>
      <x:c r="C35" s="1"/>
      <x:c r="D35" s="1"/>
      <x:c r="E35" s="1"/>
      <x:c r="F35" s="1"/>
      <x:c r="G35" s="1"/>
      <x:c r="H35" s="1"/>
      <x:c r="I35" s="1"/>
      <x:c r="J35" s="1"/>
      <x:c r="K35" s="1"/>
      <x:c r="L35" s="1"/>
      <x:c r="M35" s="1"/>
      <x:c r="N35" s="1"/>
      <x:c r="O35" s="1"/>
      <x:c r="P35" s="1"/>
      <x:c r="Q35" s="1"/>
      <x:c r="R35" s="1"/>
      <x:c r="S35" s="1"/>
      <x:c r="T35" s="1"/>
    </x:row>
    <x:row r="36" ht="18" customHeight="1">
      <x:c r="A36" s="1"/>
      <x:c r="B36" s="1"/>
      <x:c r="C36" s="1"/>
      <x:c r="D36" s="1"/>
      <x:c r="E36" s="1"/>
      <x:c r="F36" s="1"/>
      <x:c r="G36" s="1"/>
      <x:c r="H36" s="1"/>
      <x:c r="I36" s="1"/>
      <x:c r="J36" s="1"/>
      <x:c r="K36" s="1"/>
      <x:c r="L36" s="1"/>
      <x:c r="M36" s="1"/>
      <x:c r="N36" s="1"/>
      <x:c r="O36" s="1"/>
      <x:c r="P36" s="1"/>
      <x:c r="Q36" s="1"/>
      <x:c r="R36" s="1"/>
      <x:c r="S36" s="1"/>
      <x:c r="T36" s="1"/>
    </x:row>
    <x:row r="37" ht="18" customHeight="1">
      <x:c r="A37" s="1"/>
      <x:c r="B37" s="1"/>
      <x:c r="C37" s="1"/>
      <x:c r="D37" s="1"/>
      <x:c r="E37" s="1"/>
      <x:c r="F37" s="1"/>
      <x:c r="G37" s="1"/>
      <x:c r="H37" s="1"/>
      <x:c r="I37" s="1"/>
      <x:c r="J37" s="1"/>
      <x:c r="K37" s="1"/>
      <x:c r="L37" s="1"/>
      <x:c r="M37" s="1"/>
      <x:c r="N37" s="1"/>
      <x:c r="O37" s="1"/>
      <x:c r="P37" s="1"/>
      <x:c r="Q37" s="1"/>
      <x:c r="R37" s="1"/>
      <x:c r="S37" s="1"/>
      <x:c r="T37" s="1"/>
    </x:row>
    <x:row r="38" ht="18" customHeight="1">
      <x:c r="A38" s="1"/>
      <x:c r="B38" s="1"/>
      <x:c r="C38" s="1"/>
      <x:c r="D38" s="1"/>
      <x:c r="E38" s="1"/>
      <x:c r="F38" s="1"/>
      <x:c r="G38" s="1"/>
      <x:c r="H38" s="1"/>
      <x:c r="I38" s="1"/>
      <x:c r="J38" s="1"/>
      <x:c r="K38" s="1"/>
      <x:c r="L38" s="1"/>
      <x:c r="M38" s="1"/>
      <x:c r="N38" s="1"/>
      <x:c r="O38" s="1"/>
      <x:c r="P38" s="1"/>
      <x:c r="Q38" s="1"/>
      <x:c r="R38" s="1"/>
      <x:c r="S38" s="1"/>
      <x:c r="T38" s="1"/>
    </x:row>
    <x:row r="39" ht="18" customHeight="1">
      <x:c r="A39" s="1"/>
      <x:c r="B39" s="1"/>
      <x:c r="C39" s="1"/>
      <x:c r="D39" s="1"/>
      <x:c r="E39" s="1"/>
      <x:c r="F39" s="1"/>
      <x:c r="G39" s="1"/>
      <x:c r="H39" s="1"/>
      <x:c r="I39" s="1"/>
      <x:c r="J39" s="1"/>
      <x:c r="K39" s="1"/>
      <x:c r="L39" s="1"/>
      <x:c r="M39" s="1"/>
      <x:c r="N39" s="1"/>
      <x:c r="O39" s="1"/>
      <x:c r="P39" s="1"/>
      <x:c r="Q39" s="1"/>
      <x:c r="R39" s="1"/>
      <x:c r="S39" s="1"/>
      <x:c r="T39" s="1"/>
    </x:row>
    <x:row r="40" ht="18" customHeight="1">
      <x:c r="A40" s="1"/>
      <x:c r="B40" s="1"/>
      <x:c r="C40" s="1"/>
      <x:c r="D40" s="1"/>
      <x:c r="E40" s="1"/>
      <x:c r="F40" s="1"/>
      <x:c r="G40" s="1"/>
      <x:c r="H40" s="1"/>
      <x:c r="I40" s="1"/>
      <x:c r="J40" s="1"/>
      <x:c r="K40" s="1"/>
      <x:c r="L40" s="1"/>
      <x:c r="M40" s="1"/>
      <x:c r="N40" s="1"/>
      <x:c r="O40" s="1"/>
      <x:c r="P40" s="1"/>
      <x:c r="Q40" s="1"/>
      <x:c r="R40" s="1"/>
      <x:c r="S40" s="1"/>
      <x:c r="T40" s="1"/>
    </x:row>
    <x:row r="41" ht="18" customHeight="1">
      <x:c r="A41" s="1"/>
      <x:c r="B41" s="1"/>
      <x:c r="C41" s="1"/>
      <x:c r="D41" s="1"/>
      <x:c r="E41" s="1"/>
      <x:c r="F41" s="1"/>
      <x:c r="G41" s="1"/>
      <x:c r="H41" s="1"/>
      <x:c r="I41" s="1"/>
      <x:c r="J41" s="1"/>
      <x:c r="K41" s="1"/>
      <x:c r="L41" s="1"/>
      <x:c r="M41" s="1"/>
      <x:c r="N41" s="1"/>
      <x:c r="O41" s="1"/>
      <x:c r="P41" s="1"/>
      <x:c r="Q41" s="1"/>
      <x:c r="R41" s="1"/>
      <x:c r="S41" s="1"/>
      <x:c r="T41" s="1"/>
    </x:row>
    <x:row r="42" ht="18" customHeight="1">
      <x:c r="A42" s="1"/>
      <x:c r="B42" s="1"/>
      <x:c r="C42" s="1"/>
      <x:c r="D42" s="1"/>
      <x:c r="E42" s="1"/>
      <x:c r="F42" s="1"/>
      <x:c r="G42" s="1"/>
      <x:c r="H42" s="1"/>
      <x:c r="I42" s="1"/>
      <x:c r="J42" s="1"/>
      <x:c r="K42" s="1"/>
      <x:c r="L42" s="1"/>
      <x:c r="M42" s="1"/>
      <x:c r="N42" s="1"/>
      <x:c r="O42" s="1"/>
      <x:c r="P42" s="1"/>
      <x:c r="Q42" s="1"/>
      <x:c r="R42" s="1"/>
      <x:c r="S42" s="1"/>
      <x:c r="T42" s="1"/>
    </x:row>
    <x:row r="43" ht="18" customHeight="1">
      <x:c r="A43" s="1"/>
      <x:c r="B43" s="1"/>
      <x:c r="C43" s="1"/>
      <x:c r="D43" s="1"/>
      <x:c r="E43" s="1"/>
      <x:c r="F43" s="1"/>
      <x:c r="G43" s="1"/>
      <x:c r="H43" s="1"/>
      <x:c r="I43" s="1"/>
      <x:c r="J43" s="1"/>
      <x:c r="K43" s="1"/>
      <x:c r="L43" s="1"/>
      <x:c r="M43" s="1"/>
      <x:c r="N43" s="1"/>
      <x:c r="O43" s="1"/>
      <x:c r="P43" s="1"/>
      <x:c r="Q43" s="1"/>
      <x:c r="R43" s="1"/>
      <x:c r="S43" s="1"/>
      <x:c r="T43" s="1"/>
    </x:row>
    <x:row r="44" ht="18" customHeight="1">
      <x:c r="A44" s="1"/>
      <x:c r="B44" s="1"/>
      <x:c r="C44" s="1"/>
      <x:c r="D44" s="1"/>
      <x:c r="E44" s="1"/>
      <x:c r="F44" s="1"/>
      <x:c r="G44" s="1"/>
      <x:c r="H44" s="1"/>
      <x:c r="I44" s="1"/>
      <x:c r="J44" s="1"/>
      <x:c r="K44" s="1"/>
      <x:c r="L44" s="1"/>
      <x:c r="M44" s="1"/>
      <x:c r="N44" s="1"/>
      <x:c r="O44" s="1"/>
      <x:c r="P44" s="1"/>
      <x:c r="Q44" s="1"/>
      <x:c r="R44" s="1"/>
      <x:c r="S44" s="1"/>
      <x:c r="T44" s="1"/>
    </x:row>
    <x:row r="45" ht="18" customHeight="1">
      <x:c r="A45" s="1"/>
      <x:c r="B45" s="1"/>
      <x:c r="C45" s="1"/>
      <x:c r="D45" s="1"/>
      <x:c r="E45" s="1"/>
      <x:c r="F45" s="1"/>
      <x:c r="G45" s="1"/>
      <x:c r="H45" s="1"/>
      <x:c r="I45" s="1"/>
      <x:c r="J45" s="1"/>
      <x:c r="K45" s="1"/>
      <x:c r="L45" s="1"/>
      <x:c r="M45" s="1"/>
      <x:c r="N45" s="1"/>
      <x:c r="O45" s="1"/>
      <x:c r="P45" s="1"/>
      <x:c r="Q45" s="1"/>
      <x:c r="R45" s="1"/>
      <x:c r="S45" s="1"/>
      <x:c r="T45" s="1"/>
    </x:row>
    <x:row r="46" ht="18" customHeight="1">
      <x:c r="A46" s="1"/>
      <x:c r="B46" s="1"/>
      <x:c r="C46" s="1"/>
      <x:c r="D46" s="1"/>
      <x:c r="E46" s="1"/>
      <x:c r="F46" s="1"/>
      <x:c r="G46" s="1"/>
      <x:c r="H46" s="1"/>
      <x:c r="I46" s="1"/>
      <x:c r="J46" s="1"/>
      <x:c r="K46" s="1"/>
      <x:c r="L46" s="1"/>
      <x:c r="M46" s="1"/>
      <x:c r="N46" s="1"/>
      <x:c r="O46" s="1"/>
      <x:c r="P46" s="1"/>
      <x:c r="Q46" s="1"/>
      <x:c r="R46" s="1"/>
      <x:c r="S46" s="1"/>
      <x:c r="T46" s="1"/>
    </x:row>
    <x:row r="47" ht="18" customHeight="1">
      <x:c r="A47" s="1"/>
      <x:c r="B47" s="1"/>
      <x:c r="C47" s="1"/>
      <x:c r="D47" s="1"/>
      <x:c r="E47" s="1"/>
      <x:c r="F47" s="1"/>
      <x:c r="G47" s="1"/>
      <x:c r="H47" s="1"/>
      <x:c r="I47" s="1"/>
      <x:c r="J47" s="1"/>
      <x:c r="K47" s="1"/>
      <x:c r="L47" s="1"/>
      <x:c r="M47" s="1"/>
      <x:c r="N47" s="1"/>
      <x:c r="O47" s="1"/>
      <x:c r="P47" s="1"/>
      <x:c r="Q47" s="1"/>
      <x:c r="R47" s="1"/>
      <x:c r="S47" s="1"/>
      <x:c r="T47" s="1"/>
    </x:row>
    <x:row r="48" ht="18" customHeight="1">
      <x:c r="A48" s="1"/>
      <x:c r="B48" s="1"/>
      <x:c r="C48" s="1"/>
      <x:c r="D48" s="1"/>
      <x:c r="E48" s="1"/>
      <x:c r="F48" s="1"/>
      <x:c r="G48" s="1"/>
      <x:c r="H48" s="1"/>
      <x:c r="I48" s="1"/>
      <x:c r="J48" s="1"/>
      <x:c r="K48" s="1"/>
      <x:c r="L48" s="1"/>
      <x:c r="M48" s="1"/>
      <x:c r="N48" s="1"/>
      <x:c r="O48" s="1"/>
      <x:c r="P48" s="1"/>
      <x:c r="Q48" s="1"/>
      <x:c r="R48" s="1"/>
      <x:c r="S48" s="1"/>
      <x:c r="T48" s="1"/>
    </x:row>
    <x:row r="49" ht="18" customHeight="1">
      <x:c r="A49" s="1"/>
      <x:c r="B49" s="1"/>
      <x:c r="C49" s="1"/>
      <x:c r="D49" s="1"/>
      <x:c r="E49" s="1"/>
      <x:c r="F49" s="1"/>
      <x:c r="G49" s="1"/>
      <x:c r="H49" s="1"/>
      <x:c r="I49" s="1"/>
      <x:c r="J49" s="1"/>
      <x:c r="K49" s="1"/>
      <x:c r="L49" s="1"/>
      <x:c r="M49" s="1"/>
      <x:c r="N49" s="1"/>
      <x:c r="O49" s="1"/>
      <x:c r="P49" s="1"/>
      <x:c r="Q49" s="1"/>
      <x:c r="R49" s="1"/>
      <x:c r="S49" s="1"/>
      <x:c r="T49" s="1"/>
    </x:row>
    <x:row r="50" ht="18" customHeight="1">
      <x:c r="A50" s="1"/>
      <x:c r="B50" s="1"/>
      <x:c r="C50" s="1"/>
      <x:c r="D50" s="1"/>
      <x:c r="E50" s="1"/>
      <x:c r="F50" s="1"/>
      <x:c r="G50" s="1"/>
      <x:c r="H50" s="1"/>
      <x:c r="I50" s="1"/>
      <x:c r="J50" s="1"/>
      <x:c r="K50" s="1"/>
      <x:c r="L50" s="1"/>
      <x:c r="M50" s="1"/>
      <x:c r="N50" s="1"/>
      <x:c r="O50" s="1"/>
      <x:c r="P50" s="1"/>
      <x:c r="Q50" s="1"/>
      <x:c r="R50" s="1"/>
      <x:c r="S50" s="1"/>
      <x:c r="T50" s="1"/>
    </x:row>
    <x:row r="51" ht="18" customHeight="1">
      <x:c r="A51" s="1"/>
      <x:c r="B51" s="1"/>
      <x:c r="C51" s="1"/>
      <x:c r="D51" s="1"/>
      <x:c r="E51" s="1"/>
      <x:c r="F51" s="1"/>
      <x:c r="G51" s="1"/>
      <x:c r="H51" s="1"/>
      <x:c r="I51" s="1"/>
      <x:c r="J51" s="1"/>
      <x:c r="K51" s="1"/>
      <x:c r="L51" s="1"/>
      <x:c r="M51" s="1"/>
      <x:c r="N51" s="1"/>
      <x:c r="O51" s="1"/>
      <x:c r="P51" s="1"/>
      <x:c r="Q51" s="1"/>
      <x:c r="R51" s="1"/>
      <x:c r="S51" s="1"/>
      <x:c r="T51" s="1"/>
    </x:row>
    <x:row r="52" ht="18" customHeight="1">
      <x:c r="A52" s="1"/>
      <x:c r="B52" s="1"/>
      <x:c r="C52" s="1"/>
      <x:c r="D52" s="1"/>
      <x:c r="E52" s="1"/>
      <x:c r="F52" s="1"/>
      <x:c r="G52" s="1"/>
      <x:c r="H52" s="1"/>
      <x:c r="I52" s="1"/>
      <x:c r="J52" s="1"/>
      <x:c r="K52" s="1"/>
      <x:c r="L52" s="1"/>
      <x:c r="M52" s="1"/>
      <x:c r="N52" s="1"/>
      <x:c r="O52" s="1"/>
      <x:c r="P52" s="1"/>
      <x:c r="Q52" s="1"/>
      <x:c r="R52" s="1"/>
      <x:c r="S52" s="1"/>
      <x:c r="T52" s="1"/>
    </x:row>
    <x:row r="53" ht="18" customHeight="1">
      <x:c r="A53" s="1"/>
      <x:c r="B53" s="1"/>
      <x:c r="C53" s="1"/>
      <x:c r="D53" s="1"/>
      <x:c r="E53" s="1"/>
      <x:c r="F53" s="1"/>
      <x:c r="G53" s="1"/>
      <x:c r="H53" s="1"/>
      <x:c r="I53" s="1"/>
      <x:c r="J53" s="1"/>
      <x:c r="K53" s="1"/>
      <x:c r="L53" s="1"/>
      <x:c r="M53" s="1"/>
      <x:c r="N53" s="1"/>
      <x:c r="O53" s="1"/>
      <x:c r="P53" s="1"/>
      <x:c r="Q53" s="1"/>
      <x:c r="R53" s="1"/>
      <x:c r="S53" s="1"/>
      <x:c r="T53" s="1"/>
    </x:row>
    <x:row r="54" ht="18" customHeight="1">
      <x:c r="A54" s="1"/>
      <x:c r="B54" s="1"/>
      <x:c r="C54" s="1"/>
      <x:c r="D54" s="1"/>
      <x:c r="E54" s="1"/>
      <x:c r="F54" s="1"/>
      <x:c r="G54" s="1"/>
      <x:c r="H54" s="1"/>
      <x:c r="I54" s="1"/>
      <x:c r="J54" s="1"/>
      <x:c r="K54" s="1"/>
      <x:c r="L54" s="1"/>
      <x:c r="M54" s="1"/>
      <x:c r="N54" s="1"/>
      <x:c r="O54" s="1"/>
      <x:c r="P54" s="1"/>
      <x:c r="Q54" s="1"/>
      <x:c r="R54" s="1"/>
      <x:c r="S54" s="1"/>
      <x:c r="T54" s="1"/>
    </x:row>
    <x:row r="55" ht="18" customHeight="1">
      <x:c r="A55" s="1"/>
      <x:c r="B55" s="1"/>
      <x:c r="C55" s="1"/>
      <x:c r="D55" s="1"/>
      <x:c r="E55" s="1"/>
      <x:c r="F55" s="1"/>
      <x:c r="G55" s="1"/>
      <x:c r="H55" s="1"/>
      <x:c r="I55" s="1"/>
      <x:c r="J55" s="1"/>
      <x:c r="K55" s="1"/>
      <x:c r="L55" s="1"/>
      <x:c r="M55" s="1"/>
      <x:c r="N55" s="1"/>
      <x:c r="O55" s="1"/>
      <x:c r="P55" s="1"/>
      <x:c r="Q55" s="1"/>
      <x:c r="R55" s="1"/>
      <x:c r="S55" s="1"/>
      <x:c r="T55" s="1"/>
    </x:row>
    <x:row r="56" ht="18" customHeight="1">
      <x:c r="A56" s="1"/>
      <x:c r="B56" s="1"/>
      <x:c r="C56" s="1"/>
      <x:c r="D56" s="1"/>
      <x:c r="E56" s="1"/>
      <x:c r="F56" s="1"/>
      <x:c r="G56" s="1"/>
      <x:c r="H56" s="1"/>
      <x:c r="I56" s="1"/>
      <x:c r="J56" s="1"/>
      <x:c r="K56" s="1"/>
      <x:c r="L56" s="1"/>
      <x:c r="M56" s="1"/>
      <x:c r="N56" s="1"/>
      <x:c r="O56" s="1"/>
      <x:c r="P56" s="1"/>
      <x:c r="Q56" s="1"/>
      <x:c r="R56" s="1"/>
      <x:c r="S56" s="1"/>
      <x:c r="T56" s="1"/>
    </x:row>
    <x:row r="57" ht="18" customHeight="1">
      <x:c r="A57" s="1"/>
      <x:c r="B57" s="1"/>
      <x:c r="C57" s="1"/>
      <x:c r="D57" s="1"/>
      <x:c r="E57" s="1"/>
      <x:c r="F57" s="1"/>
      <x:c r="G57" s="1"/>
      <x:c r="H57" s="1"/>
      <x:c r="I57" s="1"/>
      <x:c r="J57" s="1"/>
      <x:c r="K57" s="1"/>
      <x:c r="L57" s="1"/>
      <x:c r="M57" s="1"/>
      <x:c r="N57" s="1"/>
      <x:c r="O57" s="1"/>
      <x:c r="P57" s="1"/>
      <x:c r="Q57" s="1"/>
      <x:c r="R57" s="1"/>
      <x:c r="S57" s="1"/>
      <x:c r="T57" s="1"/>
    </x:row>
    <x:row r="58" ht="18" customHeight="1">
      <x:c r="A58" s="1"/>
      <x:c r="B58" s="1"/>
      <x:c r="C58" s="1"/>
      <x:c r="D58" s="1"/>
      <x:c r="E58" s="1"/>
      <x:c r="F58" s="1"/>
      <x:c r="G58" s="1"/>
      <x:c r="H58" s="1"/>
      <x:c r="I58" s="1"/>
      <x:c r="J58" s="1"/>
      <x:c r="K58" s="1"/>
      <x:c r="L58" s="1"/>
      <x:c r="M58" s="1"/>
      <x:c r="N58" s="1"/>
      <x:c r="O58" s="1"/>
      <x:c r="P58" s="1"/>
      <x:c r="Q58" s="1"/>
      <x:c r="R58" s="1"/>
      <x:c r="S58" s="1"/>
      <x:c r="T58" s="1"/>
    </x:row>
    <x:row r="59" ht="18" customHeight="1">
      <x:c r="A59" s="1"/>
      <x:c r="B59" s="1"/>
      <x:c r="C59" s="1"/>
      <x:c r="D59" s="1"/>
      <x:c r="E59" s="1"/>
      <x:c r="F59" s="1"/>
      <x:c r="G59" s="1"/>
      <x:c r="H59" s="1"/>
      <x:c r="I59" s="1"/>
      <x:c r="J59" s="1"/>
      <x:c r="K59" s="1"/>
      <x:c r="L59" s="1"/>
      <x:c r="M59" s="1"/>
      <x:c r="N59" s="1"/>
      <x:c r="O59" s="1"/>
      <x:c r="P59" s="1"/>
      <x:c r="Q59" s="1"/>
      <x:c r="R59" s="1"/>
      <x:c r="S59" s="1"/>
      <x:c r="T59" s="1"/>
    </x:row>
    <x:row r="60" ht="18" customHeight="1">
      <x:c r="A60" s="1"/>
      <x:c r="B60" s="1"/>
      <x:c r="C60" s="1"/>
      <x:c r="D60" s="1"/>
      <x:c r="E60" s="1"/>
      <x:c r="F60" s="1"/>
      <x:c r="G60" s="1"/>
      <x:c r="H60" s="1"/>
      <x:c r="I60" s="1"/>
      <x:c r="J60" s="1"/>
      <x:c r="K60" s="1"/>
      <x:c r="L60" s="1"/>
      <x:c r="M60" s="1"/>
      <x:c r="N60" s="1"/>
      <x:c r="O60" s="1"/>
      <x:c r="P60" s="1"/>
      <x:c r="Q60" s="1"/>
      <x:c r="R60" s="1"/>
      <x:c r="S60" s="1"/>
      <x:c r="T60" s="1"/>
    </x:row>
    <x:row r="61" ht="18" customHeight="1">
      <x:c r="A61" s="1"/>
      <x:c r="B61" s="1"/>
      <x:c r="C61" s="1"/>
      <x:c r="D61" s="1"/>
      <x:c r="E61" s="1"/>
      <x:c r="F61" s="1"/>
      <x:c r="G61" s="1"/>
      <x:c r="H61" s="1"/>
      <x:c r="I61" s="1"/>
      <x:c r="J61" s="1"/>
      <x:c r="K61" s="1"/>
      <x:c r="L61" s="1"/>
      <x:c r="M61" s="1"/>
      <x:c r="N61" s="1"/>
      <x:c r="O61" s="1"/>
      <x:c r="P61" s="1"/>
      <x:c r="Q61" s="1"/>
      <x:c r="R61" s="1"/>
      <x:c r="S61" s="1"/>
      <x:c r="T61" s="1"/>
    </x:row>
    <x:row r="62" ht="18" customHeight="1">
      <x:c r="A62" s="1"/>
      <x:c r="B62" s="1"/>
      <x:c r="C62" s="1"/>
      <x:c r="D62" s="1"/>
      <x:c r="E62" s="1"/>
      <x:c r="F62" s="1"/>
      <x:c r="G62" s="1"/>
      <x:c r="H62" s="1"/>
      <x:c r="I62" s="1"/>
      <x:c r="J62" s="1"/>
      <x:c r="K62" s="1"/>
      <x:c r="L62" s="1"/>
      <x:c r="M62" s="1"/>
      <x:c r="N62" s="1"/>
      <x:c r="O62" s="1"/>
      <x:c r="P62" s="1"/>
      <x:c r="Q62" s="1"/>
      <x:c r="R62" s="1"/>
      <x:c r="S62" s="1"/>
      <x:c r="T62" s="1"/>
    </x:row>
    <x:row r="63" ht="18" customHeight="1">
      <x:c r="A63" s="1"/>
      <x:c r="B63" s="1"/>
      <x:c r="C63" s="1"/>
      <x:c r="D63" s="1"/>
      <x:c r="E63" s="1"/>
      <x:c r="F63" s="1"/>
      <x:c r="G63" s="1"/>
      <x:c r="H63" s="1"/>
      <x:c r="I63" s="1"/>
      <x:c r="J63" s="1"/>
      <x:c r="K63" s="1"/>
      <x:c r="L63" s="1"/>
      <x:c r="M63" s="1"/>
      <x:c r="N63" s="1"/>
      <x:c r="O63" s="1"/>
      <x:c r="P63" s="1"/>
      <x:c r="Q63" s="1"/>
      <x:c r="R63" s="1"/>
      <x:c r="S63" s="1"/>
      <x:c r="T63" s="1"/>
    </x:row>
    <x:row r="64" ht="18" customHeight="1">
      <x:c r="A64" s="1"/>
      <x:c r="B64" s="1"/>
      <x:c r="C64" s="1"/>
      <x:c r="D64" s="1"/>
      <x:c r="E64" s="1"/>
      <x:c r="F64" s="1"/>
      <x:c r="G64" s="1"/>
      <x:c r="H64" s="1"/>
      <x:c r="I64" s="1"/>
      <x:c r="J64" s="1"/>
      <x:c r="K64" s="1"/>
      <x:c r="L64" s="1"/>
      <x:c r="M64" s="1"/>
      <x:c r="N64" s="1"/>
      <x:c r="O64" s="1"/>
      <x:c r="P64" s="1"/>
      <x:c r="Q64" s="1"/>
      <x:c r="R64" s="1"/>
      <x:c r="S64" s="1"/>
      <x:c r="T64" s="1"/>
    </x:row>
    <x:row r="65" ht="18" customHeight="1">
      <x:c r="A65" s="1"/>
      <x:c r="B65" s="1"/>
      <x:c r="C65" s="1"/>
      <x:c r="D65" s="1"/>
      <x:c r="E65" s="1"/>
      <x:c r="F65" s="1"/>
      <x:c r="G65" s="1"/>
      <x:c r="H65" s="1"/>
      <x:c r="I65" s="1"/>
      <x:c r="J65" s="1"/>
      <x:c r="K65" s="1"/>
      <x:c r="L65" s="1"/>
      <x:c r="M65" s="1"/>
      <x:c r="N65" s="1"/>
      <x:c r="O65" s="1"/>
      <x:c r="P65" s="1"/>
      <x:c r="Q65" s="1"/>
      <x:c r="R65" s="1"/>
      <x:c r="S65" s="1"/>
      <x:c r="T65" s="1"/>
    </x:row>
    <x:row r="66" ht="18" customHeight="1">
      <x:c r="A66" s="1"/>
      <x:c r="B66" s="1"/>
      <x:c r="C66" s="1"/>
      <x:c r="D66" s="1"/>
      <x:c r="E66" s="1"/>
      <x:c r="F66" s="1"/>
      <x:c r="G66" s="1"/>
      <x:c r="H66" s="1"/>
      <x:c r="I66" s="1"/>
      <x:c r="J66" s="1"/>
      <x:c r="K66" s="1"/>
      <x:c r="L66" s="1"/>
      <x:c r="M66" s="1"/>
      <x:c r="N66" s="1"/>
      <x:c r="O66" s="1"/>
      <x:c r="P66" s="1"/>
      <x:c r="Q66" s="1"/>
      <x:c r="R66" s="1"/>
      <x:c r="S66" s="1"/>
      <x:c r="T66" s="1"/>
    </x:row>
    <x:row r="67" ht="18" customHeight="1">
      <x:c r="A67" s="1"/>
      <x:c r="B67" s="1"/>
      <x:c r="C67" s="1"/>
      <x:c r="D67" s="1"/>
      <x:c r="E67" s="1"/>
      <x:c r="F67" s="1"/>
      <x:c r="G67" s="1"/>
      <x:c r="H67" s="1"/>
      <x:c r="I67" s="1"/>
      <x:c r="J67" s="1"/>
      <x:c r="K67" s="1"/>
      <x:c r="L67" s="1"/>
      <x:c r="M67" s="1"/>
      <x:c r="N67" s="1"/>
      <x:c r="O67" s="1"/>
      <x:c r="P67" s="1"/>
      <x:c r="Q67" s="1"/>
      <x:c r="R67" s="1"/>
      <x:c r="S67" s="1"/>
      <x:c r="T67" s="1"/>
    </x:row>
    <x:row r="68" ht="18" customHeight="1">
      <x:c r="A68" s="1"/>
      <x:c r="B68" s="1"/>
      <x:c r="C68" s="1"/>
      <x:c r="D68" s="1"/>
      <x:c r="E68" s="1"/>
      <x:c r="F68" s="1"/>
      <x:c r="G68" s="1"/>
      <x:c r="H68" s="1"/>
      <x:c r="I68" s="1"/>
      <x:c r="J68" s="1"/>
      <x:c r="K68" s="1"/>
      <x:c r="L68" s="1"/>
      <x:c r="M68" s="1"/>
      <x:c r="N68" s="1"/>
      <x:c r="O68" s="1"/>
      <x:c r="P68" s="1"/>
      <x:c r="Q68" s="1"/>
      <x:c r="R68" s="1"/>
      <x:c r="S68" s="1"/>
      <x:c r="T68" s="1"/>
    </x:row>
    <x:row r="69" ht="18" customHeight="1">
      <x:c r="A69" s="1"/>
      <x:c r="B69" s="1"/>
      <x:c r="C69" s="1"/>
      <x:c r="D69" s="1"/>
      <x:c r="E69" s="1"/>
      <x:c r="F69" s="1"/>
      <x:c r="G69" s="1"/>
      <x:c r="H69" s="1"/>
      <x:c r="I69" s="1"/>
      <x:c r="J69" s="1"/>
      <x:c r="K69" s="1"/>
      <x:c r="L69" s="1"/>
      <x:c r="M69" s="1"/>
      <x:c r="N69" s="1"/>
      <x:c r="O69" s="1"/>
      <x:c r="P69" s="1"/>
      <x:c r="Q69" s="1"/>
      <x:c r="R69" s="1"/>
      <x:c r="S69" s="1"/>
      <x:c r="T69" s="1"/>
    </x:row>
    <x:row r="70" ht="18" customHeight="1">
      <x:c r="A70" s="1"/>
      <x:c r="B70" s="1"/>
      <x:c r="C70" s="1"/>
      <x:c r="D70" s="1"/>
      <x:c r="E70" s="1"/>
      <x:c r="F70" s="1"/>
      <x:c r="G70" s="1"/>
      <x:c r="H70" s="1"/>
      <x:c r="I70" s="1"/>
      <x:c r="J70" s="1"/>
      <x:c r="K70" s="1"/>
      <x:c r="L70" s="1"/>
      <x:c r="M70" s="1"/>
      <x:c r="N70" s="1"/>
      <x:c r="O70" s="1"/>
      <x:c r="P70" s="1"/>
      <x:c r="Q70" s="1"/>
      <x:c r="R70" s="1"/>
      <x:c r="S70" s="1"/>
      <x:c r="T70" s="1"/>
    </x:row>
    <x:row r="71" ht="18" customHeight="1">
      <x:c r="A71" s="1"/>
      <x:c r="B71" s="1"/>
      <x:c r="C71" s="1"/>
      <x:c r="D71" s="1"/>
      <x:c r="E71" s="1"/>
      <x:c r="F71" s="1"/>
      <x:c r="G71" s="1"/>
      <x:c r="H71" s="1"/>
      <x:c r="I71" s="1"/>
      <x:c r="J71" s="1"/>
      <x:c r="K71" s="1"/>
      <x:c r="L71" s="1"/>
      <x:c r="M71" s="1"/>
      <x:c r="N71" s="1"/>
      <x:c r="O71" s="1"/>
      <x:c r="P71" s="1"/>
      <x:c r="Q71" s="1"/>
      <x:c r="R71" s="1"/>
      <x:c r="S71" s="1"/>
      <x:c r="T71" s="1"/>
    </x:row>
    <x:row r="72" ht="18" customHeight="1">
      <x:c r="A72" s="1"/>
      <x:c r="B72" s="1"/>
      <x:c r="C72" s="1"/>
      <x:c r="D72" s="1"/>
      <x:c r="E72" s="1"/>
      <x:c r="F72" s="1"/>
      <x:c r="G72" s="1"/>
      <x:c r="H72" s="1"/>
      <x:c r="I72" s="1"/>
      <x:c r="J72" s="1"/>
      <x:c r="K72" s="1"/>
      <x:c r="L72" s="1"/>
      <x:c r="M72" s="1"/>
      <x:c r="N72" s="1"/>
      <x:c r="O72" s="1"/>
      <x:c r="P72" s="1"/>
      <x:c r="Q72" s="1"/>
      <x:c r="R72" s="1"/>
      <x:c r="S72" s="1"/>
      <x:c r="T72" s="1"/>
    </x:row>
    <x:row r="73" ht="18" customHeight="1">
      <x:c r="A73" s="1"/>
      <x:c r="B73" s="1"/>
      <x:c r="C73" s="1"/>
      <x:c r="D73" s="1"/>
      <x:c r="E73" s="1"/>
      <x:c r="F73" s="1"/>
      <x:c r="G73" s="1"/>
      <x:c r="H73" s="1"/>
      <x:c r="I73" s="1"/>
      <x:c r="J73" s="1"/>
      <x:c r="K73" s="1"/>
      <x:c r="L73" s="1"/>
      <x:c r="M73" s="1"/>
      <x:c r="N73" s="1"/>
      <x:c r="O73" s="1"/>
      <x:c r="P73" s="1"/>
      <x:c r="Q73" s="1"/>
      <x:c r="R73" s="1"/>
      <x:c r="S73" s="1"/>
      <x:c r="T73" s="1"/>
    </x:row>
    <x:row r="74" ht="18" customHeight="1">
      <x:c r="A74" s="1"/>
      <x:c r="B74" s="1"/>
      <x:c r="C74" s="1"/>
      <x:c r="D74" s="1"/>
      <x:c r="E74" s="1"/>
      <x:c r="F74" s="1"/>
      <x:c r="G74" s="1"/>
      <x:c r="H74" s="1"/>
      <x:c r="I74" s="1"/>
      <x:c r="J74" s="1"/>
      <x:c r="K74" s="1"/>
      <x:c r="L74" s="1"/>
      <x:c r="M74" s="1"/>
      <x:c r="N74" s="1"/>
      <x:c r="O74" s="1"/>
      <x:c r="P74" s="1"/>
      <x:c r="Q74" s="1"/>
      <x:c r="R74" s="1"/>
      <x:c r="S74" s="1"/>
      <x:c r="T74" s="1"/>
    </x:row>
    <x:row r="75" ht="18" customHeight="1">
      <x:c r="A75" s="1"/>
      <x:c r="B75" s="1"/>
      <x:c r="C75" s="1"/>
      <x:c r="D75" s="1"/>
      <x:c r="E75" s="1"/>
      <x:c r="F75" s="1"/>
      <x:c r="G75" s="1"/>
      <x:c r="H75" s="1"/>
      <x:c r="I75" s="1"/>
      <x:c r="J75" s="1"/>
      <x:c r="K75" s="1"/>
      <x:c r="L75" s="1"/>
      <x:c r="M75" s="1"/>
      <x:c r="N75" s="1"/>
      <x:c r="O75" s="1"/>
      <x:c r="P75" s="1"/>
      <x:c r="Q75" s="1"/>
      <x:c r="R75" s="1"/>
      <x:c r="S75" s="1"/>
      <x:c r="T75" s="1"/>
    </x:row>
    <x:row r="76" ht="18" customHeight="1">
      <x:c r="A76" s="1"/>
      <x:c r="B76" s="1"/>
      <x:c r="C76" s="1"/>
      <x:c r="D76" s="1"/>
      <x:c r="E76" s="1"/>
      <x:c r="F76" s="1"/>
      <x:c r="G76" s="1"/>
      <x:c r="H76" s="1"/>
      <x:c r="I76" s="1"/>
      <x:c r="J76" s="1"/>
      <x:c r="K76" s="1"/>
      <x:c r="L76" s="1"/>
      <x:c r="M76" s="1"/>
      <x:c r="N76" s="1"/>
      <x:c r="O76" s="1"/>
      <x:c r="P76" s="1"/>
      <x:c r="Q76" s="1"/>
      <x:c r="R76" s="1"/>
      <x:c r="S76" s="1"/>
      <x:c r="T76" s="1"/>
    </x:row>
    <x:row r="77" ht="18" customHeight="1">
      <x:c r="A77" s="1"/>
      <x:c r="B77" s="1"/>
      <x:c r="C77" s="1"/>
      <x:c r="D77" s="1"/>
      <x:c r="E77" s="1"/>
      <x:c r="F77" s="1"/>
      <x:c r="G77" s="1"/>
      <x:c r="H77" s="1"/>
      <x:c r="I77" s="1"/>
      <x:c r="J77" s="1"/>
      <x:c r="K77" s="1"/>
      <x:c r="L77" s="1"/>
      <x:c r="M77" s="1"/>
      <x:c r="N77" s="1"/>
      <x:c r="O77" s="1"/>
      <x:c r="P77" s="1"/>
      <x:c r="Q77" s="1"/>
      <x:c r="R77" s="1"/>
      <x:c r="S77" s="1"/>
      <x:c r="T77" s="1"/>
    </x:row>
    <x:row r="78" ht="18" customHeight="1">
      <x:c r="A78" s="1"/>
      <x:c r="B78" s="1"/>
      <x:c r="C78" s="1"/>
      <x:c r="D78" s="1"/>
      <x:c r="E78" s="1"/>
      <x:c r="F78" s="1"/>
      <x:c r="G78" s="1"/>
      <x:c r="H78" s="1"/>
      <x:c r="I78" s="1"/>
      <x:c r="J78" s="1"/>
      <x:c r="K78" s="1"/>
      <x:c r="L78" s="1"/>
      <x:c r="M78" s="1"/>
      <x:c r="N78" s="1"/>
      <x:c r="O78" s="1"/>
      <x:c r="P78" s="1"/>
      <x:c r="Q78" s="1"/>
      <x:c r="R78" s="1"/>
      <x:c r="S78" s="1"/>
      <x:c r="T78" s="1"/>
    </x:row>
    <x:row r="79" ht="18" customHeight="1">
      <x:c r="A79" s="1"/>
      <x:c r="B79" s="1"/>
      <x:c r="C79" s="1"/>
      <x:c r="D79" s="1"/>
      <x:c r="E79" s="1"/>
      <x:c r="F79" s="1"/>
      <x:c r="G79" s="1"/>
      <x:c r="H79" s="1"/>
      <x:c r="I79" s="1"/>
      <x:c r="J79" s="1"/>
      <x:c r="K79" s="1"/>
      <x:c r="L79" s="1"/>
      <x:c r="M79" s="1"/>
      <x:c r="N79" s="1"/>
      <x:c r="O79" s="1"/>
      <x:c r="P79" s="1"/>
      <x:c r="Q79" s="1"/>
      <x:c r="R79" s="1"/>
      <x:c r="S79" s="1"/>
      <x:c r="T79" s="1"/>
    </x:row>
    <x:row r="80" ht="18" customHeight="1">
      <x:c r="A80" s="1"/>
      <x:c r="B80" s="1"/>
      <x:c r="C80" s="1"/>
      <x:c r="D80" s="1"/>
      <x:c r="E80" s="1"/>
      <x:c r="F80" s="1"/>
      <x:c r="G80" s="1"/>
      <x:c r="H80" s="1"/>
      <x:c r="I80" s="1"/>
      <x:c r="J80" s="1"/>
      <x:c r="K80" s="1"/>
      <x:c r="L80" s="1"/>
      <x:c r="M80" s="1"/>
      <x:c r="N80" s="1"/>
      <x:c r="O80" s="1"/>
      <x:c r="P80" s="1"/>
      <x:c r="Q80" s="1"/>
      <x:c r="R80" s="1"/>
      <x:c r="S80" s="1"/>
      <x:c r="T80" s="1"/>
    </x:row>
    <x:row r="81" ht="18" customHeight="1">
      <x:c r="A81" s="1"/>
      <x:c r="B81" s="1"/>
      <x:c r="C81" s="1"/>
      <x:c r="D81" s="1"/>
      <x:c r="E81" s="1"/>
      <x:c r="F81" s="1"/>
      <x:c r="G81" s="1"/>
      <x:c r="H81" s="1"/>
      <x:c r="I81" s="1"/>
      <x:c r="J81" s="1"/>
      <x:c r="K81" s="1"/>
      <x:c r="L81" s="1"/>
      <x:c r="M81" s="1"/>
      <x:c r="N81" s="1"/>
      <x:c r="O81" s="1"/>
      <x:c r="P81" s="1"/>
      <x:c r="Q81" s="1"/>
      <x:c r="R81" s="1"/>
      <x:c r="S81" s="1"/>
      <x:c r="T81" s="1"/>
    </x:row>
    <x:row r="82" ht="18" customHeight="1">
      <x:c r="A82" s="1"/>
      <x:c r="B82" s="1"/>
      <x:c r="C82" s="1"/>
      <x:c r="D82" s="1"/>
      <x:c r="E82" s="1"/>
      <x:c r="F82" s="1"/>
      <x:c r="G82" s="1"/>
      <x:c r="H82" s="1"/>
      <x:c r="I82" s="1"/>
      <x:c r="J82" s="1"/>
      <x:c r="K82" s="1"/>
      <x:c r="L82" s="1"/>
      <x:c r="M82" s="1"/>
      <x:c r="N82" s="1"/>
      <x:c r="O82" s="1"/>
      <x:c r="P82" s="1"/>
      <x:c r="Q82" s="1"/>
      <x:c r="R82" s="1"/>
      <x:c r="S82" s="1"/>
      <x:c r="T82" s="1"/>
    </x:row>
    <x:row r="83" ht="18" customHeight="1">
      <x:c r="A83" s="1"/>
      <x:c r="B83" s="1"/>
      <x:c r="C83" s="1"/>
      <x:c r="D83" s="1"/>
      <x:c r="E83" s="1"/>
      <x:c r="F83" s="1"/>
      <x:c r="G83" s="1"/>
      <x:c r="H83" s="1"/>
      <x:c r="I83" s="1"/>
      <x:c r="J83" s="1"/>
      <x:c r="K83" s="1"/>
      <x:c r="L83" s="1"/>
      <x:c r="M83" s="1"/>
      <x:c r="N83" s="1"/>
      <x:c r="O83" s="1"/>
      <x:c r="P83" s="1"/>
      <x:c r="Q83" s="1"/>
      <x:c r="R83" s="1"/>
      <x:c r="S83" s="1"/>
      <x:c r="T83" s="1"/>
    </x:row>
    <x:row r="84" ht="18" customHeight="1">
      <x:c r="A84" s="1"/>
      <x:c r="B84" s="1"/>
      <x:c r="C84" s="1"/>
      <x:c r="D84" s="1"/>
      <x:c r="E84" s="1"/>
      <x:c r="F84" s="1"/>
      <x:c r="G84" s="1"/>
      <x:c r="H84" s="1"/>
      <x:c r="I84" s="1"/>
      <x:c r="J84" s="1"/>
      <x:c r="K84" s="1"/>
      <x:c r="L84" s="1"/>
      <x:c r="M84" s="1"/>
      <x:c r="N84" s="1"/>
      <x:c r="O84" s="1"/>
      <x:c r="P84" s="1"/>
      <x:c r="Q84" s="1"/>
      <x:c r="R84" s="1"/>
      <x:c r="S84" s="1"/>
      <x:c r="T84" s="1"/>
    </x:row>
    <x:row r="85" ht="18" customHeight="1">
      <x:c r="A85" s="1"/>
      <x:c r="B85" s="1"/>
      <x:c r="C85" s="1"/>
      <x:c r="D85" s="1"/>
      <x:c r="E85" s="1"/>
      <x:c r="F85" s="1"/>
      <x:c r="G85" s="1"/>
      <x:c r="H85" s="1"/>
      <x:c r="I85" s="1"/>
      <x:c r="J85" s="1"/>
      <x:c r="K85" s="1"/>
      <x:c r="L85" s="1"/>
      <x:c r="M85" s="1"/>
      <x:c r="N85" s="1"/>
      <x:c r="O85" s="1"/>
      <x:c r="P85" s="1"/>
      <x:c r="Q85" s="1"/>
      <x:c r="R85" s="1"/>
      <x:c r="S85" s="1"/>
      <x:c r="T85" s="1"/>
    </x:row>
    <x:row r="86" ht="18" customHeight="1">
      <x:c r="A86" s="1"/>
      <x:c r="B86" s="1"/>
      <x:c r="C86" s="1"/>
      <x:c r="D86" s="1"/>
      <x:c r="E86" s="1"/>
      <x:c r="F86" s="1"/>
      <x:c r="G86" s="1"/>
      <x:c r="H86" s="1"/>
      <x:c r="I86" s="1"/>
      <x:c r="J86" s="1"/>
      <x:c r="K86" s="1"/>
      <x:c r="L86" s="1"/>
      <x:c r="M86" s="1"/>
      <x:c r="N86" s="1"/>
      <x:c r="O86" s="1"/>
      <x:c r="P86" s="1"/>
      <x:c r="Q86" s="1"/>
      <x:c r="R86" s="1"/>
      <x:c r="S86" s="1"/>
      <x:c r="T86" s="1"/>
    </x:row>
    <x:row r="87" ht="18" customHeight="1">
      <x:c r="A87" s="1"/>
      <x:c r="B87" s="1"/>
      <x:c r="C87" s="1"/>
      <x:c r="D87" s="1"/>
      <x:c r="E87" s="1"/>
      <x:c r="F87" s="1"/>
      <x:c r="G87" s="1"/>
      <x:c r="H87" s="1"/>
      <x:c r="I87" s="1"/>
      <x:c r="J87" s="1"/>
      <x:c r="K87" s="1"/>
      <x:c r="L87" s="1"/>
      <x:c r="M87" s="1"/>
      <x:c r="N87" s="1"/>
      <x:c r="O87" s="1"/>
      <x:c r="P87" s="1"/>
      <x:c r="Q87" s="1"/>
      <x:c r="R87" s="1"/>
      <x:c r="S87" s="1"/>
      <x:c r="T87" s="1"/>
    </x:row>
    <x:row r="88" ht="18" customHeight="1">
      <x:c r="A88" s="1"/>
      <x:c r="B88" s="1"/>
      <x:c r="C88" s="1"/>
      <x:c r="D88" s="1"/>
      <x:c r="E88" s="1"/>
      <x:c r="F88" s="1"/>
      <x:c r="G88" s="1"/>
      <x:c r="H88" s="1"/>
      <x:c r="I88" s="1"/>
      <x:c r="J88" s="1"/>
      <x:c r="K88" s="1"/>
      <x:c r="L88" s="1"/>
      <x:c r="M88" s="1"/>
      <x:c r="N88" s="1"/>
      <x:c r="O88" s="1"/>
      <x:c r="P88" s="1"/>
      <x:c r="Q88" s="1"/>
      <x:c r="R88" s="1"/>
      <x:c r="S88" s="1"/>
      <x:c r="T88" s="1"/>
    </x:row>
    <x:row r="89" ht="18" customHeight="1">
      <x:c r="A89" s="1"/>
      <x:c r="B89" s="1"/>
      <x:c r="C89" s="1"/>
      <x:c r="D89" s="1"/>
      <x:c r="E89" s="1"/>
      <x:c r="F89" s="1"/>
      <x:c r="G89" s="1"/>
      <x:c r="H89" s="1"/>
      <x:c r="I89" s="1"/>
      <x:c r="J89" s="1"/>
      <x:c r="K89" s="1"/>
      <x:c r="L89" s="1"/>
      <x:c r="M89" s="1"/>
      <x:c r="N89" s="1"/>
      <x:c r="O89" s="1"/>
      <x:c r="P89" s="1"/>
      <x:c r="Q89" s="1"/>
      <x:c r="R89" s="1"/>
      <x:c r="S89" s="1"/>
      <x:c r="T89" s="1"/>
    </x:row>
    <x:row r="90" ht="18" customHeight="1">
      <x:c r="A90" s="1"/>
      <x:c r="B90" s="1"/>
      <x:c r="C90" s="1"/>
      <x:c r="D90" s="1"/>
      <x:c r="E90" s="1"/>
      <x:c r="F90" s="1"/>
      <x:c r="G90" s="1"/>
      <x:c r="H90" s="1"/>
      <x:c r="I90" s="1"/>
      <x:c r="J90" s="1"/>
      <x:c r="K90" s="1"/>
      <x:c r="L90" s="1"/>
      <x:c r="M90" s="1"/>
      <x:c r="N90" s="1"/>
      <x:c r="O90" s="1"/>
      <x:c r="P90" s="1"/>
      <x:c r="Q90" s="1"/>
      <x:c r="R90" s="1"/>
      <x:c r="S90" s="1"/>
      <x:c r="T90" s="1"/>
    </x:row>
    <x:row r="91" ht="18" customHeight="1">
      <x:c r="A91" s="1"/>
      <x:c r="B91" s="1"/>
      <x:c r="C91" s="1"/>
      <x:c r="D91" s="1"/>
      <x:c r="E91" s="1"/>
      <x:c r="F91" s="1"/>
      <x:c r="G91" s="1"/>
      <x:c r="H91" s="1"/>
      <x:c r="I91" s="1"/>
      <x:c r="J91" s="1"/>
      <x:c r="K91" s="1"/>
      <x:c r="L91" s="1"/>
      <x:c r="M91" s="1"/>
      <x:c r="N91" s="1"/>
      <x:c r="O91" s="1"/>
      <x:c r="P91" s="1"/>
      <x:c r="Q91" s="1"/>
      <x:c r="R91" s="1"/>
      <x:c r="S91" s="1"/>
      <x:c r="T91" s="1"/>
    </x:row>
    <x:row r="92" ht="18" customHeight="1">
      <x:c r="A92" s="1"/>
      <x:c r="B92" s="1"/>
      <x:c r="C92" s="1"/>
      <x:c r="D92" s="1"/>
      <x:c r="E92" s="1"/>
      <x:c r="F92" s="1"/>
      <x:c r="G92" s="1"/>
      <x:c r="H92" s="1"/>
      <x:c r="I92" s="1"/>
      <x:c r="J92" s="1"/>
      <x:c r="K92" s="1"/>
      <x:c r="L92" s="1"/>
      <x:c r="M92" s="1"/>
      <x:c r="N92" s="1"/>
      <x:c r="O92" s="1"/>
      <x:c r="P92" s="1"/>
      <x:c r="Q92" s="1"/>
      <x:c r="R92" s="1"/>
      <x:c r="S92" s="1"/>
      <x:c r="T92" s="1"/>
    </x:row>
    <x:row r="93" ht="18" customHeight="1">
      <x:c r="A93" s="1"/>
      <x:c r="B93" s="1"/>
      <x:c r="C93" s="1"/>
      <x:c r="D93" s="1"/>
      <x:c r="E93" s="1"/>
      <x:c r="F93" s="1"/>
      <x:c r="G93" s="1"/>
      <x:c r="H93" s="1"/>
      <x:c r="I93" s="1"/>
      <x:c r="J93" s="1"/>
      <x:c r="K93" s="1"/>
      <x:c r="L93" s="1"/>
      <x:c r="M93" s="1"/>
      <x:c r="N93" s="1"/>
      <x:c r="O93" s="1"/>
      <x:c r="P93" s="1"/>
      <x:c r="Q93" s="1"/>
      <x:c r="R93" s="1"/>
      <x:c r="S93" s="1"/>
      <x:c r="T93" s="1"/>
    </x:row>
    <x:row r="94" ht="18" customHeight="1">
      <x:c r="A94" s="1"/>
      <x:c r="B94" s="1"/>
      <x:c r="C94" s="1"/>
      <x:c r="D94" s="1"/>
      <x:c r="E94" s="1"/>
      <x:c r="F94" s="1"/>
      <x:c r="G94" s="1"/>
      <x:c r="H94" s="1"/>
      <x:c r="I94" s="1"/>
      <x:c r="J94" s="1"/>
      <x:c r="K94" s="1"/>
      <x:c r="L94" s="1"/>
      <x:c r="M94" s="1"/>
      <x:c r="N94" s="1"/>
      <x:c r="O94" s="1"/>
      <x:c r="P94" s="1"/>
      <x:c r="Q94" s="1"/>
      <x:c r="R94" s="1"/>
      <x:c r="S94" s="1"/>
      <x:c r="T94" s="1"/>
    </x:row>
    <x:row r="95" ht="18" customHeight="1">
      <x:c r="A95" s="1"/>
      <x:c r="B95" s="1"/>
      <x:c r="C95" s="1"/>
      <x:c r="D95" s="1"/>
      <x:c r="E95" s="1"/>
      <x:c r="F95" s="1"/>
      <x:c r="G95" s="1"/>
      <x:c r="H95" s="1"/>
      <x:c r="I95" s="1"/>
      <x:c r="J95" s="1"/>
      <x:c r="K95" s="1"/>
      <x:c r="L95" s="1"/>
      <x:c r="M95" s="1"/>
      <x:c r="N95" s="1"/>
      <x:c r="O95" s="1"/>
      <x:c r="P95" s="1"/>
      <x:c r="Q95" s="1"/>
      <x:c r="R95" s="1"/>
      <x:c r="S95" s="1"/>
      <x:c r="T95" s="1"/>
    </x:row>
    <x:row r="96" ht="18" customHeight="1">
      <x:c r="A96" s="1"/>
      <x:c r="B96" s="1"/>
      <x:c r="C96" s="1"/>
      <x:c r="D96" s="1"/>
      <x:c r="E96" s="1"/>
      <x:c r="F96" s="1"/>
      <x:c r="G96" s="1"/>
      <x:c r="H96" s="1"/>
      <x:c r="I96" s="1"/>
      <x:c r="J96" s="1"/>
      <x:c r="K96" s="1"/>
      <x:c r="L96" s="1"/>
      <x:c r="M96" s="1"/>
      <x:c r="N96" s="1"/>
      <x:c r="O96" s="1"/>
      <x:c r="P96" s="1"/>
      <x:c r="Q96" s="1"/>
      <x:c r="R96" s="1"/>
      <x:c r="S96" s="1"/>
      <x:c r="T96" s="1"/>
    </x:row>
    <x:row r="97" ht="18" customHeight="1">
      <x:c r="A97" s="1"/>
      <x:c r="B97" s="1"/>
      <x:c r="C97" s="1"/>
      <x:c r="D97" s="1"/>
      <x:c r="E97" s="1"/>
      <x:c r="F97" s="1"/>
      <x:c r="G97" s="1"/>
      <x:c r="H97" s="1"/>
      <x:c r="I97" s="1"/>
      <x:c r="J97" s="1"/>
      <x:c r="K97" s="1"/>
      <x:c r="L97" s="1"/>
      <x:c r="M97" s="1"/>
      <x:c r="N97" s="1"/>
      <x:c r="O97" s="1"/>
      <x:c r="P97" s="1"/>
      <x:c r="Q97" s="1"/>
      <x:c r="R97" s="1"/>
      <x:c r="S97" s="1"/>
      <x:c r="T97" s="1"/>
    </x:row>
    <x:row r="98" ht="18" customHeight="1">
      <x:c r="A98" s="1"/>
      <x:c r="B98" s="1"/>
      <x:c r="C98" s="1"/>
      <x:c r="D98" s="1"/>
      <x:c r="E98" s="1"/>
      <x:c r="F98" s="1"/>
      <x:c r="G98" s="1"/>
      <x:c r="H98" s="1"/>
      <x:c r="I98" s="1"/>
      <x:c r="J98" s="1"/>
      <x:c r="K98" s="1"/>
      <x:c r="L98" s="1"/>
      <x:c r="M98" s="1"/>
      <x:c r="N98" s="1"/>
      <x:c r="O98" s="1"/>
      <x:c r="P98" s="1"/>
      <x:c r="Q98" s="1"/>
      <x:c r="R98" s="1"/>
      <x:c r="S98" s="1"/>
      <x:c r="T98" s="1"/>
    </x:row>
    <x:row r="99" ht="18" customHeight="1">
      <x:c r="A99" s="1"/>
      <x:c r="B99" s="1"/>
      <x:c r="C99" s="1"/>
      <x:c r="D99" s="1"/>
      <x:c r="E99" s="1"/>
      <x:c r="F99" s="1"/>
      <x:c r="G99" s="1"/>
      <x:c r="H99" s="1"/>
      <x:c r="I99" s="1"/>
      <x:c r="J99" s="1"/>
      <x:c r="K99" s="1"/>
      <x:c r="L99" s="1"/>
      <x:c r="M99" s="1"/>
      <x:c r="N99" s="1"/>
      <x:c r="O99" s="1"/>
      <x:c r="P99" s="1"/>
      <x:c r="Q99" s="1"/>
      <x:c r="R99" s="1"/>
      <x:c r="S99" s="1"/>
      <x:c r="T99" s="1"/>
    </x:row>
    <x:row r="100" ht="18" customHeight="1">
      <x:c r="A100" s="1"/>
      <x:c r="B100" s="1"/>
      <x:c r="C100" s="1"/>
      <x:c r="D100" s="1"/>
      <x:c r="E100" s="1"/>
      <x:c r="F100" s="1"/>
      <x:c r="G100" s="1"/>
      <x:c r="H100" s="1"/>
      <x:c r="I100" s="1"/>
      <x:c r="J100" s="1"/>
      <x:c r="K100" s="1"/>
      <x:c r="L100" s="1"/>
      <x:c r="M100" s="1"/>
      <x:c r="N100" s="1"/>
      <x:c r="O100" s="1"/>
      <x:c r="P100" s="1"/>
      <x:c r="Q100" s="1"/>
      <x:c r="R100" s="1"/>
      <x:c r="S100" s="1"/>
      <x:c r="T100" s="1"/>
    </x:row>
    <x:row r="101" ht="18" customHeight="1">
      <x:c r="A101" s="1"/>
      <x:c r="B101" s="1"/>
      <x:c r="C101" s="1"/>
      <x:c r="D101" s="1"/>
      <x:c r="E101" s="1"/>
      <x:c r="F101" s="1"/>
      <x:c r="G101" s="1"/>
      <x:c r="H101" s="1"/>
      <x:c r="I101" s="1"/>
      <x:c r="J101" s="1"/>
      <x:c r="K101" s="1"/>
      <x:c r="L101" s="1"/>
      <x:c r="M101" s="1"/>
      <x:c r="N101" s="1"/>
      <x:c r="O101" s="1"/>
      <x:c r="P101" s="1"/>
      <x:c r="Q101" s="1"/>
      <x:c r="R101" s="1"/>
      <x:c r="S101" s="1"/>
      <x:c r="T101" s="1"/>
    </x:row>
    <x:row r="102" ht="18" customHeight="1">
      <x:c r="A102" s="1"/>
      <x:c r="B102" s="1"/>
      <x:c r="C102" s="1"/>
      <x:c r="D102" s="1"/>
      <x:c r="E102" s="1"/>
      <x:c r="F102" s="1"/>
      <x:c r="G102" s="1"/>
      <x:c r="H102" s="1"/>
      <x:c r="I102" s="1"/>
      <x:c r="J102" s="1"/>
      <x:c r="K102" s="1"/>
      <x:c r="L102" s="1"/>
      <x:c r="M102" s="1"/>
      <x:c r="N102" s="1"/>
      <x:c r="O102" s="1"/>
      <x:c r="P102" s="1"/>
      <x:c r="Q102" s="1"/>
      <x:c r="R102" s="1"/>
      <x:c r="S102" s="1"/>
      <x:c r="T102" s="1"/>
    </x:row>
    <x:row r="103" ht="18" customHeight="1">
      <x:c r="A103" s="1"/>
      <x:c r="B103" s="1"/>
      <x:c r="C103" s="1"/>
      <x:c r="D103" s="1"/>
      <x:c r="E103" s="1"/>
      <x:c r="F103" s="1"/>
      <x:c r="G103" s="1"/>
      <x:c r="H103" s="1"/>
      <x:c r="I103" s="1"/>
      <x:c r="J103" s="1"/>
      <x:c r="K103" s="1"/>
      <x:c r="L103" s="1"/>
      <x:c r="M103" s="1"/>
      <x:c r="N103" s="1"/>
      <x:c r="O103" s="1"/>
      <x:c r="P103" s="1"/>
      <x:c r="Q103" s="1"/>
      <x:c r="R103" s="1"/>
      <x:c r="S103" s="1"/>
      <x:c r="T103" s="1"/>
    </x:row>
    <x:row r="104" ht="18" customHeight="1">
      <x:c r="A104" s="1"/>
      <x:c r="B104" s="1"/>
      <x:c r="C104" s="1"/>
      <x:c r="D104" s="1"/>
      <x:c r="E104" s="1"/>
      <x:c r="F104" s="1"/>
      <x:c r="G104" s="1"/>
      <x:c r="H104" s="1"/>
      <x:c r="I104" s="1"/>
      <x:c r="J104" s="1"/>
      <x:c r="K104" s="1"/>
      <x:c r="L104" s="1"/>
      <x:c r="M104" s="1"/>
      <x:c r="N104" s="1"/>
      <x:c r="O104" s="1"/>
      <x:c r="P104" s="1"/>
      <x:c r="Q104" s="1"/>
      <x:c r="R104" s="1"/>
      <x:c r="S104" s="1"/>
      <x:c r="T104" s="1"/>
    </x:row>
    <x:row r="105" ht="18" customHeight="1">
      <x:c r="A105" s="1"/>
      <x:c r="B105" s="1"/>
      <x:c r="C105" s="1"/>
      <x:c r="D105" s="1"/>
      <x:c r="E105" s="1"/>
      <x:c r="F105" s="1"/>
      <x:c r="G105" s="1"/>
      <x:c r="H105" s="1"/>
      <x:c r="I105" s="1"/>
      <x:c r="J105" s="1"/>
      <x:c r="K105" s="1"/>
      <x:c r="L105" s="1"/>
      <x:c r="M105" s="1"/>
      <x:c r="N105" s="1"/>
      <x:c r="O105" s="1"/>
      <x:c r="P105" s="1"/>
      <x:c r="Q105" s="1"/>
      <x:c r="R105" s="1"/>
      <x:c r="S105" s="1"/>
      <x:c r="T105" s="1"/>
    </x:row>
    <x:row r="106" ht="18" customHeight="1">
      <x:c r="A106" s="1"/>
      <x:c r="B106" s="1"/>
      <x:c r="C106" s="1"/>
      <x:c r="D106" s="1"/>
      <x:c r="E106" s="1"/>
      <x:c r="F106" s="1"/>
      <x:c r="G106" s="1"/>
      <x:c r="H106" s="1"/>
      <x:c r="I106" s="1"/>
      <x:c r="J106" s="1"/>
      <x:c r="K106" s="1"/>
      <x:c r="L106" s="1"/>
      <x:c r="M106" s="1"/>
      <x:c r="N106" s="1"/>
      <x:c r="O106" s="1"/>
      <x:c r="P106" s="1"/>
      <x:c r="Q106" s="1"/>
      <x:c r="R106" s="1"/>
      <x:c r="S106" s="1"/>
      <x:c r="T106" s="1"/>
    </x:row>
    <x:row r="107" ht="18" customHeight="1">
      <x:c r="A107" s="1"/>
      <x:c r="B107" s="1"/>
      <x:c r="C107" s="1"/>
      <x:c r="D107" s="1"/>
      <x:c r="E107" s="1"/>
      <x:c r="F107" s="1"/>
      <x:c r="G107" s="1"/>
      <x:c r="H107" s="1"/>
      <x:c r="I107" s="1"/>
      <x:c r="J107" s="1"/>
      <x:c r="K107" s="1"/>
      <x:c r="L107" s="1"/>
      <x:c r="M107" s="1"/>
      <x:c r="N107" s="1"/>
      <x:c r="O107" s="1"/>
      <x:c r="P107" s="1"/>
      <x:c r="Q107" s="1"/>
      <x:c r="R107" s="1"/>
      <x:c r="S107" s="1"/>
      <x:c r="T107" s="1"/>
    </x:row>
    <x:row r="108" ht="18" customHeight="1">
      <x:c r="A108" s="1"/>
      <x:c r="B108" s="1"/>
      <x:c r="C108" s="1"/>
      <x:c r="D108" s="1"/>
      <x:c r="E108" s="1"/>
      <x:c r="F108" s="1"/>
      <x:c r="G108" s="1"/>
      <x:c r="H108" s="1"/>
      <x:c r="I108" s="1"/>
      <x:c r="J108" s="1"/>
      <x:c r="K108" s="1"/>
      <x:c r="L108" s="1"/>
      <x:c r="M108" s="1"/>
      <x:c r="N108" s="1"/>
      <x:c r="O108" s="1"/>
      <x:c r="P108" s="1"/>
      <x:c r="Q108" s="1"/>
      <x:c r="R108" s="1"/>
      <x:c r="S108" s="1"/>
      <x:c r="T108" s="1"/>
    </x:row>
    <x:row r="109" ht="18" customHeight="1">
      <x:c r="A109" s="1"/>
      <x:c r="B109" s="1"/>
      <x:c r="C109" s="1"/>
      <x:c r="D109" s="1"/>
      <x:c r="E109" s="1"/>
      <x:c r="F109" s="1"/>
      <x:c r="G109" s="1"/>
      <x:c r="H109" s="1"/>
      <x:c r="I109" s="1"/>
      <x:c r="J109" s="1"/>
      <x:c r="K109" s="1"/>
      <x:c r="L109" s="1"/>
      <x:c r="M109" s="1"/>
      <x:c r="N109" s="1"/>
      <x:c r="O109" s="1"/>
      <x:c r="P109" s="1"/>
      <x:c r="Q109" s="1"/>
      <x:c r="R109" s="1"/>
      <x:c r="S109" s="1"/>
      <x:c r="T109" s="1"/>
    </x:row>
    <x:row r="110" ht="18" customHeight="1">
      <x:c r="A110" s="1"/>
      <x:c r="B110" s="1"/>
      <x:c r="C110" s="1"/>
      <x:c r="D110" s="1"/>
      <x:c r="E110" s="1"/>
      <x:c r="F110" s="1"/>
      <x:c r="G110" s="1"/>
      <x:c r="H110" s="1"/>
      <x:c r="I110" s="1"/>
      <x:c r="J110" s="1"/>
      <x:c r="K110" s="1"/>
      <x:c r="L110" s="1"/>
      <x:c r="M110" s="1"/>
      <x:c r="N110" s="1"/>
      <x:c r="O110" s="1"/>
      <x:c r="P110" s="1"/>
      <x:c r="Q110" s="1"/>
      <x:c r="R110" s="1"/>
      <x:c r="S110" s="1"/>
      <x:c r="T110" s="1"/>
    </x:row>
    <x:row r="111" ht="18" customHeight="1">
      <x:c r="A111" s="1"/>
      <x:c r="B111" s="1"/>
      <x:c r="C111" s="1"/>
      <x:c r="D111" s="1"/>
      <x:c r="E111" s="1"/>
      <x:c r="F111" s="1"/>
      <x:c r="G111" s="1"/>
      <x:c r="H111" s="1"/>
      <x:c r="I111" s="1"/>
      <x:c r="J111" s="1"/>
      <x:c r="K111" s="1"/>
      <x:c r="L111" s="1"/>
      <x:c r="M111" s="1"/>
      <x:c r="N111" s="1"/>
      <x:c r="O111" s="1"/>
      <x:c r="P111" s="1"/>
      <x:c r="Q111" s="1"/>
      <x:c r="R111" s="1"/>
      <x:c r="S111" s="1"/>
      <x:c r="T111" s="1"/>
    </x:row>
    <x:row r="112" ht="18" customHeight="1">
      <x:c r="A112" s="1"/>
      <x:c r="B112" s="1"/>
      <x:c r="C112" s="1"/>
      <x:c r="D112" s="1"/>
      <x:c r="E112" s="1"/>
      <x:c r="F112" s="1"/>
      <x:c r="G112" s="1"/>
      <x:c r="H112" s="1"/>
      <x:c r="I112" s="1"/>
      <x:c r="J112" s="1"/>
      <x:c r="K112" s="1"/>
      <x:c r="L112" s="1"/>
      <x:c r="M112" s="1"/>
      <x:c r="N112" s="1"/>
      <x:c r="O112" s="1"/>
      <x:c r="P112" s="1"/>
      <x:c r="Q112" s="1"/>
      <x:c r="R112" s="1"/>
      <x:c r="S112" s="1"/>
      <x:c r="T112" s="1"/>
    </x:row>
    <x:row r="113" ht="18" customHeight="1">
      <x:c r="A113" s="1"/>
      <x:c r="B113" s="1"/>
      <x:c r="C113" s="1"/>
      <x:c r="D113" s="1"/>
      <x:c r="E113" s="1"/>
      <x:c r="F113" s="1"/>
      <x:c r="G113" s="1"/>
      <x:c r="H113" s="1"/>
      <x:c r="I113" s="1"/>
      <x:c r="J113" s="1"/>
      <x:c r="K113" s="1"/>
      <x:c r="L113" s="1"/>
      <x:c r="M113" s="1"/>
      <x:c r="N113" s="1"/>
      <x:c r="O113" s="1"/>
      <x:c r="P113" s="1"/>
      <x:c r="Q113" s="1"/>
      <x:c r="R113" s="1"/>
      <x:c r="S113" s="1"/>
      <x:c r="T113" s="1"/>
    </x:row>
    <x:row r="114" ht="18" customHeight="1">
      <x:c r="A114" s="1"/>
      <x:c r="B114" s="1"/>
      <x:c r="C114" s="1"/>
      <x:c r="D114" s="1"/>
      <x:c r="E114" s="1"/>
      <x:c r="F114" s="1"/>
      <x:c r="G114" s="1"/>
      <x:c r="H114" s="1"/>
      <x:c r="I114" s="1"/>
      <x:c r="J114" s="1"/>
      <x:c r="K114" s="1"/>
      <x:c r="L114" s="1"/>
      <x:c r="M114" s="1"/>
      <x:c r="N114" s="1"/>
      <x:c r="O114" s="1"/>
      <x:c r="P114" s="1"/>
      <x:c r="Q114" s="1"/>
      <x:c r="R114" s="1"/>
      <x:c r="S114" s="1"/>
      <x:c r="T114" s="1"/>
    </x:row>
    <x:row r="115" ht="18" customHeight="1">
      <x:c r="A115" s="1"/>
      <x:c r="B115" s="1"/>
      <x:c r="C115" s="1"/>
      <x:c r="D115" s="1"/>
      <x:c r="E115" s="1"/>
      <x:c r="F115" s="1"/>
      <x:c r="G115" s="1"/>
      <x:c r="H115" s="1"/>
      <x:c r="I115" s="1"/>
      <x:c r="J115" s="1"/>
      <x:c r="K115" s="1"/>
      <x:c r="L115" s="1"/>
      <x:c r="M115" s="1"/>
      <x:c r="N115" s="1"/>
      <x:c r="O115" s="1"/>
      <x:c r="P115" s="1"/>
      <x:c r="Q115" s="1"/>
      <x:c r="R115" s="1"/>
      <x:c r="S115" s="1"/>
      <x:c r="T115" s="1"/>
    </x:row>
    <x:row r="116" ht="18" customHeight="1">
      <x:c r="A116" s="1"/>
      <x:c r="B116" s="1"/>
      <x:c r="C116" s="1"/>
      <x:c r="D116" s="1"/>
      <x:c r="E116" s="1"/>
      <x:c r="F116" s="1"/>
      <x:c r="G116" s="1"/>
      <x:c r="H116" s="1"/>
      <x:c r="I116" s="1"/>
      <x:c r="J116" s="1"/>
      <x:c r="K116" s="1"/>
      <x:c r="L116" s="1"/>
      <x:c r="M116" s="1"/>
      <x:c r="N116" s="1"/>
      <x:c r="O116" s="1"/>
      <x:c r="P116" s="1"/>
      <x:c r="Q116" s="1"/>
      <x:c r="R116" s="1"/>
      <x:c r="S116" s="1"/>
      <x:c r="T116" s="1"/>
    </x:row>
    <x:row r="117" ht="18" customHeight="1">
      <x:c r="A117" s="1"/>
      <x:c r="B117" s="1"/>
      <x:c r="C117" s="1"/>
      <x:c r="D117" s="1"/>
      <x:c r="E117" s="1"/>
      <x:c r="F117" s="1"/>
      <x:c r="G117" s="1"/>
      <x:c r="H117" s="1"/>
      <x:c r="I117" s="1"/>
      <x:c r="J117" s="1"/>
      <x:c r="K117" s="1"/>
      <x:c r="L117" s="1"/>
      <x:c r="M117" s="1"/>
      <x:c r="N117" s="1"/>
      <x:c r="O117" s="1"/>
      <x:c r="P117" s="1"/>
      <x:c r="Q117" s="1"/>
      <x:c r="R117" s="1"/>
      <x:c r="S117" s="1"/>
      <x:c r="T117" s="1"/>
    </x:row>
    <x:row r="118" ht="18" customHeight="1">
      <x:c r="A118" s="1"/>
      <x:c r="B118" s="1"/>
      <x:c r="C118" s="1"/>
      <x:c r="D118" s="1"/>
      <x:c r="E118" s="1"/>
      <x:c r="F118" s="1"/>
      <x:c r="G118" s="1"/>
      <x:c r="H118" s="1"/>
      <x:c r="I118" s="1"/>
      <x:c r="J118" s="1"/>
      <x:c r="K118" s="1"/>
      <x:c r="L118" s="1"/>
      <x:c r="M118" s="1"/>
      <x:c r="N118" s="1"/>
      <x:c r="O118" s="1"/>
      <x:c r="P118" s="1"/>
      <x:c r="Q118" s="1"/>
      <x:c r="R118" s="1"/>
      <x:c r="S118" s="1"/>
      <x:c r="T118" s="1"/>
    </x:row>
    <x:row r="119" ht="18" customHeight="1">
      <x:c r="A119" s="1"/>
      <x:c r="B119" s="1"/>
      <x:c r="C119" s="1"/>
      <x:c r="D119" s="1"/>
      <x:c r="E119" s="1"/>
      <x:c r="F119" s="1"/>
      <x:c r="G119" s="1"/>
      <x:c r="H119" s="1"/>
      <x:c r="I119" s="1"/>
      <x:c r="J119" s="1"/>
      <x:c r="K119" s="1"/>
      <x:c r="L119" s="1"/>
      <x:c r="M119" s="1"/>
      <x:c r="N119" s="1"/>
      <x:c r="O119" s="1"/>
      <x:c r="P119" s="1"/>
      <x:c r="Q119" s="1"/>
      <x:c r="R119" s="1"/>
      <x:c r="S119" s="1"/>
      <x:c r="T119" s="1"/>
    </x:row>
    <x:row r="120" ht="18" customHeight="1">
      <x:c r="A120" s="1"/>
      <x:c r="B120" s="1"/>
      <x:c r="C120" s="1"/>
      <x:c r="D120" s="1"/>
      <x:c r="E120" s="1"/>
      <x:c r="F120" s="1"/>
      <x:c r="G120" s="1"/>
      <x:c r="H120" s="1"/>
      <x:c r="I120" s="1"/>
      <x:c r="J120" s="1"/>
      <x:c r="K120" s="1"/>
      <x:c r="L120" s="1"/>
      <x:c r="M120" s="1"/>
      <x:c r="N120" s="1"/>
      <x:c r="O120" s="1"/>
      <x:c r="P120" s="1"/>
      <x:c r="Q120" s="1"/>
      <x:c r="R120" s="1"/>
      <x:c r="S120" s="1"/>
      <x:c r="T120" s="1"/>
    </x:row>
    <x:row r="121" ht="18" customHeight="1">
      <x:c r="A121" s="1"/>
      <x:c r="B121" s="1"/>
      <x:c r="C121" s="1"/>
      <x:c r="D121" s="1"/>
      <x:c r="E121" s="1"/>
      <x:c r="F121" s="1"/>
      <x:c r="G121" s="1"/>
      <x:c r="H121" s="1"/>
      <x:c r="I121" s="1"/>
      <x:c r="J121" s="1"/>
      <x:c r="K121" s="1"/>
      <x:c r="L121" s="1"/>
      <x:c r="M121" s="1"/>
      <x:c r="N121" s="1"/>
      <x:c r="O121" s="1"/>
      <x:c r="P121" s="1"/>
      <x:c r="Q121" s="1"/>
      <x:c r="R121" s="1"/>
      <x:c r="S121" s="1"/>
      <x:c r="T121" s="1"/>
    </x:row>
    <x:row r="122" ht="18" customHeight="1">
      <x:c r="A122" s="1"/>
      <x:c r="B122" s="1"/>
      <x:c r="C122" s="1"/>
      <x:c r="D122" s="1"/>
      <x:c r="E122" s="1"/>
      <x:c r="F122" s="1"/>
      <x:c r="G122" s="1"/>
      <x:c r="H122" s="1"/>
      <x:c r="I122" s="1"/>
      <x:c r="J122" s="1"/>
      <x:c r="K122" s="1"/>
      <x:c r="L122" s="1"/>
      <x:c r="M122" s="1"/>
      <x:c r="N122" s="1"/>
      <x:c r="O122" s="1"/>
      <x:c r="P122" s="1"/>
      <x:c r="Q122" s="1"/>
      <x:c r="R122" s="1"/>
      <x:c r="S122" s="1"/>
      <x:c r="T122" s="1"/>
    </x:row>
    <x:row r="123" ht="18" customHeight="1">
      <x:c r="A123" s="1"/>
      <x:c r="B123" s="1"/>
      <x:c r="C123" s="1"/>
      <x:c r="D123" s="1"/>
      <x:c r="E123" s="1"/>
      <x:c r="F123" s="1"/>
      <x:c r="G123" s="1"/>
      <x:c r="H123" s="1"/>
      <x:c r="I123" s="1"/>
      <x:c r="J123" s="1"/>
      <x:c r="K123" s="1"/>
      <x:c r="L123" s="1"/>
      <x:c r="M123" s="1"/>
      <x:c r="N123" s="1"/>
      <x:c r="O123" s="1"/>
      <x:c r="P123" s="1"/>
      <x:c r="Q123" s="1"/>
      <x:c r="R123" s="1"/>
      <x:c r="S123" s="1"/>
      <x:c r="T123" s="1"/>
    </x:row>
    <x:row r="124" ht="18" customHeight="1">
      <x:c r="A124" s="1"/>
      <x:c r="B124" s="1"/>
      <x:c r="C124" s="1"/>
      <x:c r="D124" s="1"/>
      <x:c r="E124" s="1"/>
      <x:c r="F124" s="1"/>
      <x:c r="G124" s="1"/>
      <x:c r="H124" s="1"/>
      <x:c r="I124" s="1"/>
      <x:c r="J124" s="1"/>
      <x:c r="K124" s="1"/>
      <x:c r="L124" s="1"/>
      <x:c r="M124" s="1"/>
      <x:c r="N124" s="1"/>
      <x:c r="O124" s="1"/>
      <x:c r="P124" s="1"/>
      <x:c r="Q124" s="1"/>
      <x:c r="R124" s="1"/>
      <x:c r="S124" s="1"/>
      <x:c r="T124" s="1"/>
    </x:row>
    <x:row r="125" ht="18" customHeight="1">
      <x:c r="A125" s="1"/>
      <x:c r="B125" s="1"/>
      <x:c r="C125" s="1"/>
      <x:c r="D125" s="1"/>
      <x:c r="E125" s="1"/>
      <x:c r="F125" s="1"/>
      <x:c r="G125" s="1"/>
      <x:c r="H125" s="1"/>
      <x:c r="I125" s="1"/>
      <x:c r="J125" s="1"/>
      <x:c r="K125" s="1"/>
      <x:c r="L125" s="1"/>
      <x:c r="M125" s="1"/>
      <x:c r="N125" s="1"/>
      <x:c r="O125" s="1"/>
      <x:c r="P125" s="1"/>
      <x:c r="Q125" s="1"/>
      <x:c r="R125" s="1"/>
      <x:c r="S125" s="1"/>
      <x:c r="T125" s="1"/>
    </x:row>
    <x:row r="126" ht="18" customHeight="1">
      <x:c r="A126" s="1"/>
      <x:c r="B126" s="1"/>
      <x:c r="C126" s="1"/>
      <x:c r="D126" s="1"/>
      <x:c r="E126" s="1"/>
      <x:c r="F126" s="1"/>
      <x:c r="G126" s="1"/>
      <x:c r="H126" s="1"/>
      <x:c r="I126" s="1"/>
      <x:c r="J126" s="1"/>
      <x:c r="K126" s="1"/>
      <x:c r="L126" s="1"/>
      <x:c r="M126" s="1"/>
      <x:c r="N126" s="1"/>
      <x:c r="O126" s="1"/>
      <x:c r="P126" s="1"/>
      <x:c r="Q126" s="1"/>
      <x:c r="R126" s="1"/>
      <x:c r="S126" s="1"/>
      <x:c r="T126" s="1"/>
    </x:row>
    <x:row r="127" ht="18" customHeight="1">
      <x:c r="A127" s="1"/>
      <x:c r="B127" s="1"/>
      <x:c r="C127" s="1"/>
      <x:c r="D127" s="1"/>
      <x:c r="E127" s="1"/>
      <x:c r="F127" s="1"/>
      <x:c r="G127" s="1"/>
      <x:c r="H127" s="1"/>
      <x:c r="I127" s="1"/>
      <x:c r="J127" s="1"/>
      <x:c r="K127" s="1"/>
      <x:c r="L127" s="1"/>
      <x:c r="M127" s="1"/>
      <x:c r="N127" s="1"/>
      <x:c r="O127" s="1"/>
      <x:c r="P127" s="1"/>
      <x:c r="Q127" s="1"/>
      <x:c r="R127" s="1"/>
      <x:c r="S127" s="1"/>
      <x:c r="T127" s="1"/>
    </x:row>
    <x:row r="128" ht="18" customHeight="1">
      <x:c r="A128" s="1"/>
      <x:c r="B128" s="1"/>
      <x:c r="C128" s="1"/>
      <x:c r="D128" s="1"/>
      <x:c r="E128" s="1"/>
      <x:c r="F128" s="1"/>
      <x:c r="G128" s="1"/>
      <x:c r="H128" s="1"/>
      <x:c r="I128" s="1"/>
      <x:c r="J128" s="1"/>
      <x:c r="K128" s="1"/>
      <x:c r="L128" s="1"/>
      <x:c r="M128" s="1"/>
      <x:c r="N128" s="1"/>
      <x:c r="O128" s="1"/>
      <x:c r="P128" s="1"/>
      <x:c r="Q128" s="1"/>
      <x:c r="R128" s="1"/>
      <x:c r="S128" s="1"/>
      <x:c r="T128" s="1"/>
    </x:row>
    <x:row r="129" ht="18" customHeight="1">
      <x:c r="A129" s="1"/>
      <x:c r="B129" s="1"/>
      <x:c r="C129" s="1"/>
      <x:c r="D129" s="1"/>
      <x:c r="E129" s="1"/>
      <x:c r="F129" s="1"/>
      <x:c r="G129" s="1"/>
      <x:c r="H129" s="1"/>
      <x:c r="I129" s="1"/>
      <x:c r="J129" s="1"/>
      <x:c r="K129" s="1"/>
      <x:c r="L129" s="1"/>
      <x:c r="M129" s="1"/>
      <x:c r="N129" s="1"/>
      <x:c r="O129" s="1"/>
      <x:c r="P129" s="1"/>
      <x:c r="Q129" s="1"/>
      <x:c r="R129" s="1"/>
      <x:c r="S129" s="1"/>
      <x:c r="T129" s="1"/>
    </x:row>
    <x:row r="130" ht="18" customHeight="1">
      <x:c r="A130" s="1"/>
      <x:c r="B130" s="1"/>
      <x:c r="C130" s="1"/>
      <x:c r="D130" s="1"/>
      <x:c r="E130" s="1"/>
      <x:c r="F130" s="1"/>
      <x:c r="G130" s="1"/>
      <x:c r="H130" s="1"/>
      <x:c r="I130" s="1"/>
      <x:c r="J130" s="1"/>
      <x:c r="K130" s="1"/>
      <x:c r="L130" s="1"/>
      <x:c r="M130" s="1"/>
      <x:c r="N130" s="1"/>
      <x:c r="O130" s="1"/>
      <x:c r="P130" s="1"/>
      <x:c r="Q130" s="1"/>
      <x:c r="R130" s="1"/>
      <x:c r="S130" s="1"/>
      <x:c r="T130" s="1"/>
    </x:row>
    <x:row r="131" ht="18" customHeight="1">
      <x:c r="A131" s="1"/>
      <x:c r="B131" s="1"/>
      <x:c r="C131" s="1"/>
      <x:c r="D131" s="1"/>
      <x:c r="E131" s="1"/>
      <x:c r="F131" s="1"/>
      <x:c r="G131" s="1"/>
      <x:c r="H131" s="1"/>
      <x:c r="I131" s="1"/>
      <x:c r="J131" s="1"/>
      <x:c r="K131" s="1"/>
      <x:c r="L131" s="1"/>
      <x:c r="M131" s="1"/>
      <x:c r="N131" s="1"/>
      <x:c r="O131" s="1"/>
      <x:c r="P131" s="1"/>
      <x:c r="Q131" s="1"/>
      <x:c r="R131" s="1"/>
      <x:c r="S131" s="1"/>
      <x:c r="T131" s="1"/>
    </x:row>
    <x:row r="132" ht="18" customHeight="1">
      <x:c r="A132" s="1"/>
      <x:c r="B132" s="1"/>
      <x:c r="C132" s="1"/>
      <x:c r="D132" s="1"/>
      <x:c r="E132" s="1"/>
      <x:c r="F132" s="1"/>
      <x:c r="G132" s="1"/>
      <x:c r="H132" s="1"/>
      <x:c r="I132" s="1"/>
      <x:c r="J132" s="1"/>
      <x:c r="K132" s="1"/>
      <x:c r="L132" s="1"/>
      <x:c r="M132" s="1"/>
      <x:c r="N132" s="1"/>
      <x:c r="O132" s="1"/>
      <x:c r="P132" s="1"/>
      <x:c r="Q132" s="1"/>
      <x:c r="R132" s="1"/>
      <x:c r="S132" s="1"/>
      <x:c r="T132" s="1"/>
    </x:row>
    <x:row r="133" ht="18" customHeight="1">
      <x:c r="A133" s="1"/>
      <x:c r="B133" s="1"/>
      <x:c r="C133" s="1"/>
      <x:c r="D133" s="1"/>
      <x:c r="E133" s="1"/>
      <x:c r="F133" s="1"/>
      <x:c r="G133" s="1"/>
      <x:c r="H133" s="1"/>
      <x:c r="I133" s="1"/>
      <x:c r="J133" s="1"/>
      <x:c r="K133" s="1"/>
      <x:c r="L133" s="1"/>
      <x:c r="M133" s="1"/>
      <x:c r="N133" s="1"/>
      <x:c r="O133" s="1"/>
      <x:c r="P133" s="1"/>
      <x:c r="Q133" s="1"/>
      <x:c r="R133" s="1"/>
      <x:c r="S133" s="1"/>
      <x:c r="T133" s="1"/>
    </x:row>
    <x:row r="134" ht="18" customHeight="1">
      <x:c r="A134" s="1"/>
      <x:c r="B134" s="1"/>
      <x:c r="C134" s="1"/>
      <x:c r="D134" s="1"/>
      <x:c r="E134" s="1"/>
      <x:c r="F134" s="1"/>
      <x:c r="G134" s="1"/>
      <x:c r="H134" s="1"/>
      <x:c r="I134" s="1"/>
      <x:c r="J134" s="1"/>
      <x:c r="K134" s="1"/>
      <x:c r="L134" s="1"/>
      <x:c r="M134" s="1"/>
      <x:c r="N134" s="1"/>
      <x:c r="O134" s="1"/>
      <x:c r="P134" s="1"/>
      <x:c r="Q134" s="1"/>
      <x:c r="R134" s="1"/>
      <x:c r="S134" s="1"/>
      <x:c r="T134" s="1"/>
    </x:row>
    <x:row r="135" ht="18" customHeight="1">
      <x:c r="A135" s="1"/>
      <x:c r="B135" s="1"/>
      <x:c r="C135" s="1"/>
      <x:c r="D135" s="1"/>
      <x:c r="E135" s="1"/>
      <x:c r="F135" s="1"/>
      <x:c r="G135" s="1"/>
      <x:c r="H135" s="1"/>
      <x:c r="I135" s="1"/>
      <x:c r="J135" s="1"/>
      <x:c r="K135" s="1"/>
      <x:c r="L135" s="1"/>
      <x:c r="M135" s="1"/>
      <x:c r="N135" s="1"/>
      <x:c r="O135" s="1"/>
      <x:c r="P135" s="1"/>
      <x:c r="Q135" s="1"/>
      <x:c r="R135" s="1"/>
      <x:c r="S135" s="1"/>
      <x:c r="T135" s="1"/>
    </x:row>
    <x:row r="136" ht="18" customHeight="1">
      <x:c r="A136" s="1"/>
      <x:c r="B136" s="1"/>
      <x:c r="C136" s="1"/>
      <x:c r="D136" s="1"/>
      <x:c r="E136" s="1"/>
      <x:c r="F136" s="1"/>
      <x:c r="G136" s="1"/>
      <x:c r="H136" s="1"/>
      <x:c r="I136" s="1"/>
      <x:c r="J136" s="1"/>
      <x:c r="K136" s="1"/>
      <x:c r="L136" s="1"/>
      <x:c r="M136" s="1"/>
      <x:c r="N136" s="1"/>
      <x:c r="O136" s="1"/>
      <x:c r="P136" s="1"/>
      <x:c r="Q136" s="1"/>
      <x:c r="R136" s="1"/>
      <x:c r="S136" s="1"/>
      <x:c r="T136" s="1"/>
    </x:row>
    <x:row r="137" ht="18" customHeight="1">
      <x:c r="A137" s="1"/>
      <x:c r="B137" s="1"/>
      <x:c r="C137" s="1"/>
      <x:c r="D137" s="1"/>
      <x:c r="E137" s="1"/>
      <x:c r="F137" s="1"/>
      <x:c r="G137" s="1"/>
      <x:c r="H137" s="1"/>
      <x:c r="I137" s="1"/>
      <x:c r="J137" s="1"/>
      <x:c r="K137" s="1"/>
      <x:c r="L137" s="1"/>
      <x:c r="M137" s="1"/>
      <x:c r="N137" s="1"/>
      <x:c r="O137" s="1"/>
      <x:c r="P137" s="1"/>
      <x:c r="Q137" s="1"/>
      <x:c r="R137" s="1"/>
      <x:c r="S137" s="1"/>
      <x:c r="T137" s="1"/>
    </x:row>
    <x:row r="138" ht="18" customHeight="1">
      <x:c r="A138" s="1"/>
      <x:c r="B138" s="1"/>
      <x:c r="C138" s="1"/>
      <x:c r="D138" s="1"/>
      <x:c r="E138" s="1"/>
      <x:c r="F138" s="1"/>
      <x:c r="G138" s="1"/>
      <x:c r="H138" s="1"/>
      <x:c r="I138" s="1"/>
      <x:c r="J138" s="1"/>
      <x:c r="K138" s="1"/>
      <x:c r="L138" s="1"/>
      <x:c r="M138" s="1"/>
      <x:c r="N138" s="1"/>
      <x:c r="O138" s="1"/>
      <x:c r="P138" s="1"/>
      <x:c r="Q138" s="1"/>
      <x:c r="R138" s="1"/>
      <x:c r="S138" s="1"/>
      <x:c r="T138" s="1"/>
    </x:row>
    <x:row r="139" ht="18" customHeight="1">
      <x:c r="A139" s="1"/>
      <x:c r="B139" s="1"/>
      <x:c r="C139" s="1"/>
      <x:c r="D139" s="1"/>
      <x:c r="E139" s="1"/>
      <x:c r="F139" s="1"/>
      <x:c r="G139" s="1"/>
      <x:c r="H139" s="1"/>
      <x:c r="I139" s="1"/>
      <x:c r="J139" s="1"/>
      <x:c r="K139" s="1"/>
      <x:c r="L139" s="1"/>
      <x:c r="M139" s="1"/>
      <x:c r="N139" s="1"/>
      <x:c r="O139" s="1"/>
      <x:c r="P139" s="1"/>
      <x:c r="Q139" s="1"/>
      <x:c r="R139" s="1"/>
      <x:c r="S139" s="1"/>
      <x:c r="T139" s="1"/>
    </x:row>
    <x:row r="140" ht="18" customHeight="1">
      <x:c r="A140" s="1"/>
      <x:c r="B140" s="1"/>
      <x:c r="C140" s="1"/>
      <x:c r="D140" s="1"/>
      <x:c r="E140" s="1"/>
      <x:c r="F140" s="1"/>
      <x:c r="G140" s="1"/>
      <x:c r="H140" s="1"/>
      <x:c r="I140" s="1"/>
      <x:c r="J140" s="1"/>
      <x:c r="K140" s="1"/>
      <x:c r="L140" s="1"/>
      <x:c r="M140" s="1"/>
      <x:c r="N140" s="1"/>
      <x:c r="O140" s="1"/>
      <x:c r="P140" s="1"/>
      <x:c r="Q140" s="1"/>
      <x:c r="R140" s="1"/>
      <x:c r="S140" s="1"/>
      <x:c r="T140" s="1"/>
    </x:row>
    <x:row r="141" ht="18" customHeight="1">
      <x:c r="A141" s="1"/>
      <x:c r="B141" s="1"/>
      <x:c r="C141" s="1"/>
      <x:c r="D141" s="1"/>
      <x:c r="E141" s="1"/>
      <x:c r="F141" s="1"/>
      <x:c r="G141" s="1"/>
      <x:c r="H141" s="1"/>
      <x:c r="I141" s="1"/>
      <x:c r="J141" s="1"/>
      <x:c r="K141" s="1"/>
      <x:c r="L141" s="1"/>
      <x:c r="M141" s="1"/>
      <x:c r="N141" s="1"/>
      <x:c r="O141" s="1"/>
      <x:c r="P141" s="1"/>
      <x:c r="Q141" s="1"/>
      <x:c r="R141" s="1"/>
      <x:c r="S141" s="1"/>
      <x:c r="T141" s="1"/>
    </x:row>
    <x:row r="142" ht="18" customHeight="1">
      <x:c r="A142" s="1"/>
      <x:c r="B142" s="1"/>
      <x:c r="C142" s="1"/>
      <x:c r="D142" s="1"/>
      <x:c r="E142" s="1"/>
      <x:c r="F142" s="1"/>
      <x:c r="G142" s="1"/>
      <x:c r="H142" s="1"/>
      <x:c r="I142" s="1"/>
      <x:c r="J142" s="1"/>
      <x:c r="K142" s="1"/>
      <x:c r="L142" s="1"/>
      <x:c r="M142" s="1"/>
      <x:c r="N142" s="1"/>
      <x:c r="O142" s="1"/>
      <x:c r="P142" s="1"/>
      <x:c r="Q142" s="1"/>
      <x:c r="R142" s="1"/>
      <x:c r="S142" s="1"/>
      <x:c r="T142" s="1"/>
    </x:row>
    <x:row r="143" ht="18" customHeight="1">
      <x:c r="A143" s="1"/>
      <x:c r="B143" s="1"/>
      <x:c r="C143" s="1"/>
      <x:c r="D143" s="1"/>
      <x:c r="E143" s="1"/>
      <x:c r="F143" s="1"/>
      <x:c r="G143" s="1"/>
      <x:c r="H143" s="1"/>
      <x:c r="I143" s="1"/>
      <x:c r="J143" s="1"/>
      <x:c r="K143" s="1"/>
      <x:c r="L143" s="1"/>
      <x:c r="M143" s="1"/>
      <x:c r="N143" s="1"/>
      <x:c r="O143" s="1"/>
      <x:c r="P143" s="1"/>
      <x:c r="Q143" s="1"/>
      <x:c r="R143" s="1"/>
      <x:c r="S143" s="1"/>
      <x:c r="T143" s="1"/>
    </x:row>
    <x:row r="144" ht="18" customHeight="1">
      <x:c r="A144" s="1"/>
      <x:c r="B144" s="1"/>
      <x:c r="C144" s="1"/>
      <x:c r="D144" s="1"/>
      <x:c r="E144" s="1"/>
      <x:c r="F144" s="1"/>
      <x:c r="G144" s="1"/>
      <x:c r="H144" s="1"/>
      <x:c r="I144" s="1"/>
      <x:c r="J144" s="1"/>
      <x:c r="K144" s="1"/>
      <x:c r="L144" s="1"/>
      <x:c r="M144" s="1"/>
      <x:c r="N144" s="1"/>
      <x:c r="O144" s="1"/>
      <x:c r="P144" s="1"/>
      <x:c r="Q144" s="1"/>
      <x:c r="R144" s="1"/>
      <x:c r="S144" s="1"/>
      <x:c r="T144" s="1"/>
    </x:row>
    <x:row r="145" ht="18" customHeight="1">
      <x:c r="A145" s="1"/>
      <x:c r="B145" s="1"/>
      <x:c r="C145" s="1"/>
      <x:c r="D145" s="1"/>
      <x:c r="E145" s="1"/>
      <x:c r="F145" s="1"/>
      <x:c r="G145" s="1"/>
      <x:c r="H145" s="1"/>
      <x:c r="I145" s="1"/>
      <x:c r="J145" s="1"/>
      <x:c r="K145" s="1"/>
      <x:c r="L145" s="1"/>
      <x:c r="M145" s="1"/>
      <x:c r="N145" s="1"/>
      <x:c r="O145" s="1"/>
      <x:c r="P145" s="1"/>
      <x:c r="Q145" s="1"/>
      <x:c r="R145" s="1"/>
      <x:c r="S145" s="1"/>
      <x:c r="T145" s="1"/>
    </x:row>
    <x:row r="146" ht="18" customHeight="1">
      <x:c r="A146" s="1"/>
      <x:c r="B146" s="1"/>
      <x:c r="C146" s="1"/>
      <x:c r="D146" s="1"/>
      <x:c r="E146" s="1"/>
      <x:c r="F146" s="1"/>
      <x:c r="G146" s="1"/>
      <x:c r="H146" s="1"/>
      <x:c r="I146" s="1"/>
      <x:c r="J146" s="1"/>
      <x:c r="K146" s="1"/>
      <x:c r="L146" s="1"/>
      <x:c r="M146" s="1"/>
      <x:c r="N146" s="1"/>
      <x:c r="O146" s="1"/>
      <x:c r="P146" s="1"/>
      <x:c r="Q146" s="1"/>
      <x:c r="R146" s="1"/>
      <x:c r="S146" s="1"/>
      <x:c r="T146" s="1"/>
    </x:row>
    <x:row r="147" ht="18" customHeight="1">
      <x:c r="A147" s="1"/>
      <x:c r="B147" s="1"/>
      <x:c r="C147" s="1"/>
      <x:c r="D147" s="1"/>
      <x:c r="E147" s="1"/>
      <x:c r="F147" s="1"/>
      <x:c r="G147" s="1"/>
      <x:c r="H147" s="1"/>
      <x:c r="I147" s="1"/>
      <x:c r="J147" s="1"/>
      <x:c r="K147" s="1"/>
      <x:c r="L147" s="1"/>
      <x:c r="M147" s="1"/>
      <x:c r="N147" s="1"/>
      <x:c r="O147" s="1"/>
      <x:c r="P147" s="1"/>
      <x:c r="Q147" s="1"/>
      <x:c r="R147" s="1"/>
      <x:c r="S147" s="1"/>
      <x:c r="T147" s="1"/>
    </x:row>
    <x:row r="148" ht="18" customHeight="1">
      <x:c r="A148" s="1"/>
      <x:c r="B148" s="1"/>
      <x:c r="C148" s="1"/>
      <x:c r="D148" s="1"/>
      <x:c r="E148" s="1"/>
      <x:c r="F148" s="1"/>
      <x:c r="G148" s="1"/>
      <x:c r="H148" s="1"/>
      <x:c r="I148" s="1"/>
      <x:c r="J148" s="1"/>
      <x:c r="K148" s="1"/>
      <x:c r="L148" s="1"/>
      <x:c r="M148" s="1"/>
      <x:c r="N148" s="1"/>
      <x:c r="O148" s="1"/>
      <x:c r="P148" s="1"/>
      <x:c r="Q148" s="1"/>
      <x:c r="R148" s="1"/>
      <x:c r="S148" s="1"/>
      <x:c r="T148" s="1"/>
    </x:row>
    <x:row r="149" ht="18" customHeight="1">
      <x:c r="A149" s="1"/>
      <x:c r="B149" s="1"/>
      <x:c r="C149" s="1"/>
      <x:c r="D149" s="1"/>
      <x:c r="E149" s="1"/>
      <x:c r="F149" s="1"/>
      <x:c r="G149" s="1"/>
      <x:c r="H149" s="1"/>
      <x:c r="I149" s="1"/>
      <x:c r="J149" s="1"/>
      <x:c r="K149" s="1"/>
      <x:c r="L149" s="1"/>
      <x:c r="M149" s="1"/>
      <x:c r="N149" s="1"/>
      <x:c r="O149" s="1"/>
      <x:c r="P149" s="1"/>
      <x:c r="Q149" s="1"/>
      <x:c r="R149" s="1"/>
      <x:c r="S149" s="1"/>
      <x:c r="T149" s="1"/>
    </x:row>
    <x:row r="150" ht="18" customHeight="1">
      <x:c r="A150" s="1"/>
      <x:c r="B150" s="1"/>
      <x:c r="C150" s="1"/>
      <x:c r="D150" s="1"/>
      <x:c r="E150" s="1"/>
      <x:c r="F150" s="1"/>
      <x:c r="G150" s="1"/>
      <x:c r="H150" s="1"/>
      <x:c r="I150" s="1"/>
      <x:c r="J150" s="1"/>
      <x:c r="K150" s="1"/>
      <x:c r="L150" s="1"/>
      <x:c r="M150" s="1"/>
      <x:c r="N150" s="1"/>
      <x:c r="O150" s="1"/>
      <x:c r="P150" s="1"/>
      <x:c r="Q150" s="1"/>
      <x:c r="R150" s="1"/>
      <x:c r="S150" s="1"/>
      <x:c r="T150" s="1"/>
    </x:row>
    <x:row r="151" ht="18" customHeight="1">
      <x:c r="A151" s="1"/>
      <x:c r="B151" s="1"/>
      <x:c r="C151" s="1"/>
      <x:c r="D151" s="1"/>
      <x:c r="E151" s="1"/>
      <x:c r="F151" s="1"/>
      <x:c r="G151" s="1"/>
      <x:c r="H151" s="1"/>
      <x:c r="I151" s="1"/>
      <x:c r="J151" s="1"/>
      <x:c r="K151" s="1"/>
      <x:c r="L151" s="1"/>
      <x:c r="M151" s="1"/>
      <x:c r="N151" s="1"/>
      <x:c r="O151" s="1"/>
      <x:c r="P151" s="1"/>
      <x:c r="Q151" s="1"/>
      <x:c r="R151" s="1"/>
      <x:c r="S151" s="1"/>
      <x:c r="T151" s="1"/>
    </x:row>
    <x:row r="152" ht="18" customHeight="1">
      <x:c r="A152" s="1"/>
      <x:c r="B152" s="1"/>
      <x:c r="C152" s="1"/>
      <x:c r="D152" s="1"/>
      <x:c r="E152" s="1"/>
      <x:c r="F152" s="1"/>
      <x:c r="G152" s="1"/>
      <x:c r="H152" s="1"/>
      <x:c r="I152" s="1"/>
      <x:c r="J152" s="1"/>
      <x:c r="K152" s="1"/>
      <x:c r="L152" s="1"/>
      <x:c r="M152" s="1"/>
      <x:c r="N152" s="1"/>
      <x:c r="O152" s="1"/>
      <x:c r="P152" s="1"/>
      <x:c r="Q152" s="1"/>
      <x:c r="R152" s="1"/>
      <x:c r="S152" s="1"/>
      <x:c r="T152" s="1"/>
    </x:row>
    <x:row r="153" ht="18" customHeight="1">
      <x:c r="A153" s="1"/>
      <x:c r="B153" s="1"/>
      <x:c r="C153" s="1"/>
      <x:c r="D153" s="1"/>
      <x:c r="E153" s="1"/>
      <x:c r="F153" s="1"/>
      <x:c r="G153" s="1"/>
      <x:c r="H153" s="1"/>
      <x:c r="I153" s="1"/>
      <x:c r="J153" s="1"/>
      <x:c r="K153" s="1"/>
      <x:c r="L153" s="1"/>
      <x:c r="M153" s="1"/>
      <x:c r="N153" s="1"/>
      <x:c r="O153" s="1"/>
      <x:c r="P153" s="1"/>
      <x:c r="Q153" s="1"/>
      <x:c r="R153" s="1"/>
      <x:c r="S153" s="1"/>
      <x:c r="T153" s="1"/>
    </x:row>
    <x:row r="154" ht="18" customHeight="1">
      <x:c r="A154" s="1"/>
      <x:c r="B154" s="1"/>
      <x:c r="C154" s="1"/>
      <x:c r="D154" s="1"/>
      <x:c r="E154" s="1"/>
      <x:c r="F154" s="1"/>
      <x:c r="G154" s="1"/>
      <x:c r="H154" s="1"/>
      <x:c r="I154" s="1"/>
      <x:c r="J154" s="1"/>
      <x:c r="K154" s="1"/>
      <x:c r="L154" s="1"/>
      <x:c r="M154" s="1"/>
      <x:c r="N154" s="1"/>
      <x:c r="O154" s="1"/>
      <x:c r="P154" s="1"/>
      <x:c r="Q154" s="1"/>
      <x:c r="R154" s="1"/>
      <x:c r="S154" s="1"/>
      <x:c r="T154" s="1"/>
    </x:row>
    <x:row r="155" ht="18" customHeight="1">
      <x:c r="A155" s="1"/>
      <x:c r="B155" s="1"/>
      <x:c r="C155" s="1"/>
      <x:c r="D155" s="1"/>
      <x:c r="E155" s="1"/>
      <x:c r="F155" s="1"/>
      <x:c r="G155" s="1"/>
      <x:c r="H155" s="1"/>
      <x:c r="I155" s="1"/>
      <x:c r="J155" s="1"/>
      <x:c r="K155" s="1"/>
      <x:c r="L155" s="1"/>
      <x:c r="M155" s="1"/>
      <x:c r="N155" s="1"/>
      <x:c r="O155" s="1"/>
      <x:c r="P155" s="1"/>
      <x:c r="Q155" s="1"/>
      <x:c r="R155" s="1"/>
      <x:c r="S155" s="1"/>
      <x:c r="T155" s="1"/>
    </x:row>
    <x:row r="156" ht="18" customHeight="1">
      <x:c r="A156" s="1"/>
      <x:c r="B156" s="1"/>
      <x:c r="C156" s="1"/>
      <x:c r="D156" s="1"/>
      <x:c r="E156" s="1"/>
      <x:c r="F156" s="1"/>
      <x:c r="G156" s="1"/>
      <x:c r="H156" s="1"/>
      <x:c r="I156" s="1"/>
      <x:c r="J156" s="1"/>
      <x:c r="K156" s="1"/>
      <x:c r="L156" s="1"/>
      <x:c r="M156" s="1"/>
      <x:c r="N156" s="1"/>
      <x:c r="O156" s="1"/>
      <x:c r="P156" s="1"/>
      <x:c r="Q156" s="1"/>
      <x:c r="R156" s="1"/>
      <x:c r="S156" s="1"/>
      <x:c r="T156" s="1"/>
    </x:row>
    <x:row r="157" ht="18" customHeight="1">
      <x:c r="A157" s="1"/>
      <x:c r="B157" s="1"/>
      <x:c r="C157" s="1"/>
      <x:c r="D157" s="1"/>
      <x:c r="E157" s="1"/>
      <x:c r="F157" s="1"/>
      <x:c r="G157" s="1"/>
      <x:c r="H157" s="1"/>
      <x:c r="I157" s="1"/>
      <x:c r="J157" s="1"/>
      <x:c r="K157" s="1"/>
      <x:c r="L157" s="1"/>
      <x:c r="M157" s="1"/>
      <x:c r="N157" s="1"/>
      <x:c r="O157" s="1"/>
      <x:c r="P157" s="1"/>
      <x:c r="Q157" s="1"/>
      <x:c r="R157" s="1"/>
      <x:c r="S157" s="1"/>
      <x:c r="T157" s="1"/>
    </x:row>
    <x:row r="158" ht="18" customHeight="1">
      <x:c r="A158" s="1"/>
      <x:c r="B158" s="1"/>
      <x:c r="C158" s="1"/>
      <x:c r="D158" s="1"/>
      <x:c r="E158" s="1"/>
      <x:c r="F158" s="1"/>
      <x:c r="G158" s="1"/>
      <x:c r="H158" s="1"/>
      <x:c r="I158" s="1"/>
      <x:c r="J158" s="1"/>
      <x:c r="K158" s="1"/>
      <x:c r="L158" s="1"/>
      <x:c r="M158" s="1"/>
      <x:c r="N158" s="1"/>
      <x:c r="O158" s="1"/>
      <x:c r="P158" s="1"/>
      <x:c r="Q158" s="1"/>
      <x:c r="R158" s="1"/>
      <x:c r="S158" s="1"/>
      <x:c r="T158" s="1"/>
    </x:row>
    <x:row r="159" ht="18" customHeight="1">
      <x:c r="A159" s="1"/>
      <x:c r="B159" s="1"/>
      <x:c r="C159" s="1"/>
      <x:c r="D159" s="1"/>
      <x:c r="E159" s="1"/>
      <x:c r="F159" s="1"/>
      <x:c r="G159" s="1"/>
      <x:c r="H159" s="1"/>
      <x:c r="I159" s="1"/>
      <x:c r="J159" s="1"/>
      <x:c r="K159" s="1"/>
      <x:c r="L159" s="1"/>
      <x:c r="M159" s="1"/>
      <x:c r="N159" s="1"/>
      <x:c r="O159" s="1"/>
      <x:c r="P159" s="1"/>
      <x:c r="Q159" s="1"/>
      <x:c r="R159" s="1"/>
      <x:c r="S159" s="1"/>
      <x:c r="T159" s="1"/>
    </x:row>
    <x:row r="160" ht="18" customHeight="1">
      <x:c r="A160" s="1"/>
      <x:c r="B160" s="1"/>
      <x:c r="C160" s="1"/>
      <x:c r="D160" s="1"/>
      <x:c r="E160" s="1"/>
      <x:c r="F160" s="1"/>
      <x:c r="G160" s="1"/>
      <x:c r="H160" s="1"/>
      <x:c r="I160" s="1"/>
      <x:c r="J160" s="1"/>
      <x:c r="K160" s="1"/>
      <x:c r="L160" s="1"/>
      <x:c r="M160" s="1"/>
      <x:c r="N160" s="1"/>
      <x:c r="O160" s="1"/>
      <x:c r="P160" s="1"/>
      <x:c r="Q160" s="1"/>
      <x:c r="R160" s="1"/>
      <x:c r="S160" s="1"/>
      <x:c r="T160" s="1"/>
    </x:row>
    <x:row r="161" ht="18" customHeight="1">
      <x:c r="A161" s="1"/>
      <x:c r="B161" s="1"/>
      <x:c r="C161" s="1"/>
      <x:c r="D161" s="1"/>
      <x:c r="E161" s="1"/>
      <x:c r="F161" s="1"/>
      <x:c r="G161" s="1"/>
      <x:c r="H161" s="1"/>
      <x:c r="I161" s="1"/>
      <x:c r="J161" s="1"/>
      <x:c r="K161" s="1"/>
      <x:c r="L161" s="1"/>
      <x:c r="M161" s="1"/>
      <x:c r="N161" s="1"/>
      <x:c r="O161" s="1"/>
      <x:c r="P161" s="1"/>
      <x:c r="Q161" s="1"/>
      <x:c r="R161" s="1"/>
      <x:c r="S161" s="1"/>
      <x:c r="T161" s="1"/>
    </x:row>
    <x:row r="162" ht="18" customHeight="1">
      <x:c r="A162" s="1"/>
      <x:c r="B162" s="1"/>
      <x:c r="C162" s="1"/>
      <x:c r="D162" s="1"/>
      <x:c r="E162" s="1"/>
      <x:c r="F162" s="1"/>
      <x:c r="G162" s="1"/>
      <x:c r="H162" s="1"/>
      <x:c r="I162" s="1"/>
      <x:c r="J162" s="1"/>
      <x:c r="K162" s="1"/>
      <x:c r="L162" s="1"/>
      <x:c r="M162" s="1"/>
      <x:c r="N162" s="1"/>
      <x:c r="O162" s="1"/>
      <x:c r="P162" s="1"/>
      <x:c r="Q162" s="1"/>
      <x:c r="R162" s="1"/>
      <x:c r="S162" s="1"/>
      <x:c r="T162" s="1"/>
    </x:row>
    <x:row r="163" ht="18" customHeight="1">
      <x:c r="A163" s="1"/>
      <x:c r="B163" s="1"/>
      <x:c r="C163" s="1"/>
      <x:c r="D163" s="1"/>
      <x:c r="E163" s="1"/>
      <x:c r="F163" s="1"/>
      <x:c r="G163" s="1"/>
      <x:c r="H163" s="1"/>
      <x:c r="I163" s="1"/>
      <x:c r="J163" s="1"/>
      <x:c r="K163" s="1"/>
      <x:c r="L163" s="1"/>
      <x:c r="M163" s="1"/>
      <x:c r="N163" s="1"/>
      <x:c r="O163" s="1"/>
      <x:c r="P163" s="1"/>
      <x:c r="Q163" s="1"/>
      <x:c r="R163" s="1"/>
      <x:c r="S163" s="1"/>
      <x:c r="T163" s="1"/>
    </x:row>
    <x:row r="164" ht="18" customHeight="1">
      <x:c r="A164" s="1"/>
      <x:c r="B164" s="1"/>
      <x:c r="C164" s="1"/>
      <x:c r="D164" s="1"/>
      <x:c r="E164" s="1"/>
      <x:c r="F164" s="1"/>
      <x:c r="G164" s="1"/>
      <x:c r="H164" s="1"/>
      <x:c r="I164" s="1"/>
      <x:c r="J164" s="1"/>
      <x:c r="K164" s="1"/>
      <x:c r="L164" s="1"/>
      <x:c r="M164" s="1"/>
      <x:c r="N164" s="1"/>
      <x:c r="O164" s="1"/>
      <x:c r="P164" s="1"/>
      <x:c r="Q164" s="1"/>
      <x:c r="R164" s="1"/>
      <x:c r="S164" s="1"/>
      <x:c r="T164" s="1"/>
    </x:row>
    <x:row r="165" ht="18" customHeight="1">
      <x:c r="A165" s="1"/>
      <x:c r="B165" s="1"/>
      <x:c r="C165" s="1"/>
      <x:c r="D165" s="1"/>
      <x:c r="E165" s="1"/>
      <x:c r="F165" s="1"/>
      <x:c r="G165" s="1"/>
      <x:c r="H165" s="1"/>
      <x:c r="I165" s="1"/>
      <x:c r="J165" s="1"/>
      <x:c r="K165" s="1"/>
      <x:c r="L165" s="1"/>
      <x:c r="M165" s="1"/>
      <x:c r="N165" s="1"/>
      <x:c r="O165" s="1"/>
      <x:c r="P165" s="1"/>
      <x:c r="Q165" s="1"/>
      <x:c r="R165" s="1"/>
      <x:c r="S165" s="1"/>
      <x:c r="T165" s="1"/>
    </x:row>
    <x:row r="166" ht="18" customHeight="1">
      <x:c r="A166" s="1"/>
      <x:c r="B166" s="1"/>
      <x:c r="C166" s="1"/>
      <x:c r="D166" s="1"/>
      <x:c r="E166" s="1"/>
      <x:c r="F166" s="1"/>
      <x:c r="G166" s="1"/>
      <x:c r="H166" s="1"/>
      <x:c r="I166" s="1"/>
      <x:c r="J166" s="1"/>
      <x:c r="K166" s="1"/>
      <x:c r="L166" s="1"/>
      <x:c r="M166" s="1"/>
      <x:c r="N166" s="1"/>
      <x:c r="O166" s="1"/>
      <x:c r="P166" s="1"/>
      <x:c r="Q166" s="1"/>
      <x:c r="R166" s="1"/>
      <x:c r="S166" s="1"/>
      <x:c r="T166" s="1"/>
    </x:row>
    <x:row r="167" ht="18" customHeight="1">
      <x:c r="A167" s="1"/>
      <x:c r="B167" s="1"/>
      <x:c r="C167" s="1"/>
      <x:c r="D167" s="1"/>
      <x:c r="E167" s="1"/>
      <x:c r="F167" s="1"/>
      <x:c r="G167" s="1"/>
      <x:c r="H167" s="1"/>
      <x:c r="I167" s="1"/>
      <x:c r="J167" s="1"/>
      <x:c r="K167" s="1"/>
      <x:c r="L167" s="1"/>
      <x:c r="M167" s="1"/>
      <x:c r="N167" s="1"/>
      <x:c r="O167" s="1"/>
      <x:c r="P167" s="1"/>
      <x:c r="Q167" s="1"/>
      <x:c r="R167" s="1"/>
      <x:c r="S167" s="1"/>
      <x:c r="T167" s="1"/>
    </x:row>
    <x:row r="168" ht="18" customHeight="1">
      <x:c r="A168" s="1"/>
      <x:c r="B168" s="1"/>
      <x:c r="C168" s="1"/>
      <x:c r="D168" s="1"/>
      <x:c r="E168" s="1"/>
      <x:c r="F168" s="1"/>
      <x:c r="G168" s="1"/>
      <x:c r="H168" s="1"/>
      <x:c r="I168" s="1"/>
      <x:c r="J168" s="1"/>
      <x:c r="K168" s="1"/>
      <x:c r="L168" s="1"/>
      <x:c r="M168" s="1"/>
      <x:c r="N168" s="1"/>
      <x:c r="O168" s="1"/>
      <x:c r="P168" s="1"/>
      <x:c r="Q168" s="1"/>
      <x:c r="R168" s="1"/>
      <x:c r="S168" s="1"/>
      <x:c r="T168" s="1"/>
    </x:row>
    <x:row r="169" ht="18" customHeight="1">
      <x:c r="A169" s="1"/>
      <x:c r="B169" s="1"/>
      <x:c r="C169" s="1"/>
      <x:c r="D169" s="1"/>
      <x:c r="E169" s="1"/>
      <x:c r="F169" s="1"/>
      <x:c r="G169" s="1"/>
      <x:c r="H169" s="1"/>
      <x:c r="I169" s="1"/>
      <x:c r="J169" s="1"/>
      <x:c r="K169" s="1"/>
      <x:c r="L169" s="1"/>
      <x:c r="M169" s="1"/>
      <x:c r="N169" s="1"/>
      <x:c r="O169" s="1"/>
      <x:c r="P169" s="1"/>
      <x:c r="Q169" s="1"/>
      <x:c r="R169" s="1"/>
      <x:c r="S169" s="1"/>
      <x:c r="T169" s="1"/>
    </x:row>
    <x:row r="170" ht="18" customHeight="1">
      <x:c r="A170" s="1"/>
      <x:c r="B170" s="1"/>
      <x:c r="C170" s="1"/>
      <x:c r="D170" s="1"/>
      <x:c r="E170" s="1"/>
      <x:c r="F170" s="1"/>
      <x:c r="G170" s="1"/>
      <x:c r="H170" s="1"/>
      <x:c r="I170" s="1"/>
      <x:c r="J170" s="1"/>
      <x:c r="K170" s="1"/>
      <x:c r="L170" s="1"/>
      <x:c r="M170" s="1"/>
      <x:c r="N170" s="1"/>
      <x:c r="O170" s="1"/>
      <x:c r="P170" s="1"/>
      <x:c r="Q170" s="1"/>
      <x:c r="R170" s="1"/>
      <x:c r="S170" s="1"/>
      <x:c r="T170" s="1"/>
    </x:row>
    <x:row r="171" ht="18" customHeight="1">
      <x:c r="A171" s="1"/>
      <x:c r="B171" s="1"/>
      <x:c r="C171" s="1"/>
      <x:c r="D171" s="1"/>
      <x:c r="E171" s="1"/>
      <x:c r="F171" s="1"/>
      <x:c r="G171" s="1"/>
      <x:c r="H171" s="1"/>
      <x:c r="I171" s="1"/>
      <x:c r="J171" s="1"/>
      <x:c r="K171" s="1"/>
      <x:c r="L171" s="1"/>
      <x:c r="M171" s="1"/>
      <x:c r="N171" s="1"/>
      <x:c r="O171" s="1"/>
      <x:c r="P171" s="1"/>
      <x:c r="Q171" s="1"/>
      <x:c r="R171" s="1"/>
      <x:c r="S171" s="1"/>
      <x:c r="T171" s="1"/>
    </x:row>
    <x:row r="172" ht="18" customHeight="1">
      <x:c r="A172" s="1"/>
      <x:c r="B172" s="1"/>
      <x:c r="C172" s="1"/>
      <x:c r="D172" s="1"/>
      <x:c r="E172" s="1"/>
      <x:c r="F172" s="1"/>
      <x:c r="G172" s="1"/>
      <x:c r="H172" s="1"/>
      <x:c r="I172" s="1"/>
      <x:c r="J172" s="1"/>
      <x:c r="K172" s="1"/>
      <x:c r="L172" s="1"/>
      <x:c r="M172" s="1"/>
      <x:c r="N172" s="1"/>
      <x:c r="O172" s="1"/>
      <x:c r="P172" s="1"/>
      <x:c r="Q172" s="1"/>
      <x:c r="R172" s="1"/>
      <x:c r="S172" s="1"/>
      <x:c r="T172" s="1"/>
    </x:row>
    <x:row r="173" ht="18" customHeight="1">
      <x:c r="A173" s="1"/>
      <x:c r="B173" s="1"/>
      <x:c r="C173" s="1"/>
      <x:c r="D173" s="1"/>
      <x:c r="E173" s="1"/>
      <x:c r="F173" s="1"/>
      <x:c r="G173" s="1"/>
      <x:c r="H173" s="1"/>
      <x:c r="I173" s="1"/>
      <x:c r="J173" s="1"/>
      <x:c r="K173" s="1"/>
      <x:c r="L173" s="1"/>
      <x:c r="M173" s="1"/>
      <x:c r="N173" s="1"/>
      <x:c r="O173" s="1"/>
      <x:c r="P173" s="1"/>
      <x:c r="Q173" s="1"/>
      <x:c r="R173" s="1"/>
      <x:c r="S173" s="1"/>
      <x:c r="T173" s="1"/>
    </x:row>
    <x:row r="174" ht="18" customHeight="1">
      <x:c r="A174" s="1"/>
      <x:c r="B174" s="1"/>
      <x:c r="C174" s="1"/>
      <x:c r="D174" s="1"/>
      <x:c r="E174" s="1"/>
      <x:c r="F174" s="1"/>
      <x:c r="G174" s="1"/>
      <x:c r="H174" s="1"/>
      <x:c r="I174" s="1"/>
      <x:c r="J174" s="1"/>
      <x:c r="K174" s="1"/>
      <x:c r="L174" s="1"/>
      <x:c r="M174" s="1"/>
      <x:c r="N174" s="1"/>
      <x:c r="O174" s="1"/>
      <x:c r="P174" s="1"/>
      <x:c r="Q174" s="1"/>
      <x:c r="R174" s="1"/>
      <x:c r="S174" s="1"/>
      <x:c r="T174" s="1"/>
    </x:row>
    <x:row r="175" ht="18" customHeight="1">
      <x:c r="A175" s="1"/>
      <x:c r="B175" s="1"/>
      <x:c r="C175" s="1"/>
      <x:c r="D175" s="1"/>
      <x:c r="E175" s="1"/>
      <x:c r="F175" s="1"/>
      <x:c r="G175" s="1"/>
      <x:c r="H175" s="1"/>
      <x:c r="I175" s="1"/>
      <x:c r="J175" s="1"/>
      <x:c r="K175" s="1"/>
      <x:c r="L175" s="1"/>
      <x:c r="M175" s="1"/>
      <x:c r="N175" s="1"/>
      <x:c r="O175" s="1"/>
      <x:c r="P175" s="1"/>
      <x:c r="Q175" s="1"/>
      <x:c r="R175" s="1"/>
      <x:c r="S175" s="1"/>
      <x:c r="T175" s="1"/>
    </x:row>
    <x:row r="176" ht="18" customHeight="1">
      <x:c r="A176" s="1"/>
      <x:c r="B176" s="1"/>
      <x:c r="C176" s="1"/>
      <x:c r="D176" s="1"/>
      <x:c r="E176" s="1"/>
      <x:c r="F176" s="1"/>
      <x:c r="G176" s="1"/>
      <x:c r="H176" s="1"/>
      <x:c r="I176" s="1"/>
      <x:c r="J176" s="1"/>
      <x:c r="K176" s="1"/>
      <x:c r="L176" s="1"/>
      <x:c r="M176" s="1"/>
      <x:c r="N176" s="1"/>
      <x:c r="O176" s="1"/>
      <x:c r="P176" s="1"/>
      <x:c r="Q176" s="1"/>
      <x:c r="R176" s="1"/>
      <x:c r="S176" s="1"/>
      <x:c r="T176" s="1"/>
    </x:row>
    <x:row r="177" ht="18" customHeight="1">
      <x:c r="A177" s="1"/>
      <x:c r="B177" s="1"/>
      <x:c r="C177" s="1"/>
      <x:c r="D177" s="1"/>
      <x:c r="E177" s="1"/>
      <x:c r="F177" s="1"/>
      <x:c r="G177" s="1"/>
      <x:c r="H177" s="1"/>
      <x:c r="I177" s="1"/>
      <x:c r="J177" s="1"/>
      <x:c r="K177" s="1"/>
      <x:c r="L177" s="1"/>
      <x:c r="M177" s="1"/>
      <x:c r="N177" s="1"/>
      <x:c r="O177" s="1"/>
      <x:c r="P177" s="1"/>
      <x:c r="Q177" s="1"/>
      <x:c r="R177" s="1"/>
      <x:c r="S177" s="1"/>
      <x:c r="T177" s="1"/>
    </x:row>
    <x:row r="178" ht="18" customHeight="1">
      <x:c r="A178" s="1"/>
      <x:c r="B178" s="1"/>
      <x:c r="C178" s="1"/>
      <x:c r="D178" s="1"/>
      <x:c r="E178" s="1"/>
      <x:c r="F178" s="1"/>
      <x:c r="G178" s="1"/>
      <x:c r="H178" s="1"/>
      <x:c r="I178" s="1"/>
      <x:c r="J178" s="1"/>
      <x:c r="K178" s="1"/>
      <x:c r="L178" s="1"/>
      <x:c r="M178" s="1"/>
      <x:c r="N178" s="1"/>
      <x:c r="O178" s="1"/>
      <x:c r="P178" s="1"/>
      <x:c r="Q178" s="1"/>
      <x:c r="R178" s="1"/>
      <x:c r="S178" s="1"/>
      <x:c r="T178" s="1"/>
    </x:row>
    <x:row r="179" ht="18" customHeight="1">
      <x:c r="A179" s="1"/>
      <x:c r="B179" s="1"/>
      <x:c r="C179" s="1"/>
      <x:c r="D179" s="1"/>
      <x:c r="E179" s="1"/>
      <x:c r="F179" s="1"/>
      <x:c r="G179" s="1"/>
      <x:c r="H179" s="1"/>
      <x:c r="I179" s="1"/>
      <x:c r="J179" s="1"/>
      <x:c r="K179" s="1"/>
      <x:c r="L179" s="1"/>
      <x:c r="M179" s="1"/>
      <x:c r="N179" s="1"/>
      <x:c r="O179" s="1"/>
      <x:c r="P179" s="1"/>
      <x:c r="Q179" s="1"/>
      <x:c r="R179" s="1"/>
      <x:c r="S179" s="1"/>
      <x:c r="T179" s="1"/>
    </x:row>
    <x:row r="180" ht="18" customHeight="1">
      <x:c r="A180" s="1"/>
      <x:c r="B180" s="1"/>
      <x:c r="C180" s="1"/>
      <x:c r="D180" s="1"/>
      <x:c r="E180" s="1"/>
      <x:c r="F180" s="1"/>
      <x:c r="G180" s="1"/>
      <x:c r="H180" s="1"/>
      <x:c r="I180" s="1"/>
      <x:c r="J180" s="1"/>
      <x:c r="K180" s="1"/>
      <x:c r="L180" s="1"/>
      <x:c r="M180" s="1"/>
      <x:c r="N180" s="1"/>
      <x:c r="O180" s="1"/>
      <x:c r="P180" s="1"/>
      <x:c r="Q180" s="1"/>
      <x:c r="R180" s="1"/>
      <x:c r="S180" s="1"/>
      <x:c r="T180" s="1"/>
    </x:row>
    <x:row r="181" ht="18" customHeight="1">
      <x:c r="A181" s="1"/>
      <x:c r="B181" s="1"/>
      <x:c r="C181" s="1"/>
      <x:c r="D181" s="1"/>
      <x:c r="E181" s="1"/>
      <x:c r="F181" s="1"/>
      <x:c r="G181" s="1"/>
      <x:c r="H181" s="1"/>
      <x:c r="I181" s="1"/>
      <x:c r="J181" s="1"/>
      <x:c r="K181" s="1"/>
      <x:c r="L181" s="1"/>
      <x:c r="M181" s="1"/>
      <x:c r="N181" s="1"/>
      <x:c r="O181" s="1"/>
      <x:c r="P181" s="1"/>
      <x:c r="Q181" s="1"/>
      <x:c r="R181" s="1"/>
      <x:c r="S181" s="1"/>
      <x:c r="T181" s="1"/>
    </x:row>
    <x:row r="182" ht="18" customHeight="1">
      <x:c r="A182" s="1"/>
      <x:c r="B182" s="1"/>
      <x:c r="C182" s="1"/>
      <x:c r="D182" s="1"/>
      <x:c r="E182" s="1"/>
      <x:c r="F182" s="1"/>
      <x:c r="G182" s="1"/>
      <x:c r="H182" s="1"/>
      <x:c r="I182" s="1"/>
      <x:c r="J182" s="1"/>
      <x:c r="K182" s="1"/>
      <x:c r="L182" s="1"/>
      <x:c r="M182" s="1"/>
      <x:c r="N182" s="1"/>
      <x:c r="O182" s="1"/>
      <x:c r="P182" s="1"/>
      <x:c r="Q182" s="1"/>
      <x:c r="R182" s="1"/>
      <x:c r="S182" s="1"/>
      <x:c r="T182" s="1"/>
    </x:row>
    <x:row r="183" ht="18" customHeight="1">
      <x:c r="A183" s="1"/>
      <x:c r="B183" s="1"/>
      <x:c r="C183" s="1"/>
      <x:c r="D183" s="1"/>
      <x:c r="E183" s="1"/>
      <x:c r="F183" s="1"/>
      <x:c r="G183" s="1"/>
      <x:c r="H183" s="1"/>
      <x:c r="I183" s="1"/>
      <x:c r="J183" s="1"/>
      <x:c r="K183" s="1"/>
      <x:c r="L183" s="1"/>
      <x:c r="M183" s="1"/>
      <x:c r="N183" s="1"/>
      <x:c r="O183" s="1"/>
      <x:c r="P183" s="1"/>
      <x:c r="Q183" s="1"/>
      <x:c r="R183" s="1"/>
      <x:c r="S183" s="1"/>
      <x:c r="T183" s="1"/>
    </x:row>
    <x:row r="184" ht="18" customHeight="1">
      <x:c r="A184" s="1"/>
      <x:c r="B184" s="1"/>
      <x:c r="C184" s="1"/>
      <x:c r="D184" s="1"/>
      <x:c r="E184" s="1"/>
      <x:c r="F184" s="1"/>
      <x:c r="G184" s="1"/>
      <x:c r="H184" s="1"/>
      <x:c r="I184" s="1"/>
      <x:c r="J184" s="1"/>
      <x:c r="K184" s="1"/>
      <x:c r="L184" s="1"/>
      <x:c r="M184" s="1"/>
      <x:c r="N184" s="1"/>
      <x:c r="O184" s="1"/>
      <x:c r="P184" s="1"/>
      <x:c r="Q184" s="1"/>
      <x:c r="R184" s="1"/>
      <x:c r="S184" s="1"/>
      <x:c r="T184" s="1"/>
    </x:row>
    <x:row r="185" ht="18" customHeight="1">
      <x:c r="A185" s="1"/>
      <x:c r="B185" s="1"/>
      <x:c r="C185" s="1"/>
      <x:c r="D185" s="1"/>
      <x:c r="E185" s="1"/>
      <x:c r="F185" s="1"/>
      <x:c r="G185" s="1"/>
      <x:c r="H185" s="1"/>
      <x:c r="I185" s="1"/>
      <x:c r="J185" s="1"/>
      <x:c r="K185" s="1"/>
      <x:c r="L185" s="1"/>
      <x:c r="M185" s="1"/>
      <x:c r="N185" s="1"/>
      <x:c r="O185" s="1"/>
      <x:c r="P185" s="1"/>
      <x:c r="Q185" s="1"/>
      <x:c r="R185" s="1"/>
      <x:c r="S185" s="1"/>
      <x:c r="T185" s="1"/>
    </x:row>
    <x:row r="186" ht="18" customHeight="1">
      <x:c r="A186" s="1"/>
      <x:c r="B186" s="1"/>
      <x:c r="C186" s="1"/>
      <x:c r="D186" s="1"/>
      <x:c r="E186" s="1"/>
      <x:c r="F186" s="1"/>
      <x:c r="G186" s="1"/>
      <x:c r="H186" s="1"/>
      <x:c r="I186" s="1"/>
      <x:c r="J186" s="1"/>
      <x:c r="K186" s="1"/>
      <x:c r="L186" s="1"/>
      <x:c r="M186" s="1"/>
      <x:c r="N186" s="1"/>
      <x:c r="O186" s="1"/>
      <x:c r="P186" s="1"/>
      <x:c r="Q186" s="1"/>
      <x:c r="R186" s="1"/>
      <x:c r="S186" s="1"/>
      <x:c r="T186" s="1"/>
    </x:row>
    <x:row r="187" ht="18" customHeight="1">
      <x:c r="A187" s="1"/>
      <x:c r="B187" s="1"/>
      <x:c r="C187" s="1"/>
      <x:c r="D187" s="1"/>
      <x:c r="E187" s="1"/>
      <x:c r="F187" s="1"/>
      <x:c r="G187" s="1"/>
      <x:c r="H187" s="1"/>
      <x:c r="I187" s="1"/>
      <x:c r="J187" s="1"/>
      <x:c r="K187" s="1"/>
      <x:c r="L187" s="1"/>
      <x:c r="M187" s="1"/>
      <x:c r="N187" s="1"/>
      <x:c r="O187" s="1"/>
      <x:c r="P187" s="1"/>
      <x:c r="Q187" s="1"/>
      <x:c r="R187" s="1"/>
      <x:c r="S187" s="1"/>
      <x:c r="T187" s="1"/>
    </x:row>
    <x:row r="188" ht="18" customHeight="1">
      <x:c r="A188" s="1"/>
      <x:c r="B188" s="1"/>
      <x:c r="C188" s="1"/>
      <x:c r="D188" s="1"/>
      <x:c r="E188" s="1"/>
      <x:c r="F188" s="1"/>
      <x:c r="G188" s="1"/>
      <x:c r="H188" s="1"/>
      <x:c r="I188" s="1"/>
      <x:c r="J188" s="1"/>
      <x:c r="K188" s="1"/>
      <x:c r="L188" s="1"/>
      <x:c r="M188" s="1"/>
      <x:c r="N188" s="1"/>
      <x:c r="O188" s="1"/>
      <x:c r="P188" s="1"/>
      <x:c r="Q188" s="1"/>
      <x:c r="R188" s="1"/>
      <x:c r="S188" s="1"/>
      <x:c r="T188" s="1"/>
    </x:row>
    <x:row r="189" ht="18" customHeight="1">
      <x:c r="A189" s="1"/>
      <x:c r="B189" s="1"/>
      <x:c r="C189" s="1"/>
      <x:c r="D189" s="1"/>
      <x:c r="E189" s="1"/>
      <x:c r="F189" s="1"/>
      <x:c r="G189" s="1"/>
      <x:c r="H189" s="1"/>
      <x:c r="I189" s="1"/>
      <x:c r="J189" s="1"/>
      <x:c r="K189" s="1"/>
      <x:c r="L189" s="1"/>
      <x:c r="M189" s="1"/>
      <x:c r="N189" s="1"/>
      <x:c r="O189" s="1"/>
      <x:c r="P189" s="1"/>
      <x:c r="Q189" s="1"/>
      <x:c r="R189" s="1"/>
      <x:c r="S189" s="1"/>
      <x:c r="T189" s="1"/>
    </x:row>
    <x:row r="190" ht="18" customHeight="1">
      <x:c r="A190" s="1"/>
      <x:c r="B190" s="1"/>
      <x:c r="C190" s="1"/>
      <x:c r="D190" s="1"/>
      <x:c r="E190" s="1"/>
      <x:c r="F190" s="1"/>
      <x:c r="G190" s="1"/>
      <x:c r="H190" s="1"/>
      <x:c r="I190" s="1"/>
      <x:c r="J190" s="1"/>
      <x:c r="K190" s="1"/>
      <x:c r="L190" s="1"/>
      <x:c r="M190" s="1"/>
      <x:c r="N190" s="1"/>
      <x:c r="O190" s="1"/>
      <x:c r="P190" s="1"/>
      <x:c r="Q190" s="1"/>
      <x:c r="R190" s="1"/>
      <x:c r="S190" s="1"/>
      <x:c r="T190" s="1"/>
    </x:row>
    <x:row r="191" ht="18" customHeight="1">
      <x:c r="A191" s="1"/>
      <x:c r="B191" s="1"/>
      <x:c r="C191" s="1"/>
      <x:c r="D191" s="1"/>
      <x:c r="E191" s="1"/>
      <x:c r="F191" s="1"/>
      <x:c r="G191" s="1"/>
      <x:c r="H191" s="1"/>
      <x:c r="I191" s="1"/>
      <x:c r="J191" s="1"/>
      <x:c r="K191" s="1"/>
      <x:c r="L191" s="1"/>
      <x:c r="M191" s="1"/>
      <x:c r="N191" s="1"/>
      <x:c r="O191" s="1"/>
      <x:c r="P191" s="1"/>
      <x:c r="Q191" s="1"/>
      <x:c r="R191" s="1"/>
      <x:c r="S191" s="1"/>
      <x:c r="T191" s="1"/>
    </x:row>
    <x:row r="192" ht="18" customHeight="1">
      <x:c r="A192" s="1"/>
      <x:c r="B192" s="1"/>
      <x:c r="C192" s="1"/>
      <x:c r="D192" s="1"/>
      <x:c r="E192" s="1"/>
      <x:c r="F192" s="1"/>
      <x:c r="G192" s="1"/>
      <x:c r="H192" s="1"/>
      <x:c r="I192" s="1"/>
      <x:c r="J192" s="1"/>
      <x:c r="K192" s="1"/>
      <x:c r="L192" s="1"/>
      <x:c r="M192" s="1"/>
      <x:c r="N192" s="1"/>
      <x:c r="O192" s="1"/>
      <x:c r="P192" s="1"/>
      <x:c r="Q192" s="1"/>
      <x:c r="R192" s="1"/>
      <x:c r="S192" s="1"/>
      <x:c r="T192" s="1"/>
    </x:row>
    <x:row r="193" ht="18" customHeight="1">
      <x:c r="A193" s="1"/>
      <x:c r="B193" s="1"/>
      <x:c r="C193" s="1"/>
      <x:c r="D193" s="1"/>
      <x:c r="E193" s="1"/>
      <x:c r="F193" s="1"/>
      <x:c r="G193" s="1"/>
      <x:c r="H193" s="1"/>
      <x:c r="I193" s="1"/>
      <x:c r="J193" s="1"/>
      <x:c r="K193" s="1"/>
      <x:c r="L193" s="1"/>
      <x:c r="M193" s="1"/>
      <x:c r="N193" s="1"/>
      <x:c r="O193" s="1"/>
      <x:c r="P193" s="1"/>
      <x:c r="Q193" s="1"/>
      <x:c r="R193" s="1"/>
      <x:c r="S193" s="1"/>
      <x:c r="T193" s="1"/>
    </x:row>
    <x:row r="194" ht="18" customHeight="1">
      <x:c r="A194" s="1"/>
      <x:c r="B194" s="1"/>
      <x:c r="C194" s="1"/>
      <x:c r="D194" s="1"/>
      <x:c r="E194" s="1"/>
      <x:c r="F194" s="1"/>
      <x:c r="G194" s="1"/>
      <x:c r="H194" s="1"/>
      <x:c r="I194" s="1"/>
      <x:c r="J194" s="1"/>
      <x:c r="K194" s="1"/>
      <x:c r="L194" s="1"/>
      <x:c r="M194" s="1"/>
      <x:c r="N194" s="1"/>
      <x:c r="O194" s="1"/>
      <x:c r="P194" s="1"/>
      <x:c r="Q194" s="1"/>
      <x:c r="R194" s="1"/>
      <x:c r="S194" s="1"/>
      <x:c r="T194" s="1"/>
    </x:row>
    <x:row r="195" ht="18" customHeight="1">
      <x:c r="A195" s="1"/>
      <x:c r="B195" s="1"/>
      <x:c r="C195" s="1"/>
      <x:c r="D195" s="1"/>
      <x:c r="E195" s="1"/>
      <x:c r="F195" s="1"/>
      <x:c r="G195" s="1"/>
      <x:c r="H195" s="1"/>
      <x:c r="I195" s="1"/>
      <x:c r="J195" s="1"/>
      <x:c r="K195" s="1"/>
      <x:c r="L195" s="1"/>
      <x:c r="M195" s="1"/>
      <x:c r="N195" s="1"/>
      <x:c r="O195" s="1"/>
      <x:c r="P195" s="1"/>
      <x:c r="Q195" s="1"/>
      <x:c r="R195" s="1"/>
      <x:c r="S195" s="1"/>
      <x:c r="T195" s="1"/>
    </x:row>
    <x:row r="196" ht="18" customHeight="1">
      <x:c r="A196" s="1"/>
      <x:c r="B196" s="1"/>
      <x:c r="C196" s="1"/>
      <x:c r="D196" s="1"/>
      <x:c r="E196" s="1"/>
      <x:c r="F196" s="1"/>
      <x:c r="G196" s="1"/>
      <x:c r="H196" s="1"/>
      <x:c r="I196" s="1"/>
      <x:c r="J196" s="1"/>
      <x:c r="K196" s="1"/>
      <x:c r="L196" s="1"/>
      <x:c r="M196" s="1"/>
      <x:c r="N196" s="1"/>
      <x:c r="O196" s="1"/>
      <x:c r="P196" s="1"/>
      <x:c r="Q196" s="1"/>
      <x:c r="R196" s="1"/>
      <x:c r="S196" s="1"/>
      <x:c r="T196" s="1"/>
    </x:row>
    <x:row r="197" ht="18" customHeight="1">
      <x:c r="A197" s="1"/>
      <x:c r="B197" s="1"/>
      <x:c r="C197" s="1"/>
      <x:c r="D197" s="1"/>
      <x:c r="E197" s="1"/>
      <x:c r="F197" s="1"/>
      <x:c r="G197" s="1"/>
      <x:c r="H197" s="1"/>
      <x:c r="I197" s="1"/>
      <x:c r="J197" s="1"/>
      <x:c r="K197" s="1"/>
      <x:c r="L197" s="1"/>
      <x:c r="M197" s="1"/>
      <x:c r="N197" s="1"/>
      <x:c r="O197" s="1"/>
      <x:c r="P197" s="1"/>
      <x:c r="Q197" s="1"/>
      <x:c r="R197" s="1"/>
      <x:c r="S197" s="1"/>
      <x:c r="T197" s="1"/>
    </x:row>
    <x:row r="198" ht="18" customHeight="1">
      <x:c r="A198" s="1"/>
      <x:c r="B198" s="1"/>
      <x:c r="C198" s="1"/>
      <x:c r="D198" s="1"/>
      <x:c r="E198" s="1"/>
      <x:c r="F198" s="1"/>
      <x:c r="G198" s="1"/>
      <x:c r="H198" s="1"/>
      <x:c r="I198" s="1"/>
      <x:c r="J198" s="1"/>
      <x:c r="K198" s="1"/>
      <x:c r="L198" s="1"/>
      <x:c r="M198" s="1"/>
      <x:c r="N198" s="1"/>
      <x:c r="O198" s="1"/>
      <x:c r="P198" s="1"/>
      <x:c r="Q198" s="1"/>
      <x:c r="R198" s="1"/>
      <x:c r="S198" s="1"/>
      <x:c r="T198" s="1"/>
    </x:row>
    <x:row r="199" ht="18" customHeight="1">
      <x:c r="A199" s="1"/>
      <x:c r="B199" s="1"/>
      <x:c r="C199" s="1"/>
      <x:c r="D199" s="1"/>
      <x:c r="E199" s="1"/>
      <x:c r="F199" s="1"/>
      <x:c r="G199" s="1"/>
      <x:c r="H199" s="1"/>
      <x:c r="I199" s="1"/>
      <x:c r="J199" s="1"/>
      <x:c r="K199" s="1"/>
      <x:c r="L199" s="1"/>
      <x:c r="M199" s="1"/>
      <x:c r="N199" s="1"/>
      <x:c r="O199" s="1"/>
      <x:c r="P199" s="1"/>
      <x:c r="Q199" s="1"/>
      <x:c r="R199" s="1"/>
      <x:c r="S199" s="1"/>
      <x:c r="T199" s="1"/>
    </x:row>
    <x:row r="200" ht="18" customHeight="1">
      <x:c r="A200" s="1"/>
      <x:c r="B200" s="1"/>
      <x:c r="C200" s="1"/>
      <x:c r="D200" s="1"/>
      <x:c r="E200" s="1"/>
      <x:c r="F200" s="1"/>
      <x:c r="G200" s="1"/>
      <x:c r="H200" s="1"/>
      <x:c r="I200" s="1"/>
      <x:c r="J200" s="1"/>
      <x:c r="K200" s="1"/>
      <x:c r="L200" s="1"/>
      <x:c r="M200" s="1"/>
      <x:c r="N200" s="1"/>
      <x:c r="O200" s="1"/>
      <x:c r="P200" s="1"/>
      <x:c r="Q200" s="1"/>
      <x:c r="R200" s="1"/>
      <x:c r="S200" s="1"/>
      <x:c r="T200" s="1"/>
    </x:row>
    <x:row r="201" ht="18" customHeight="1">
      <x:c r="A201" s="1"/>
      <x:c r="B201" s="1"/>
      <x:c r="C201" s="1"/>
      <x:c r="D201" s="1"/>
      <x:c r="E201" s="1"/>
      <x:c r="F201" s="1"/>
      <x:c r="G201" s="1"/>
      <x:c r="H201" s="1"/>
      <x:c r="I201" s="1"/>
      <x:c r="J201" s="1"/>
      <x:c r="K201" s="1"/>
      <x:c r="L201" s="1"/>
      <x:c r="M201" s="1"/>
      <x:c r="N201" s="1"/>
      <x:c r="O201" s="1"/>
      <x:c r="P201" s="1"/>
      <x:c r="Q201" s="1"/>
      <x:c r="R201" s="1"/>
      <x:c r="S201" s="1"/>
      <x:c r="T201" s="1"/>
    </x:row>
    <x:row r="202" ht="18" customHeight="1">
      <x:c r="A202" s="1"/>
      <x:c r="B202" s="1"/>
      <x:c r="C202" s="1"/>
      <x:c r="D202" s="1"/>
      <x:c r="E202" s="1"/>
      <x:c r="F202" s="1"/>
      <x:c r="G202" s="1"/>
      <x:c r="H202" s="1"/>
      <x:c r="I202" s="1"/>
      <x:c r="J202" s="1"/>
      <x:c r="K202" s="1"/>
      <x:c r="L202" s="1"/>
      <x:c r="M202" s="1"/>
      <x:c r="N202" s="1"/>
      <x:c r="O202" s="1"/>
      <x:c r="P202" s="1"/>
      <x:c r="Q202" s="1"/>
      <x:c r="R202" s="1"/>
      <x:c r="S202" s="1"/>
      <x:c r="T202" s="1"/>
    </x:row>
    <x:row r="203" ht="18" customHeight="1">
      <x:c r="A203" s="1"/>
      <x:c r="B203" s="1"/>
      <x:c r="C203" s="1"/>
      <x:c r="D203" s="1"/>
      <x:c r="E203" s="1"/>
      <x:c r="F203" s="1"/>
      <x:c r="G203" s="1"/>
      <x:c r="H203" s="1"/>
      <x:c r="I203" s="1"/>
      <x:c r="J203" s="1"/>
      <x:c r="K203" s="1"/>
      <x:c r="L203" s="1"/>
      <x:c r="M203" s="1"/>
      <x:c r="N203" s="1"/>
      <x:c r="O203" s="1"/>
      <x:c r="P203" s="1"/>
      <x:c r="Q203" s="1"/>
      <x:c r="R203" s="1"/>
      <x:c r="S203" s="1"/>
      <x:c r="T203" s="1"/>
    </x:row>
    <x:row r="204" ht="18" customHeight="1">
      <x:c r="A204" s="1"/>
      <x:c r="B204" s="1"/>
      <x:c r="C204" s="1"/>
      <x:c r="D204" s="1"/>
      <x:c r="E204" s="1"/>
      <x:c r="F204" s="1"/>
      <x:c r="G204" s="1"/>
      <x:c r="H204" s="1"/>
      <x:c r="I204" s="1"/>
      <x:c r="J204" s="1"/>
      <x:c r="K204" s="1"/>
      <x:c r="L204" s="1"/>
      <x:c r="M204" s="1"/>
      <x:c r="N204" s="1"/>
      <x:c r="O204" s="1"/>
      <x:c r="P204" s="1"/>
      <x:c r="Q204" s="1"/>
      <x:c r="R204" s="1"/>
      <x:c r="S204" s="1"/>
      <x:c r="T204" s="1"/>
    </x:row>
    <x:row r="205" ht="18" customHeight="1">
      <x:c r="A205" s="1"/>
      <x:c r="B205" s="1"/>
      <x:c r="C205" s="1"/>
      <x:c r="D205" s="1"/>
      <x:c r="E205" s="1"/>
      <x:c r="F205" s="1"/>
      <x:c r="G205" s="1"/>
      <x:c r="H205" s="1"/>
      <x:c r="I205" s="1"/>
      <x:c r="J205" s="1"/>
      <x:c r="K205" s="1"/>
      <x:c r="L205" s="1"/>
      <x:c r="M205" s="1"/>
      <x:c r="N205" s="1"/>
      <x:c r="O205" s="1"/>
      <x:c r="P205" s="1"/>
      <x:c r="Q205" s="1"/>
      <x:c r="R205" s="1"/>
      <x:c r="S205" s="1"/>
      <x:c r="T205" s="1"/>
    </x:row>
    <x:row r="206" ht="18" customHeight="1">
      <x:c r="A206" s="1"/>
      <x:c r="B206" s="1"/>
      <x:c r="C206" s="1"/>
      <x:c r="D206" s="1"/>
      <x:c r="E206" s="1"/>
      <x:c r="F206" s="1"/>
      <x:c r="G206" s="1"/>
      <x:c r="H206" s="1"/>
      <x:c r="I206" s="1"/>
      <x:c r="J206" s="1"/>
      <x:c r="K206" s="1"/>
      <x:c r="L206" s="1"/>
      <x:c r="M206" s="1"/>
      <x:c r="N206" s="1"/>
      <x:c r="O206" s="1"/>
      <x:c r="P206" s="1"/>
      <x:c r="Q206" s="1"/>
      <x:c r="R206" s="1"/>
      <x:c r="S206" s="1"/>
      <x:c r="T206" s="1"/>
    </x:row>
    <x:row r="207" ht="18" customHeight="1">
      <x:c r="A207" s="1"/>
      <x:c r="B207" s="1"/>
      <x:c r="C207" s="1"/>
      <x:c r="D207" s="1"/>
      <x:c r="E207" s="1"/>
      <x:c r="F207" s="1"/>
      <x:c r="G207" s="1"/>
      <x:c r="H207" s="1"/>
      <x:c r="I207" s="1"/>
      <x:c r="J207" s="1"/>
      <x:c r="K207" s="1"/>
      <x:c r="L207" s="1"/>
      <x:c r="M207" s="1"/>
      <x:c r="N207" s="1"/>
      <x:c r="O207" s="1"/>
      <x:c r="P207" s="1"/>
      <x:c r="Q207" s="1"/>
      <x:c r="R207" s="1"/>
      <x:c r="S207" s="1"/>
      <x:c r="T207" s="1"/>
    </x:row>
    <x:row r="208" ht="18" customHeight="1">
      <x:c r="A208" s="1"/>
      <x:c r="B208" s="1"/>
      <x:c r="C208" s="1"/>
      <x:c r="D208" s="1"/>
      <x:c r="E208" s="1"/>
      <x:c r="F208" s="1"/>
      <x:c r="G208" s="1"/>
      <x:c r="H208" s="1"/>
      <x:c r="I208" s="1"/>
      <x:c r="J208" s="1"/>
      <x:c r="K208" s="1"/>
      <x:c r="L208" s="1"/>
      <x:c r="M208" s="1"/>
      <x:c r="N208" s="1"/>
      <x:c r="O208" s="1"/>
      <x:c r="P208" s="1"/>
      <x:c r="Q208" s="1"/>
      <x:c r="R208" s="1"/>
      <x:c r="S208" s="1"/>
      <x:c r="T208" s="1"/>
    </x:row>
    <x:row r="209" ht="18" customHeight="1">
      <x:c r="A209" s="1"/>
      <x:c r="B209" s="1"/>
      <x:c r="C209" s="1"/>
      <x:c r="D209" s="1"/>
      <x:c r="E209" s="1"/>
      <x:c r="F209" s="1"/>
      <x:c r="G209" s="1"/>
      <x:c r="H209" s="1"/>
      <x:c r="I209" s="1"/>
      <x:c r="J209" s="1"/>
      <x:c r="K209" s="1"/>
      <x:c r="L209" s="1"/>
      <x:c r="M209" s="1"/>
      <x:c r="N209" s="1"/>
      <x:c r="O209" s="1"/>
      <x:c r="P209" s="1"/>
      <x:c r="Q209" s="1"/>
      <x:c r="R209" s="1"/>
      <x:c r="S209" s="1"/>
      <x:c r="T209" s="1"/>
    </x:row>
    <x:row r="210" ht="18" customHeight="1">
      <x:c r="A210" s="1"/>
      <x:c r="B210" s="1"/>
      <x:c r="C210" s="1"/>
      <x:c r="D210" s="1"/>
      <x:c r="E210" s="1"/>
      <x:c r="F210" s="1"/>
      <x:c r="G210" s="1"/>
      <x:c r="H210" s="1"/>
      <x:c r="I210" s="1"/>
      <x:c r="J210" s="1"/>
      <x:c r="K210" s="1"/>
      <x:c r="L210" s="1"/>
      <x:c r="M210" s="1"/>
      <x:c r="N210" s="1"/>
      <x:c r="O210" s="1"/>
      <x:c r="P210" s="1"/>
      <x:c r="Q210" s="1"/>
      <x:c r="R210" s="1"/>
      <x:c r="S210" s="1"/>
      <x:c r="T210" s="1"/>
    </x:row>
    <x:row r="211" ht="18" customHeight="1">
      <x:c r="A211" s="1"/>
      <x:c r="B211" s="1"/>
      <x:c r="C211" s="1"/>
      <x:c r="D211" s="1"/>
      <x:c r="E211" s="1"/>
      <x:c r="F211" s="1"/>
      <x:c r="G211" s="1"/>
      <x:c r="H211" s="1"/>
      <x:c r="I211" s="1"/>
      <x:c r="J211" s="1"/>
      <x:c r="K211" s="1"/>
      <x:c r="L211" s="1"/>
      <x:c r="M211" s="1"/>
      <x:c r="N211" s="1"/>
      <x:c r="O211" s="1"/>
      <x:c r="P211" s="1"/>
      <x:c r="Q211" s="1"/>
      <x:c r="R211" s="1"/>
      <x:c r="S211" s="1"/>
      <x:c r="T211" s="1"/>
    </x:row>
    <x:row r="212" ht="18" customHeight="1">
      <x:c r="A212" s="1"/>
      <x:c r="B212" s="1"/>
      <x:c r="C212" s="1"/>
      <x:c r="D212" s="1"/>
      <x:c r="E212" s="1"/>
      <x:c r="F212" s="1"/>
      <x:c r="G212" s="1"/>
      <x:c r="H212" s="1"/>
      <x:c r="I212" s="1"/>
      <x:c r="J212" s="1"/>
      <x:c r="K212" s="1"/>
      <x:c r="L212" s="1"/>
      <x:c r="M212" s="1"/>
      <x:c r="N212" s="1"/>
      <x:c r="O212" s="1"/>
      <x:c r="P212" s="1"/>
      <x:c r="Q212" s="1"/>
      <x:c r="R212" s="1"/>
      <x:c r="S212" s="1"/>
      <x:c r="T212" s="1"/>
    </x:row>
    <x:row r="213" ht="18" customHeight="1">
      <x:c r="A213" s="1"/>
      <x:c r="B213" s="1"/>
      <x:c r="C213" s="1"/>
      <x:c r="D213" s="1"/>
      <x:c r="E213" s="1"/>
      <x:c r="F213" s="1"/>
      <x:c r="G213" s="1"/>
      <x:c r="H213" s="1"/>
      <x:c r="I213" s="1"/>
      <x:c r="J213" s="1"/>
      <x:c r="K213" s="1"/>
      <x:c r="L213" s="1"/>
      <x:c r="M213" s="1"/>
      <x:c r="N213" s="1"/>
      <x:c r="O213" s="1"/>
      <x:c r="P213" s="1"/>
      <x:c r="Q213" s="1"/>
      <x:c r="R213" s="1"/>
      <x:c r="S213" s="1"/>
      <x:c r="T213" s="1"/>
    </x:row>
    <x:row r="214" ht="18" customHeight="1">
      <x:c r="A214" s="1"/>
      <x:c r="B214" s="1"/>
      <x:c r="C214" s="1"/>
      <x:c r="D214" s="1"/>
      <x:c r="E214" s="1"/>
      <x:c r="F214" s="1"/>
      <x:c r="G214" s="1"/>
      <x:c r="H214" s="1"/>
      <x:c r="I214" s="1"/>
      <x:c r="J214" s="1"/>
      <x:c r="K214" s="1"/>
      <x:c r="L214" s="1"/>
      <x:c r="M214" s="1"/>
      <x:c r="N214" s="1"/>
      <x:c r="O214" s="1"/>
      <x:c r="P214" s="1"/>
      <x:c r="Q214" s="1"/>
      <x:c r="R214" s="1"/>
      <x:c r="S214" s="1"/>
      <x:c r="T214" s="1"/>
    </x:row>
    <x:row r="215" ht="18" customHeight="1">
      <x:c r="A215" s="1"/>
      <x:c r="B215" s="1"/>
      <x:c r="C215" s="1"/>
      <x:c r="D215" s="1"/>
      <x:c r="E215" s="1"/>
      <x:c r="F215" s="1"/>
      <x:c r="G215" s="1"/>
      <x:c r="H215" s="1"/>
      <x:c r="I215" s="1"/>
      <x:c r="J215" s="1"/>
      <x:c r="K215" s="1"/>
      <x:c r="L215" s="1"/>
      <x:c r="M215" s="1"/>
      <x:c r="N215" s="1"/>
      <x:c r="O215" s="1"/>
      <x:c r="P215" s="1"/>
      <x:c r="Q215" s="1"/>
      <x:c r="R215" s="1"/>
      <x:c r="S215" s="1"/>
      <x:c r="T215" s="1"/>
    </x:row>
    <x:row r="216" ht="18" customHeight="1">
      <x:c r="A216" s="1"/>
      <x:c r="B216" s="1"/>
      <x:c r="C216" s="1"/>
      <x:c r="D216" s="1"/>
      <x:c r="E216" s="1"/>
      <x:c r="F216" s="1"/>
      <x:c r="G216" s="1"/>
      <x:c r="H216" s="1"/>
      <x:c r="I216" s="1"/>
      <x:c r="J216" s="1"/>
      <x:c r="K216" s="1"/>
      <x:c r="L216" s="1"/>
      <x:c r="M216" s="1"/>
      <x:c r="N216" s="1"/>
      <x:c r="O216" s="1"/>
      <x:c r="P216" s="1"/>
      <x:c r="Q216" s="1"/>
      <x:c r="R216" s="1"/>
      <x:c r="S216" s="1"/>
      <x:c r="T216" s="1"/>
    </x:row>
    <x:row r="217" ht="18" customHeight="1">
      <x:c r="A217" s="1"/>
      <x:c r="B217" s="1"/>
      <x:c r="C217" s="1"/>
      <x:c r="D217" s="1"/>
      <x:c r="E217" s="1"/>
      <x:c r="F217" s="1"/>
      <x:c r="G217" s="1"/>
      <x:c r="H217" s="1"/>
      <x:c r="I217" s="1"/>
      <x:c r="J217" s="1"/>
      <x:c r="K217" s="1"/>
      <x:c r="L217" s="1"/>
      <x:c r="M217" s="1"/>
      <x:c r="N217" s="1"/>
      <x:c r="O217" s="1"/>
      <x:c r="P217" s="1"/>
      <x:c r="Q217" s="1"/>
      <x:c r="R217" s="1"/>
      <x:c r="S217" s="1"/>
      <x:c r="T217" s="1"/>
    </x:row>
    <x:row r="218" ht="18" customHeight="1">
      <x:c r="A218" s="1"/>
      <x:c r="B218" s="1"/>
      <x:c r="C218" s="1"/>
      <x:c r="D218" s="1"/>
      <x:c r="E218" s="1"/>
      <x:c r="F218" s="1"/>
      <x:c r="G218" s="1"/>
      <x:c r="H218" s="1"/>
      <x:c r="I218" s="1"/>
      <x:c r="J218" s="1"/>
      <x:c r="K218" s="1"/>
      <x:c r="L218" s="1"/>
      <x:c r="M218" s="1"/>
      <x:c r="N218" s="1"/>
      <x:c r="O218" s="1"/>
      <x:c r="P218" s="1"/>
      <x:c r="Q218" s="1"/>
      <x:c r="R218" s="1"/>
      <x:c r="S218" s="1"/>
      <x:c r="T218" s="1"/>
    </x:row>
    <x:row r="219" ht="18" customHeight="1">
      <x:c r="A219" s="1"/>
      <x:c r="B219" s="1"/>
      <x:c r="C219" s="1"/>
      <x:c r="D219" s="1"/>
      <x:c r="E219" s="1"/>
      <x:c r="F219" s="1"/>
      <x:c r="G219" s="1"/>
      <x:c r="H219" s="1"/>
      <x:c r="I219" s="1"/>
      <x:c r="J219" s="1"/>
      <x:c r="K219" s="1"/>
      <x:c r="L219" s="1"/>
      <x:c r="M219" s="1"/>
      <x:c r="N219" s="1"/>
      <x:c r="O219" s="1"/>
      <x:c r="P219" s="1"/>
      <x:c r="Q219" s="1"/>
      <x:c r="R219" s="1"/>
      <x:c r="S219" s="1"/>
      <x:c r="T219" s="1"/>
    </x:row>
    <x:row r="220" ht="18" customHeight="1">
      <x:c r="A220" s="1"/>
      <x:c r="B220" s="1"/>
      <x:c r="C220" s="1"/>
      <x:c r="D220" s="1"/>
      <x:c r="E220" s="1"/>
      <x:c r="F220" s="1"/>
      <x:c r="G220" s="1"/>
      <x:c r="H220" s="1"/>
      <x:c r="I220" s="1"/>
      <x:c r="J220" s="1"/>
      <x:c r="K220" s="1"/>
      <x:c r="L220" s="1"/>
      <x:c r="M220" s="1"/>
      <x:c r="N220" s="1"/>
      <x:c r="O220" s="1"/>
      <x:c r="P220" s="1"/>
      <x:c r="Q220" s="1"/>
      <x:c r="R220" s="1"/>
      <x:c r="S220" s="1"/>
      <x:c r="T220" s="1"/>
    </x:row>
  </x:sheetData>
  <x:mergeCells>
    <x:mergeCell ref="B3:H3"/>
    <x:mergeCell ref="B4:H4"/>
    <x:mergeCell ref="B6:C6"/>
  </x:mergeCells>
  <x:pageMargins left="0.7" right="0.7" top="0.75" bottom="0.75" header="0.3" footer="0.3"/>
</x:worksheet>
</file>